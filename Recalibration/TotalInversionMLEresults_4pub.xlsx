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360" yWindow="60" windowWidth="20730" windowHeight="11700" tabRatio="500"/>
  </bookViews>
  <sheets>
    <sheet name="LS results" sheetId="1" r:id="rId1"/>
    <sheet name="MC summary" sheetId="2" r:id="rId2"/>
    <sheet name="r85z" sheetId="3" r:id="rId3"/>
    <sheet name="Sheet4" sheetId="4" r:id="rId4"/>
    <sheet name="covTotal" sheetId="6" r:id="rId5"/>
    <sheet name="covAll" sheetId="5" r:id="rId6"/>
  </sheet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AF90" i="6" l="1"/>
  <c r="B90" i="6"/>
  <c r="AF83" i="6"/>
  <c r="M3" i="6"/>
  <c r="N3" i="6"/>
  <c r="O3" i="6"/>
  <c r="P3" i="6"/>
  <c r="Q3" i="6"/>
  <c r="R3" i="6"/>
  <c r="S3" i="6"/>
  <c r="T3" i="6"/>
  <c r="U3" i="6"/>
  <c r="V3" i="6"/>
  <c r="W3" i="6"/>
  <c r="X3" i="6"/>
  <c r="M4" i="6"/>
  <c r="N4" i="6"/>
  <c r="O4" i="6"/>
  <c r="P4" i="6"/>
  <c r="Q4" i="6"/>
  <c r="R4" i="6"/>
  <c r="S4" i="6"/>
  <c r="T4" i="6"/>
  <c r="U4" i="6"/>
  <c r="V4" i="6"/>
  <c r="W4" i="6"/>
  <c r="X4" i="6"/>
  <c r="M5" i="6"/>
  <c r="N5" i="6"/>
  <c r="O5" i="6"/>
  <c r="P5" i="6"/>
  <c r="Q5" i="6"/>
  <c r="R5" i="6"/>
  <c r="S5" i="6"/>
  <c r="T5" i="6"/>
  <c r="U5" i="6"/>
  <c r="V5" i="6"/>
  <c r="W5" i="6"/>
  <c r="X5" i="6"/>
  <c r="M6" i="6"/>
  <c r="N6" i="6"/>
  <c r="O6" i="6"/>
  <c r="P6" i="6"/>
  <c r="Q6" i="6"/>
  <c r="R6" i="6"/>
  <c r="S6" i="6"/>
  <c r="T6" i="6"/>
  <c r="U6" i="6"/>
  <c r="V6" i="6"/>
  <c r="W6" i="6"/>
  <c r="X6" i="6"/>
  <c r="M7" i="6"/>
  <c r="N7" i="6"/>
  <c r="O7" i="6"/>
  <c r="P7" i="6"/>
  <c r="Q7" i="6"/>
  <c r="R7" i="6"/>
  <c r="S7" i="6"/>
  <c r="T7" i="6"/>
  <c r="U7" i="6"/>
  <c r="V7" i="6"/>
  <c r="W7" i="6"/>
  <c r="X7" i="6"/>
  <c r="M8" i="6"/>
  <c r="N8" i="6"/>
  <c r="O8" i="6"/>
  <c r="P8" i="6"/>
  <c r="Q8" i="6"/>
  <c r="R8" i="6"/>
  <c r="S8" i="6"/>
  <c r="T8" i="6"/>
  <c r="U8" i="6"/>
  <c r="V8" i="6"/>
  <c r="W8" i="6"/>
  <c r="X8" i="6"/>
  <c r="M9" i="6"/>
  <c r="N9" i="6"/>
  <c r="O9" i="6"/>
  <c r="P9" i="6"/>
  <c r="Q9" i="6"/>
  <c r="R9" i="6"/>
  <c r="S9" i="6"/>
  <c r="T9" i="6"/>
  <c r="U9" i="6"/>
  <c r="V9" i="6"/>
  <c r="W9" i="6"/>
  <c r="X9" i="6"/>
  <c r="M10" i="6"/>
  <c r="N10" i="6"/>
  <c r="O10" i="6"/>
  <c r="P10" i="6"/>
  <c r="Q10" i="6"/>
  <c r="R10" i="6"/>
  <c r="S10" i="6"/>
  <c r="T10" i="6"/>
  <c r="U10" i="6"/>
  <c r="V10" i="6"/>
  <c r="W10" i="6"/>
  <c r="X10" i="6"/>
  <c r="M11" i="6"/>
  <c r="N11" i="6"/>
  <c r="O11" i="6"/>
  <c r="P11" i="6"/>
  <c r="Q11" i="6"/>
  <c r="R11" i="6"/>
  <c r="S11" i="6"/>
  <c r="T11" i="6"/>
  <c r="U11" i="6"/>
  <c r="V11" i="6"/>
  <c r="W11" i="6"/>
  <c r="X11" i="6"/>
  <c r="M12" i="6"/>
  <c r="N12" i="6"/>
  <c r="O12" i="6"/>
  <c r="P12" i="6"/>
  <c r="Q12" i="6"/>
  <c r="R12" i="6"/>
  <c r="S12" i="6"/>
  <c r="T12" i="6"/>
  <c r="U12" i="6"/>
  <c r="V12" i="6"/>
  <c r="W12" i="6"/>
  <c r="X12" i="6"/>
  <c r="M13" i="6"/>
  <c r="N13" i="6"/>
  <c r="O13" i="6"/>
  <c r="P13" i="6"/>
  <c r="Q13" i="6"/>
  <c r="R13" i="6"/>
  <c r="S13" i="6"/>
  <c r="T13" i="6"/>
  <c r="U13" i="6"/>
  <c r="V13" i="6"/>
  <c r="W13" i="6"/>
  <c r="X13" i="6"/>
  <c r="M14" i="6"/>
  <c r="N14" i="6"/>
  <c r="O14" i="6"/>
  <c r="P14" i="6"/>
  <c r="Q14" i="6"/>
  <c r="R14" i="6"/>
  <c r="S14" i="6"/>
  <c r="T14" i="6"/>
  <c r="U14" i="6"/>
  <c r="V14" i="6"/>
  <c r="W14" i="6"/>
  <c r="X14" i="6"/>
  <c r="M15" i="6"/>
  <c r="N15" i="6"/>
  <c r="O15" i="6"/>
  <c r="P15" i="6"/>
  <c r="Q15" i="6"/>
  <c r="R15" i="6"/>
  <c r="S15" i="6"/>
  <c r="T15" i="6"/>
  <c r="U15" i="6"/>
  <c r="V15" i="6"/>
  <c r="W15" i="6"/>
  <c r="X15" i="6"/>
  <c r="M16" i="6"/>
  <c r="N16" i="6"/>
  <c r="O16" i="6"/>
  <c r="P16" i="6"/>
  <c r="Q16" i="6"/>
  <c r="R16" i="6"/>
  <c r="S16" i="6"/>
  <c r="T16" i="6"/>
  <c r="U16" i="6"/>
  <c r="V16" i="6"/>
  <c r="W16" i="6"/>
  <c r="X16" i="6"/>
  <c r="M17" i="6"/>
  <c r="N17" i="6"/>
  <c r="O17" i="6"/>
  <c r="P17" i="6"/>
  <c r="Q17" i="6"/>
  <c r="R17" i="6"/>
  <c r="S17" i="6"/>
  <c r="T17" i="6"/>
  <c r="U17" i="6"/>
  <c r="V17" i="6"/>
  <c r="W17" i="6"/>
  <c r="X17" i="6"/>
  <c r="M18" i="6"/>
  <c r="N18" i="6"/>
  <c r="O18" i="6"/>
  <c r="P18" i="6"/>
  <c r="Q18" i="6"/>
  <c r="R18" i="6"/>
  <c r="S18" i="6"/>
  <c r="T18" i="6"/>
  <c r="U18" i="6"/>
  <c r="V18" i="6"/>
  <c r="W18" i="6"/>
  <c r="X18" i="6"/>
  <c r="M19" i="6"/>
  <c r="N19" i="6"/>
  <c r="O19" i="6"/>
  <c r="P19" i="6"/>
  <c r="Q19" i="6"/>
  <c r="R19" i="6"/>
  <c r="S19" i="6"/>
  <c r="T19" i="6"/>
  <c r="U19" i="6"/>
  <c r="V19" i="6"/>
  <c r="W19" i="6"/>
  <c r="X19" i="6"/>
  <c r="M20" i="6"/>
  <c r="N20" i="6"/>
  <c r="O20" i="6"/>
  <c r="P20" i="6"/>
  <c r="Q20" i="6"/>
  <c r="R20" i="6"/>
  <c r="S20" i="6"/>
  <c r="T20" i="6"/>
  <c r="U20" i="6"/>
  <c r="V20" i="6"/>
  <c r="W20" i="6"/>
  <c r="X20" i="6"/>
  <c r="M21" i="6"/>
  <c r="N21" i="6"/>
  <c r="O21" i="6"/>
  <c r="P21" i="6"/>
  <c r="Q21" i="6"/>
  <c r="R21" i="6"/>
  <c r="S21" i="6"/>
  <c r="T21" i="6"/>
  <c r="U21" i="6"/>
  <c r="V21" i="6"/>
  <c r="W21" i="6"/>
  <c r="X21" i="6"/>
  <c r="M22" i="6"/>
  <c r="N22" i="6"/>
  <c r="O22" i="6"/>
  <c r="P22" i="6"/>
  <c r="Q22" i="6"/>
  <c r="R22" i="6"/>
  <c r="S22" i="6"/>
  <c r="T22" i="6"/>
  <c r="U22" i="6"/>
  <c r="V22" i="6"/>
  <c r="W22" i="6"/>
  <c r="X22" i="6"/>
  <c r="M23" i="6"/>
  <c r="N23" i="6"/>
  <c r="O23" i="6"/>
  <c r="P23" i="6"/>
  <c r="Q23" i="6"/>
  <c r="R23" i="6"/>
  <c r="S23" i="6"/>
  <c r="T23" i="6"/>
  <c r="U23" i="6"/>
  <c r="V23" i="6"/>
  <c r="W23" i="6"/>
  <c r="X23" i="6"/>
  <c r="M24" i="6"/>
  <c r="N24" i="6"/>
  <c r="O24" i="6"/>
  <c r="P24" i="6"/>
  <c r="Q24" i="6"/>
  <c r="R24" i="6"/>
  <c r="S24" i="6"/>
  <c r="T24" i="6"/>
  <c r="U24" i="6"/>
  <c r="V24" i="6"/>
  <c r="W24" i="6"/>
  <c r="X24" i="6"/>
  <c r="M25" i="6"/>
  <c r="N25" i="6"/>
  <c r="O25" i="6"/>
  <c r="P25" i="6"/>
  <c r="Q25" i="6"/>
  <c r="R25" i="6"/>
  <c r="S25" i="6"/>
  <c r="T25" i="6"/>
  <c r="U25" i="6"/>
  <c r="V25" i="6"/>
  <c r="W25" i="6"/>
  <c r="X25" i="6"/>
  <c r="M26" i="6"/>
  <c r="N26" i="6"/>
  <c r="O26" i="6"/>
  <c r="P26" i="6"/>
  <c r="Q26" i="6"/>
  <c r="R26" i="6"/>
  <c r="S26" i="6"/>
  <c r="T26" i="6"/>
  <c r="U26" i="6"/>
  <c r="V26" i="6"/>
  <c r="W26" i="6"/>
  <c r="X26" i="6"/>
  <c r="M27" i="6"/>
  <c r="N27" i="6"/>
  <c r="O27" i="6"/>
  <c r="P27" i="6"/>
  <c r="Q27" i="6"/>
  <c r="R27" i="6"/>
  <c r="S27" i="6"/>
  <c r="T27" i="6"/>
  <c r="U27" i="6"/>
  <c r="V27" i="6"/>
  <c r="W27" i="6"/>
  <c r="X27" i="6"/>
  <c r="M28" i="6"/>
  <c r="N28" i="6"/>
  <c r="O28" i="6"/>
  <c r="P28" i="6"/>
  <c r="Q28" i="6"/>
  <c r="R28" i="6"/>
  <c r="S28" i="6"/>
  <c r="T28" i="6"/>
  <c r="U28" i="6"/>
  <c r="V28" i="6"/>
  <c r="W28" i="6"/>
  <c r="X28" i="6"/>
  <c r="M54" i="6"/>
  <c r="M55" i="6"/>
  <c r="M56" i="6"/>
  <c r="M57" i="6"/>
  <c r="M58" i="6"/>
  <c r="M59" i="6"/>
  <c r="F61" i="6"/>
  <c r="G61" i="6"/>
  <c r="H61" i="6"/>
  <c r="I61" i="6"/>
  <c r="J61" i="6"/>
  <c r="K61" i="6"/>
  <c r="M61" i="6"/>
  <c r="N62" i="6"/>
  <c r="F67" i="6"/>
  <c r="B91" i="6" s="1"/>
  <c r="G67" i="6"/>
  <c r="M78" i="6"/>
  <c r="AJ67" i="6"/>
  <c r="AF91" i="6" s="1"/>
  <c r="AQ78" i="6"/>
  <c r="AP54" i="6"/>
  <c r="AQ54" i="6"/>
  <c r="AP55" i="6"/>
  <c r="AQ55" i="6"/>
  <c r="AP56" i="6"/>
  <c r="AQ56" i="6"/>
  <c r="AP57" i="6"/>
  <c r="AQ57" i="6"/>
  <c r="AP58" i="6"/>
  <c r="AQ58" i="6"/>
  <c r="AP59" i="6"/>
  <c r="AQ59" i="6"/>
  <c r="AJ60" i="6"/>
  <c r="AK60" i="6"/>
  <c r="AL60" i="6"/>
  <c r="AM60" i="6"/>
  <c r="AN60" i="6"/>
  <c r="AO60" i="6"/>
  <c r="AP60" i="6"/>
  <c r="AQ60" i="6"/>
  <c r="AJ61" i="6"/>
  <c r="AK61" i="6"/>
  <c r="AL61" i="6"/>
  <c r="AM61" i="6"/>
  <c r="AN61" i="6"/>
  <c r="AO61" i="6"/>
  <c r="AP61" i="6"/>
  <c r="AQ61" i="6"/>
  <c r="AR62" i="6"/>
  <c r="AK67" i="6"/>
  <c r="AL28" i="6"/>
  <c r="AK28" i="6"/>
  <c r="AL27" i="6"/>
  <c r="AK27" i="6"/>
  <c r="Y3" i="6"/>
  <c r="Z3" i="6"/>
  <c r="AA3" i="6"/>
  <c r="AB3" i="6"/>
  <c r="AC3" i="6"/>
  <c r="AD3" i="6"/>
  <c r="AE3" i="6"/>
  <c r="AF3" i="6"/>
  <c r="AG3" i="6"/>
  <c r="AH3" i="6"/>
  <c r="AI3" i="6"/>
  <c r="AJ3" i="6"/>
  <c r="AK3" i="6"/>
  <c r="AL3" i="6"/>
  <c r="Y4" i="6"/>
  <c r="Z4" i="6"/>
  <c r="AA4" i="6"/>
  <c r="AB4" i="6"/>
  <c r="AC4" i="6"/>
  <c r="AD4" i="6"/>
  <c r="AE4" i="6"/>
  <c r="AF4" i="6"/>
  <c r="AG4" i="6"/>
  <c r="AH4" i="6"/>
  <c r="AI4" i="6"/>
  <c r="AJ4" i="6"/>
  <c r="AK4" i="6"/>
  <c r="AL4" i="6"/>
  <c r="Y5" i="6"/>
  <c r="Z5" i="6"/>
  <c r="AA5" i="6"/>
  <c r="AB5" i="6"/>
  <c r="AC5" i="6"/>
  <c r="AD5" i="6"/>
  <c r="AE5" i="6"/>
  <c r="AF5" i="6"/>
  <c r="AG5" i="6"/>
  <c r="AH5" i="6"/>
  <c r="AI5" i="6"/>
  <c r="AJ5" i="6"/>
  <c r="AK5" i="6"/>
  <c r="AL5" i="6"/>
  <c r="Y6" i="6"/>
  <c r="Z6" i="6"/>
  <c r="AA6" i="6"/>
  <c r="AB6" i="6"/>
  <c r="AC6" i="6"/>
  <c r="AD6" i="6"/>
  <c r="AE6" i="6"/>
  <c r="AF6" i="6"/>
  <c r="AG6" i="6"/>
  <c r="AH6" i="6"/>
  <c r="AI6" i="6"/>
  <c r="AJ6" i="6"/>
  <c r="AK6" i="6"/>
  <c r="AL6" i="6"/>
  <c r="Y7" i="6"/>
  <c r="Z7" i="6"/>
  <c r="AA7" i="6"/>
  <c r="AB7" i="6"/>
  <c r="AC7" i="6"/>
  <c r="AD7" i="6"/>
  <c r="AE7" i="6"/>
  <c r="AF7" i="6"/>
  <c r="AG7" i="6"/>
  <c r="AH7" i="6"/>
  <c r="AI7" i="6"/>
  <c r="AJ7" i="6"/>
  <c r="AK7" i="6"/>
  <c r="AL7" i="6"/>
  <c r="Y8" i="6"/>
  <c r="Z8" i="6"/>
  <c r="AA8" i="6"/>
  <c r="AB8" i="6"/>
  <c r="AC8" i="6"/>
  <c r="AD8" i="6"/>
  <c r="AE8" i="6"/>
  <c r="AF8" i="6"/>
  <c r="AG8" i="6"/>
  <c r="AH8" i="6"/>
  <c r="AI8" i="6"/>
  <c r="AJ8" i="6"/>
  <c r="AK8" i="6"/>
  <c r="AL8" i="6"/>
  <c r="Y9" i="6"/>
  <c r="Z9" i="6"/>
  <c r="AA9" i="6"/>
  <c r="AB9" i="6"/>
  <c r="AC9" i="6"/>
  <c r="AD9" i="6"/>
  <c r="AE9" i="6"/>
  <c r="AF9" i="6"/>
  <c r="AG9" i="6"/>
  <c r="AH9" i="6"/>
  <c r="AI9" i="6"/>
  <c r="AJ9" i="6"/>
  <c r="AK9" i="6"/>
  <c r="AL9" i="6"/>
  <c r="Y10" i="6"/>
  <c r="Z10" i="6"/>
  <c r="AA10" i="6"/>
  <c r="AB10" i="6"/>
  <c r="AC10" i="6"/>
  <c r="AD10" i="6"/>
  <c r="AE10" i="6"/>
  <c r="AF10" i="6"/>
  <c r="AG10" i="6"/>
  <c r="AH10" i="6"/>
  <c r="AI10" i="6"/>
  <c r="AJ10" i="6"/>
  <c r="AK10" i="6"/>
  <c r="AL10" i="6"/>
  <c r="Y11" i="6"/>
  <c r="Z11" i="6"/>
  <c r="AA11" i="6"/>
  <c r="AB11" i="6"/>
  <c r="AC11" i="6"/>
  <c r="AD11" i="6"/>
  <c r="AE11" i="6"/>
  <c r="AF11" i="6"/>
  <c r="AG11" i="6"/>
  <c r="AH11" i="6"/>
  <c r="AI11" i="6"/>
  <c r="AJ11" i="6"/>
  <c r="AK11" i="6"/>
  <c r="AL11" i="6"/>
  <c r="Y12" i="6"/>
  <c r="Z12" i="6"/>
  <c r="AA12" i="6"/>
  <c r="AB12" i="6"/>
  <c r="AC12" i="6"/>
  <c r="AD12" i="6"/>
  <c r="AE12" i="6"/>
  <c r="AF12" i="6"/>
  <c r="AG12" i="6"/>
  <c r="AH12" i="6"/>
  <c r="AI12" i="6"/>
  <c r="AJ12" i="6"/>
  <c r="AK12" i="6"/>
  <c r="AL12" i="6"/>
  <c r="Y13" i="6"/>
  <c r="Z13" i="6"/>
  <c r="AA13" i="6"/>
  <c r="AB13" i="6"/>
  <c r="AC13" i="6"/>
  <c r="AD13" i="6"/>
  <c r="AE13" i="6"/>
  <c r="AF13" i="6"/>
  <c r="AG13" i="6"/>
  <c r="AH13" i="6"/>
  <c r="AI13" i="6"/>
  <c r="AJ13" i="6"/>
  <c r="AK13" i="6"/>
  <c r="AL13" i="6"/>
  <c r="Y14" i="6"/>
  <c r="Z14" i="6"/>
  <c r="AA14" i="6"/>
  <c r="AB14" i="6"/>
  <c r="AC14" i="6"/>
  <c r="AD14" i="6"/>
  <c r="AE14" i="6"/>
  <c r="AF14" i="6"/>
  <c r="AG14" i="6"/>
  <c r="AH14" i="6"/>
  <c r="AI14" i="6"/>
  <c r="AJ14" i="6"/>
  <c r="AK14" i="6"/>
  <c r="AL14" i="6"/>
  <c r="Y15" i="6"/>
  <c r="Z15" i="6"/>
  <c r="AA15" i="6"/>
  <c r="AB15" i="6"/>
  <c r="AC15" i="6"/>
  <c r="AD15" i="6"/>
  <c r="AE15" i="6"/>
  <c r="AF15" i="6"/>
  <c r="AG15" i="6"/>
  <c r="AH15" i="6"/>
  <c r="AI15" i="6"/>
  <c r="AJ15" i="6"/>
  <c r="AK15" i="6"/>
  <c r="AL15" i="6"/>
  <c r="Y16" i="6"/>
  <c r="Z16" i="6"/>
  <c r="AA16" i="6"/>
  <c r="AB16" i="6"/>
  <c r="AC16" i="6"/>
  <c r="AD16" i="6"/>
  <c r="AE16" i="6"/>
  <c r="AF16" i="6"/>
  <c r="AG16" i="6"/>
  <c r="AH16" i="6"/>
  <c r="AI16" i="6"/>
  <c r="AJ16" i="6"/>
  <c r="AK16" i="6"/>
  <c r="AL16" i="6"/>
  <c r="Y17" i="6"/>
  <c r="Z17" i="6"/>
  <c r="AA17" i="6"/>
  <c r="AB17" i="6"/>
  <c r="AC17" i="6"/>
  <c r="AD17" i="6"/>
  <c r="AE17" i="6"/>
  <c r="AF17" i="6"/>
  <c r="AG17" i="6"/>
  <c r="AH17" i="6"/>
  <c r="AI17" i="6"/>
  <c r="AJ17" i="6"/>
  <c r="AK17" i="6"/>
  <c r="AL17" i="6"/>
  <c r="Y18" i="6"/>
  <c r="Z18" i="6"/>
  <c r="AA18" i="6"/>
  <c r="AB18" i="6"/>
  <c r="AC18" i="6"/>
  <c r="AD18" i="6"/>
  <c r="AE18" i="6"/>
  <c r="AF18" i="6"/>
  <c r="AG18" i="6"/>
  <c r="AH18" i="6"/>
  <c r="AI18" i="6"/>
  <c r="AJ18" i="6"/>
  <c r="AK18" i="6"/>
  <c r="AL18" i="6"/>
  <c r="Y19" i="6"/>
  <c r="Z19" i="6"/>
  <c r="AA19" i="6"/>
  <c r="AB19" i="6"/>
  <c r="AC19" i="6"/>
  <c r="AD19" i="6"/>
  <c r="AE19" i="6"/>
  <c r="AF19" i="6"/>
  <c r="AG19" i="6"/>
  <c r="AH19" i="6"/>
  <c r="AI19" i="6"/>
  <c r="AJ19" i="6"/>
  <c r="AK19" i="6"/>
  <c r="AL19" i="6"/>
  <c r="Y20" i="6"/>
  <c r="Z20" i="6"/>
  <c r="AA20" i="6"/>
  <c r="AB20" i="6"/>
  <c r="AC20" i="6"/>
  <c r="AD20" i="6"/>
  <c r="AE20" i="6"/>
  <c r="AF20" i="6"/>
  <c r="AG20" i="6"/>
  <c r="AH20" i="6"/>
  <c r="AI20" i="6"/>
  <c r="AJ20" i="6"/>
  <c r="AK20" i="6"/>
  <c r="AL20" i="6"/>
  <c r="Y21" i="6"/>
  <c r="Z21" i="6"/>
  <c r="AA21" i="6"/>
  <c r="AB21" i="6"/>
  <c r="AC21" i="6"/>
  <c r="AD21" i="6"/>
  <c r="AE21" i="6"/>
  <c r="AF21" i="6"/>
  <c r="AG21" i="6"/>
  <c r="AH21" i="6"/>
  <c r="AI21" i="6"/>
  <c r="AJ21" i="6"/>
  <c r="AK21" i="6"/>
  <c r="AL21" i="6"/>
  <c r="Y22" i="6"/>
  <c r="Z22" i="6"/>
  <c r="AA22" i="6"/>
  <c r="AB22" i="6"/>
  <c r="AC22" i="6"/>
  <c r="AD22" i="6"/>
  <c r="AE22" i="6"/>
  <c r="AF22" i="6"/>
  <c r="AG22" i="6"/>
  <c r="AH22" i="6"/>
  <c r="AI22" i="6"/>
  <c r="AJ22" i="6"/>
  <c r="AK22" i="6"/>
  <c r="AL22" i="6"/>
  <c r="Y23" i="6"/>
  <c r="Z23" i="6"/>
  <c r="AA23" i="6"/>
  <c r="AB23" i="6"/>
  <c r="AC23" i="6"/>
  <c r="AD23" i="6"/>
  <c r="AE23" i="6"/>
  <c r="AF23" i="6"/>
  <c r="AG23" i="6"/>
  <c r="AH23" i="6"/>
  <c r="AI23" i="6"/>
  <c r="AJ23" i="6"/>
  <c r="AK23" i="6"/>
  <c r="AL23" i="6"/>
  <c r="Y24" i="6"/>
  <c r="Z24" i="6"/>
  <c r="AA24" i="6"/>
  <c r="AB24" i="6"/>
  <c r="AC24" i="6"/>
  <c r="AD24" i="6"/>
  <c r="AE24" i="6"/>
  <c r="AF24" i="6"/>
  <c r="AG24" i="6"/>
  <c r="AH24" i="6"/>
  <c r="AI24" i="6"/>
  <c r="AJ24" i="6"/>
  <c r="AK24" i="6"/>
  <c r="AL24" i="6"/>
  <c r="Y25" i="6"/>
  <c r="Z25" i="6"/>
  <c r="AA25" i="6"/>
  <c r="AB25" i="6"/>
  <c r="AC25" i="6"/>
  <c r="AD25" i="6"/>
  <c r="AE25" i="6"/>
  <c r="AF25" i="6"/>
  <c r="AG25" i="6"/>
  <c r="AH25" i="6"/>
  <c r="AI25" i="6"/>
  <c r="AJ25" i="6"/>
  <c r="AK25" i="6"/>
  <c r="AL25" i="6"/>
  <c r="Y26" i="6"/>
  <c r="Z26" i="6"/>
  <c r="AA26" i="6"/>
  <c r="AB26" i="6"/>
  <c r="AC26" i="6"/>
  <c r="AD26" i="6"/>
  <c r="AE26" i="6"/>
  <c r="AF26" i="6"/>
  <c r="AG26" i="6"/>
  <c r="AH26" i="6"/>
  <c r="AI26" i="6"/>
  <c r="AJ26" i="6"/>
  <c r="AK26" i="6"/>
  <c r="AL26" i="6"/>
  <c r="Y27" i="6"/>
  <c r="Z27" i="6"/>
  <c r="AA27" i="6"/>
  <c r="AB27" i="6"/>
  <c r="AC27" i="6"/>
  <c r="AD27" i="6"/>
  <c r="AE27" i="6"/>
  <c r="AF27" i="6"/>
  <c r="AG27" i="6"/>
  <c r="AH27" i="6"/>
  <c r="AI27" i="6"/>
  <c r="AJ27" i="6"/>
  <c r="Y28" i="6"/>
  <c r="Z28" i="6"/>
  <c r="AA28" i="6"/>
  <c r="AB28" i="6"/>
  <c r="AC28" i="6"/>
  <c r="AD28" i="6"/>
  <c r="AE28" i="6"/>
  <c r="AF28" i="6"/>
  <c r="AG28" i="6"/>
  <c r="AH28" i="6"/>
  <c r="AI28" i="6"/>
  <c r="AJ28" i="6"/>
  <c r="T12" i="1"/>
  <c r="S12" i="1"/>
  <c r="T13" i="1"/>
  <c r="V16" i="1"/>
  <c r="S17" i="1"/>
  <c r="S16" i="1"/>
  <c r="L91" i="3"/>
  <c r="J95" i="3" a="1"/>
  <c r="K98" i="3"/>
  <c r="K96" i="3"/>
  <c r="M98" i="3"/>
  <c r="K100" i="3"/>
  <c r="J98" i="3"/>
  <c r="J95" i="3"/>
  <c r="J100" i="3"/>
  <c r="L98" i="3"/>
  <c r="L97" i="3"/>
  <c r="L100" i="3"/>
  <c r="K95" i="3"/>
  <c r="L95" i="3"/>
  <c r="M95" i="3"/>
  <c r="J96" i="3"/>
  <c r="L96" i="3"/>
  <c r="M96" i="3"/>
  <c r="J97" i="3"/>
  <c r="K97" i="3"/>
  <c r="M97" i="3"/>
  <c r="K65" i="3"/>
  <c r="K64" i="3"/>
  <c r="L65" i="3"/>
  <c r="R65" i="3"/>
  <c r="J65" i="3"/>
  <c r="J63" i="3"/>
  <c r="Q65" i="3"/>
  <c r="J64" i="3"/>
  <c r="Q64" i="3"/>
  <c r="K63" i="3"/>
  <c r="L72" i="3"/>
  <c r="L63" i="3"/>
  <c r="L73" i="3"/>
  <c r="L64" i="3"/>
  <c r="E4" i="3"/>
  <c r="J26" i="3"/>
  <c r="C8" i="3"/>
  <c r="E8" i="3"/>
  <c r="K26" i="3"/>
  <c r="C20" i="3"/>
  <c r="E20" i="3"/>
  <c r="M26" i="3"/>
  <c r="C24" i="3"/>
  <c r="E24" i="3"/>
  <c r="N26" i="3"/>
  <c r="C28" i="3"/>
  <c r="E28" i="3"/>
  <c r="O26" i="3"/>
  <c r="C12" i="3"/>
  <c r="E12" i="3"/>
  <c r="Q26" i="3"/>
  <c r="C16" i="3"/>
  <c r="E16" i="3"/>
  <c r="R26" i="3"/>
  <c r="K14" i="3"/>
  <c r="K15" i="3"/>
  <c r="L16" i="3"/>
  <c r="J37" i="3" a="1"/>
  <c r="J37" i="3"/>
  <c r="K37" i="3"/>
  <c r="L37" i="3"/>
  <c r="M37" i="3"/>
  <c r="J38" i="3"/>
  <c r="K38" i="3"/>
  <c r="L38" i="3"/>
  <c r="M38" i="3"/>
  <c r="J39" i="3"/>
  <c r="K39" i="3"/>
  <c r="L39" i="3"/>
  <c r="M39" i="3"/>
  <c r="J40" i="3"/>
  <c r="K40" i="3"/>
  <c r="L40" i="3"/>
  <c r="M40" i="3"/>
  <c r="J41" i="3"/>
  <c r="K41" i="3"/>
  <c r="L41" i="3"/>
  <c r="M41" i="3"/>
  <c r="J42" i="3"/>
  <c r="K42" i="3"/>
  <c r="L42" i="3"/>
  <c r="M42" i="3"/>
  <c r="J43" i="3"/>
  <c r="K43" i="3"/>
  <c r="L43" i="3"/>
  <c r="M43" i="3"/>
  <c r="J44" i="3"/>
  <c r="K44" i="3"/>
  <c r="L44" i="3"/>
  <c r="M44" i="3"/>
  <c r="J45" i="3"/>
  <c r="K45" i="3"/>
  <c r="L45" i="3"/>
  <c r="M45" i="3"/>
  <c r="J46" i="3"/>
  <c r="K46" i="3"/>
  <c r="L46" i="3"/>
  <c r="M46" i="3"/>
  <c r="B38" i="3"/>
  <c r="B35" i="3"/>
  <c r="B32" i="3"/>
  <c r="E29" i="2"/>
  <c r="E10" i="2"/>
  <c r="E11" i="2"/>
  <c r="E12" i="2"/>
  <c r="E13" i="2"/>
  <c r="E14" i="2"/>
  <c r="E15" i="2"/>
  <c r="E16" i="2"/>
  <c r="E17" i="2"/>
  <c r="E18" i="2"/>
  <c r="E19" i="2"/>
  <c r="E20" i="2"/>
  <c r="E21" i="2"/>
  <c r="E22" i="2"/>
  <c r="E23" i="2"/>
  <c r="E24" i="2"/>
  <c r="E25" i="2"/>
  <c r="E26" i="2"/>
  <c r="E27" i="2"/>
  <c r="T17" i="1"/>
  <c r="R17" i="1"/>
  <c r="U17" i="1"/>
  <c r="T16" i="1"/>
  <c r="R16" i="1"/>
  <c r="U16" i="1"/>
  <c r="S13" i="1"/>
  <c r="F3" i="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F271" i="1"/>
  <c r="G271" i="1"/>
  <c r="F272" i="1"/>
  <c r="G272" i="1"/>
  <c r="F273" i="1"/>
  <c r="G273" i="1"/>
  <c r="F274" i="1"/>
  <c r="G274" i="1"/>
  <c r="F275" i="1"/>
  <c r="G275" i="1"/>
  <c r="F276" i="1"/>
  <c r="G276" i="1"/>
  <c r="F277" i="1"/>
  <c r="G277" i="1"/>
  <c r="F278" i="1"/>
  <c r="G278" i="1"/>
  <c r="F279" i="1"/>
  <c r="G279" i="1"/>
  <c r="F280" i="1"/>
  <c r="G280" i="1"/>
  <c r="F281" i="1"/>
  <c r="G281" i="1"/>
  <c r="F282" i="1"/>
  <c r="G282" i="1"/>
  <c r="F283" i="1"/>
  <c r="G283" i="1"/>
  <c r="F284" i="1"/>
  <c r="G284" i="1"/>
  <c r="F285" i="1"/>
  <c r="G285" i="1"/>
  <c r="F286" i="1"/>
  <c r="G286" i="1"/>
  <c r="F287" i="1"/>
  <c r="G287" i="1"/>
  <c r="F288" i="1"/>
  <c r="G288" i="1"/>
  <c r="F289" i="1"/>
  <c r="G289" i="1"/>
  <c r="F290" i="1"/>
  <c r="G290" i="1"/>
  <c r="F291" i="1"/>
  <c r="G291" i="1"/>
  <c r="F292" i="1"/>
  <c r="G292" i="1"/>
  <c r="F293" i="1"/>
  <c r="G293" i="1"/>
  <c r="F294" i="1"/>
  <c r="G294" i="1"/>
  <c r="F295" i="1"/>
  <c r="G295" i="1"/>
  <c r="F296" i="1"/>
  <c r="G296" i="1"/>
  <c r="F297" i="1"/>
  <c r="G297" i="1"/>
  <c r="F298" i="1"/>
  <c r="G298" i="1"/>
  <c r="F299" i="1"/>
  <c r="G299" i="1"/>
  <c r="F300" i="1"/>
  <c r="G300" i="1"/>
  <c r="F301" i="1"/>
  <c r="G301" i="1"/>
  <c r="F302" i="1"/>
  <c r="G302" i="1"/>
  <c r="F303" i="1"/>
  <c r="G303" i="1"/>
  <c r="F304" i="1"/>
  <c r="G304" i="1"/>
  <c r="F305" i="1"/>
  <c r="G305" i="1"/>
  <c r="F306" i="1"/>
  <c r="G306" i="1"/>
  <c r="F307" i="1"/>
  <c r="G307" i="1"/>
  <c r="F308" i="1"/>
  <c r="G308" i="1"/>
  <c r="F309" i="1"/>
  <c r="G309" i="1"/>
  <c r="F310" i="1"/>
  <c r="G310" i="1"/>
  <c r="F311" i="1"/>
  <c r="G311" i="1"/>
  <c r="F312" i="1"/>
  <c r="G312" i="1"/>
  <c r="F313" i="1"/>
  <c r="G313" i="1"/>
  <c r="F314" i="1"/>
  <c r="G314" i="1"/>
  <c r="F315" i="1"/>
  <c r="G315" i="1"/>
  <c r="F316" i="1"/>
  <c r="G316" i="1"/>
  <c r="F317" i="1"/>
  <c r="G317" i="1"/>
  <c r="F318" i="1"/>
  <c r="G318" i="1"/>
  <c r="F319" i="1"/>
  <c r="G319" i="1"/>
  <c r="F320" i="1"/>
  <c r="G320" i="1"/>
  <c r="F321" i="1"/>
  <c r="G321" i="1"/>
  <c r="F322" i="1"/>
  <c r="G322" i="1"/>
  <c r="F323" i="1"/>
  <c r="G323" i="1"/>
  <c r="F324" i="1"/>
  <c r="G324" i="1"/>
  <c r="F325" i="1"/>
  <c r="G325" i="1"/>
  <c r="F326" i="1"/>
  <c r="G326" i="1"/>
  <c r="F327" i="1"/>
  <c r="G327" i="1"/>
  <c r="F328" i="1"/>
  <c r="G328" i="1"/>
  <c r="F329" i="1"/>
  <c r="G329" i="1"/>
  <c r="F330" i="1"/>
  <c r="G330" i="1"/>
  <c r="F331" i="1"/>
  <c r="G331" i="1"/>
  <c r="F332" i="1"/>
  <c r="G332" i="1"/>
  <c r="F333" i="1"/>
  <c r="G333" i="1"/>
  <c r="F334" i="1"/>
  <c r="G334" i="1"/>
  <c r="F335" i="1"/>
  <c r="G335" i="1"/>
  <c r="F336" i="1"/>
  <c r="G336" i="1"/>
  <c r="F337" i="1"/>
  <c r="G337" i="1"/>
  <c r="F338" i="1"/>
  <c r="G338" i="1"/>
  <c r="F339" i="1"/>
  <c r="G339" i="1"/>
  <c r="F340" i="1"/>
  <c r="G340" i="1"/>
  <c r="F341" i="1"/>
  <c r="G341" i="1"/>
  <c r="F342" i="1"/>
  <c r="G342" i="1"/>
  <c r="F343" i="1"/>
  <c r="G343" i="1"/>
  <c r="F344" i="1"/>
  <c r="G344" i="1"/>
  <c r="F345" i="1"/>
  <c r="G345" i="1"/>
  <c r="F346" i="1"/>
  <c r="G346" i="1"/>
  <c r="F347" i="1"/>
  <c r="G347" i="1"/>
  <c r="F348" i="1"/>
  <c r="G348" i="1"/>
  <c r="F349" i="1"/>
  <c r="G349" i="1"/>
  <c r="F350" i="1"/>
  <c r="G350" i="1"/>
  <c r="F351" i="1"/>
  <c r="G351" i="1"/>
  <c r="F352" i="1"/>
  <c r="G352" i="1"/>
  <c r="F353" i="1"/>
  <c r="G353" i="1"/>
  <c r="F354" i="1"/>
  <c r="G354" i="1"/>
  <c r="F355" i="1"/>
  <c r="G355" i="1"/>
  <c r="F356" i="1"/>
  <c r="G356" i="1"/>
  <c r="F357" i="1"/>
  <c r="G357" i="1"/>
  <c r="F358" i="1"/>
  <c r="G358" i="1"/>
  <c r="F359" i="1"/>
  <c r="G359" i="1"/>
  <c r="F360" i="1"/>
  <c r="G360" i="1"/>
  <c r="F361" i="1"/>
  <c r="G361" i="1"/>
  <c r="F362" i="1"/>
  <c r="G362" i="1"/>
  <c r="F363" i="1"/>
  <c r="G363" i="1"/>
  <c r="F364" i="1"/>
  <c r="G364" i="1"/>
  <c r="F365" i="1"/>
  <c r="G365" i="1"/>
  <c r="F366" i="1"/>
  <c r="G366" i="1"/>
  <c r="F367" i="1"/>
  <c r="G367" i="1"/>
  <c r="F368" i="1"/>
  <c r="G368" i="1"/>
  <c r="F369" i="1"/>
  <c r="G369" i="1"/>
  <c r="F370" i="1"/>
  <c r="G370" i="1"/>
  <c r="F371" i="1"/>
  <c r="G371" i="1"/>
  <c r="F372" i="1"/>
  <c r="G372" i="1"/>
  <c r="F373" i="1"/>
  <c r="G373" i="1"/>
  <c r="F374" i="1"/>
  <c r="G374" i="1"/>
  <c r="F375" i="1"/>
  <c r="G375" i="1"/>
  <c r="F376" i="1"/>
  <c r="G376" i="1"/>
  <c r="F377" i="1"/>
  <c r="G377" i="1"/>
  <c r="F378" i="1"/>
  <c r="G378" i="1"/>
  <c r="F379" i="1"/>
  <c r="G379" i="1"/>
  <c r="F380" i="1"/>
  <c r="G380" i="1"/>
  <c r="F381" i="1"/>
  <c r="G381" i="1"/>
  <c r="F382" i="1"/>
  <c r="G382" i="1"/>
  <c r="F383" i="1"/>
  <c r="G383" i="1"/>
  <c r="F384" i="1"/>
  <c r="G384" i="1"/>
  <c r="F385" i="1"/>
  <c r="G385" i="1"/>
  <c r="F386" i="1"/>
  <c r="G386" i="1"/>
  <c r="F387" i="1"/>
  <c r="G387" i="1"/>
  <c r="F388" i="1"/>
  <c r="G388" i="1"/>
  <c r="F389" i="1"/>
  <c r="G389" i="1"/>
  <c r="F390" i="1"/>
  <c r="G390" i="1"/>
  <c r="F391" i="1"/>
  <c r="G391" i="1"/>
  <c r="F392" i="1"/>
  <c r="G392" i="1"/>
  <c r="F393" i="1"/>
  <c r="G393" i="1"/>
  <c r="F394" i="1"/>
  <c r="G394" i="1"/>
  <c r="F395" i="1"/>
  <c r="G395" i="1"/>
  <c r="F396" i="1"/>
  <c r="G396" i="1"/>
  <c r="F397" i="1"/>
  <c r="G397" i="1"/>
  <c r="F398" i="1"/>
  <c r="G398" i="1"/>
  <c r="F399" i="1"/>
  <c r="G399" i="1"/>
  <c r="F400" i="1"/>
  <c r="G400" i="1"/>
  <c r="F401" i="1"/>
  <c r="G401" i="1"/>
  <c r="F402" i="1"/>
  <c r="G402" i="1"/>
  <c r="F403" i="1"/>
  <c r="G403" i="1"/>
  <c r="F404" i="1"/>
  <c r="G404" i="1"/>
  <c r="F405" i="1"/>
  <c r="G405" i="1"/>
  <c r="F406" i="1"/>
  <c r="G406" i="1"/>
  <c r="F407" i="1"/>
  <c r="G407" i="1"/>
  <c r="F408" i="1"/>
  <c r="G408" i="1"/>
  <c r="F409" i="1"/>
  <c r="G409" i="1"/>
  <c r="F410" i="1"/>
  <c r="G410" i="1"/>
  <c r="F411" i="1"/>
  <c r="G411" i="1"/>
  <c r="F412" i="1"/>
  <c r="G412" i="1"/>
  <c r="F413" i="1"/>
  <c r="G413" i="1"/>
  <c r="F414" i="1"/>
  <c r="G414" i="1"/>
  <c r="F415" i="1"/>
  <c r="G415" i="1"/>
  <c r="F416" i="1"/>
  <c r="G416" i="1"/>
  <c r="F417" i="1"/>
  <c r="G417" i="1"/>
  <c r="F418" i="1"/>
  <c r="G418" i="1"/>
  <c r="F419" i="1"/>
  <c r="G419" i="1"/>
  <c r="F420" i="1"/>
  <c r="G420" i="1"/>
  <c r="F421" i="1"/>
  <c r="G421" i="1"/>
  <c r="F422" i="1"/>
  <c r="G422" i="1"/>
  <c r="F423" i="1"/>
  <c r="G423" i="1"/>
  <c r="F424" i="1"/>
  <c r="G424" i="1"/>
  <c r="F425" i="1"/>
  <c r="G425" i="1"/>
  <c r="F426" i="1"/>
  <c r="G426" i="1"/>
  <c r="F427" i="1"/>
  <c r="G427" i="1"/>
  <c r="F428" i="1"/>
  <c r="G428" i="1"/>
  <c r="F429" i="1"/>
  <c r="G429" i="1"/>
  <c r="F430" i="1"/>
  <c r="G430" i="1"/>
  <c r="F431" i="1"/>
  <c r="G431" i="1"/>
  <c r="F432" i="1"/>
  <c r="G432" i="1"/>
  <c r="F433" i="1"/>
  <c r="G433" i="1"/>
  <c r="F434" i="1"/>
  <c r="G434" i="1"/>
  <c r="F435" i="1"/>
  <c r="G435" i="1"/>
  <c r="F436" i="1"/>
  <c r="G436" i="1"/>
  <c r="F437" i="1"/>
  <c r="G437" i="1"/>
  <c r="F438" i="1"/>
  <c r="G438" i="1"/>
  <c r="F439" i="1"/>
  <c r="G439" i="1"/>
  <c r="F440" i="1"/>
  <c r="G440" i="1"/>
  <c r="F441" i="1"/>
  <c r="G441" i="1"/>
  <c r="F442" i="1"/>
  <c r="G442" i="1"/>
  <c r="F443" i="1"/>
  <c r="G443" i="1"/>
  <c r="F444" i="1"/>
  <c r="G444" i="1"/>
  <c r="F445" i="1"/>
  <c r="G445" i="1"/>
  <c r="F446" i="1"/>
  <c r="G446" i="1"/>
  <c r="F447" i="1"/>
  <c r="G447" i="1"/>
  <c r="F448" i="1"/>
  <c r="G448" i="1"/>
  <c r="F449" i="1"/>
  <c r="G449" i="1"/>
  <c r="F450" i="1"/>
  <c r="G450" i="1"/>
  <c r="F451" i="1"/>
  <c r="G451" i="1"/>
  <c r="F452" i="1"/>
  <c r="G452" i="1"/>
  <c r="F453" i="1"/>
  <c r="G453" i="1"/>
  <c r="F454" i="1"/>
  <c r="G454" i="1"/>
  <c r="F455" i="1"/>
  <c r="G455" i="1"/>
  <c r="F456" i="1"/>
  <c r="G456" i="1"/>
  <c r="F457" i="1"/>
  <c r="G457" i="1"/>
  <c r="F458" i="1"/>
  <c r="G458" i="1"/>
  <c r="F459" i="1"/>
  <c r="G459" i="1"/>
  <c r="F460" i="1"/>
  <c r="G460" i="1"/>
  <c r="F461" i="1"/>
  <c r="G461" i="1"/>
  <c r="F462" i="1"/>
  <c r="G462" i="1"/>
  <c r="F463" i="1"/>
  <c r="G463" i="1"/>
  <c r="F464" i="1"/>
  <c r="G464" i="1"/>
  <c r="F465" i="1"/>
  <c r="G465" i="1"/>
  <c r="F466" i="1"/>
  <c r="G466" i="1"/>
  <c r="F467" i="1"/>
  <c r="G467" i="1"/>
  <c r="F468" i="1"/>
  <c r="G468" i="1"/>
  <c r="F469" i="1"/>
  <c r="G469" i="1"/>
  <c r="F470" i="1"/>
  <c r="G470" i="1"/>
  <c r="F471" i="1"/>
  <c r="G471" i="1"/>
  <c r="F472" i="1"/>
  <c r="G472" i="1"/>
  <c r="F473" i="1"/>
  <c r="G473" i="1"/>
  <c r="F474" i="1"/>
  <c r="G474" i="1"/>
  <c r="F475" i="1"/>
  <c r="G475" i="1"/>
  <c r="F476" i="1"/>
  <c r="G476" i="1"/>
  <c r="F477" i="1"/>
  <c r="G477" i="1"/>
  <c r="F478" i="1"/>
  <c r="G478" i="1"/>
  <c r="F479" i="1"/>
  <c r="G479" i="1"/>
  <c r="F480" i="1"/>
  <c r="G480" i="1"/>
  <c r="F481" i="1"/>
  <c r="G481" i="1"/>
  <c r="F482" i="1"/>
  <c r="G482" i="1"/>
  <c r="F483" i="1"/>
  <c r="G483" i="1"/>
  <c r="F484" i="1"/>
  <c r="G484" i="1"/>
  <c r="F485" i="1"/>
  <c r="G485" i="1"/>
  <c r="F486" i="1"/>
  <c r="G486" i="1"/>
  <c r="F487" i="1"/>
  <c r="G487" i="1"/>
  <c r="F488" i="1"/>
  <c r="G488" i="1"/>
  <c r="F489" i="1"/>
  <c r="G489" i="1"/>
  <c r="F490" i="1"/>
  <c r="G490" i="1"/>
  <c r="F491" i="1"/>
  <c r="G491" i="1"/>
  <c r="F492" i="1"/>
  <c r="G492" i="1"/>
  <c r="F493" i="1"/>
  <c r="G493" i="1"/>
  <c r="F494" i="1"/>
  <c r="G494" i="1"/>
  <c r="F495" i="1"/>
  <c r="G495" i="1"/>
  <c r="F496" i="1"/>
  <c r="G496" i="1"/>
  <c r="F497" i="1"/>
  <c r="G497" i="1"/>
  <c r="F498" i="1"/>
  <c r="G498" i="1"/>
  <c r="F499" i="1"/>
  <c r="G499" i="1"/>
  <c r="F500" i="1"/>
  <c r="G500" i="1"/>
  <c r="F501" i="1"/>
  <c r="G501" i="1"/>
  <c r="F502" i="1"/>
  <c r="G502" i="1"/>
  <c r="F503" i="1"/>
  <c r="G503" i="1"/>
  <c r="F504" i="1"/>
  <c r="G504" i="1"/>
  <c r="F505" i="1"/>
  <c r="G505" i="1"/>
  <c r="F506" i="1"/>
  <c r="G506" i="1"/>
  <c r="F507" i="1"/>
  <c r="G507" i="1"/>
  <c r="F508" i="1"/>
  <c r="G508" i="1"/>
  <c r="F509" i="1"/>
  <c r="G509" i="1"/>
  <c r="F510" i="1"/>
  <c r="G510" i="1"/>
  <c r="F511" i="1"/>
  <c r="G511" i="1"/>
  <c r="F512" i="1"/>
  <c r="G512" i="1"/>
  <c r="F513" i="1"/>
  <c r="G513" i="1"/>
  <c r="F514" i="1"/>
  <c r="G514" i="1"/>
  <c r="F515" i="1"/>
  <c r="G515" i="1"/>
  <c r="F516" i="1"/>
  <c r="G516" i="1"/>
  <c r="F517" i="1"/>
  <c r="G517" i="1"/>
  <c r="F518" i="1"/>
  <c r="G518" i="1"/>
  <c r="F519" i="1"/>
  <c r="G519" i="1"/>
  <c r="F520" i="1"/>
  <c r="G520" i="1"/>
  <c r="F521" i="1"/>
  <c r="G521" i="1"/>
  <c r="F522" i="1"/>
  <c r="G522" i="1"/>
  <c r="F523" i="1"/>
  <c r="G523" i="1"/>
  <c r="F524" i="1"/>
  <c r="G524" i="1"/>
  <c r="F525" i="1"/>
  <c r="G525" i="1"/>
  <c r="F526" i="1"/>
  <c r="G526" i="1"/>
  <c r="F527" i="1"/>
  <c r="G527" i="1"/>
  <c r="F528" i="1"/>
  <c r="G528" i="1"/>
  <c r="F529" i="1"/>
  <c r="G529" i="1"/>
  <c r="F530" i="1"/>
  <c r="G530" i="1"/>
  <c r="F531" i="1"/>
  <c r="G531" i="1"/>
  <c r="F532" i="1"/>
  <c r="G532" i="1"/>
  <c r="F533" i="1"/>
  <c r="G533" i="1"/>
  <c r="F534" i="1"/>
  <c r="G534" i="1"/>
  <c r="F535" i="1"/>
  <c r="G535" i="1"/>
  <c r="F536" i="1"/>
  <c r="G536" i="1"/>
  <c r="F537" i="1"/>
  <c r="G537" i="1"/>
  <c r="F538" i="1"/>
  <c r="G538" i="1"/>
  <c r="F539" i="1"/>
  <c r="G539" i="1"/>
  <c r="F540" i="1"/>
  <c r="G540" i="1"/>
  <c r="F541" i="1"/>
  <c r="G541" i="1"/>
  <c r="F542" i="1"/>
  <c r="G542" i="1"/>
  <c r="F543" i="1"/>
  <c r="G543" i="1"/>
  <c r="F544" i="1"/>
  <c r="G544" i="1"/>
  <c r="F545" i="1"/>
  <c r="G545" i="1"/>
  <c r="F546" i="1"/>
  <c r="G546" i="1"/>
  <c r="F547" i="1"/>
  <c r="G547" i="1"/>
  <c r="F548" i="1"/>
  <c r="G548" i="1"/>
  <c r="F549" i="1"/>
  <c r="G549" i="1"/>
  <c r="F550" i="1"/>
  <c r="G550" i="1"/>
  <c r="F551" i="1"/>
  <c r="G551" i="1"/>
  <c r="F552" i="1"/>
  <c r="G552" i="1"/>
  <c r="F553" i="1"/>
  <c r="G553" i="1"/>
  <c r="F554" i="1"/>
  <c r="G554" i="1"/>
  <c r="F555" i="1"/>
  <c r="G555" i="1"/>
  <c r="F556" i="1"/>
  <c r="G556" i="1"/>
  <c r="F557" i="1"/>
  <c r="G557" i="1"/>
  <c r="F558" i="1"/>
  <c r="G558" i="1"/>
  <c r="F559" i="1"/>
  <c r="G559" i="1"/>
  <c r="F560" i="1"/>
  <c r="G560" i="1"/>
  <c r="F561" i="1"/>
  <c r="G561" i="1"/>
  <c r="F562" i="1"/>
  <c r="G562" i="1"/>
  <c r="F563" i="1"/>
  <c r="G563" i="1"/>
  <c r="F564" i="1"/>
  <c r="G564" i="1"/>
  <c r="F565" i="1"/>
  <c r="G565" i="1"/>
  <c r="F566" i="1"/>
  <c r="G566" i="1"/>
  <c r="F567" i="1"/>
  <c r="G567" i="1"/>
  <c r="F568" i="1"/>
  <c r="G568" i="1"/>
  <c r="F569" i="1"/>
  <c r="G569" i="1"/>
  <c r="F570" i="1"/>
  <c r="G570" i="1"/>
  <c r="F571" i="1"/>
  <c r="G571" i="1"/>
  <c r="F572" i="1"/>
  <c r="G572" i="1"/>
  <c r="F573" i="1"/>
  <c r="G573" i="1"/>
  <c r="F574" i="1"/>
  <c r="G574" i="1"/>
  <c r="F575" i="1"/>
  <c r="G575" i="1"/>
  <c r="F576" i="1"/>
  <c r="G576" i="1"/>
  <c r="F577" i="1"/>
  <c r="G577" i="1"/>
  <c r="F578" i="1"/>
  <c r="G578" i="1"/>
  <c r="F579" i="1"/>
  <c r="G579" i="1"/>
  <c r="F580" i="1"/>
  <c r="G580" i="1"/>
  <c r="F581" i="1"/>
  <c r="G581" i="1"/>
  <c r="F582" i="1"/>
  <c r="G582" i="1"/>
  <c r="F583" i="1"/>
  <c r="G583" i="1"/>
  <c r="F584" i="1"/>
  <c r="G584" i="1"/>
  <c r="F585" i="1"/>
  <c r="G585" i="1"/>
  <c r="F586" i="1"/>
  <c r="G586" i="1"/>
  <c r="F587" i="1"/>
  <c r="G587" i="1"/>
  <c r="F588" i="1"/>
  <c r="G588" i="1"/>
  <c r="F589" i="1"/>
  <c r="G589" i="1"/>
  <c r="F590" i="1"/>
  <c r="G590" i="1"/>
  <c r="F591" i="1"/>
  <c r="G591" i="1"/>
  <c r="F592" i="1"/>
  <c r="G592" i="1"/>
  <c r="F593" i="1"/>
  <c r="G593" i="1"/>
  <c r="F594" i="1"/>
  <c r="G594" i="1"/>
  <c r="F595" i="1"/>
  <c r="G595" i="1"/>
  <c r="F596" i="1"/>
  <c r="G596" i="1"/>
  <c r="F597" i="1"/>
  <c r="G597" i="1"/>
  <c r="F598" i="1"/>
  <c r="G598" i="1"/>
  <c r="F599" i="1"/>
  <c r="G599" i="1"/>
  <c r="F600" i="1"/>
  <c r="G600" i="1"/>
  <c r="F601" i="1"/>
  <c r="G601" i="1"/>
  <c r="F602" i="1"/>
  <c r="G602" i="1"/>
  <c r="F603" i="1"/>
  <c r="G603" i="1"/>
  <c r="F604" i="1"/>
  <c r="G604" i="1"/>
  <c r="F605" i="1"/>
  <c r="G605" i="1"/>
  <c r="F606" i="1"/>
  <c r="G606" i="1"/>
  <c r="F607" i="1"/>
  <c r="G607" i="1"/>
  <c r="F608" i="1"/>
  <c r="G608" i="1"/>
  <c r="F609" i="1"/>
  <c r="G609" i="1"/>
  <c r="F610" i="1"/>
  <c r="G610" i="1"/>
  <c r="F611" i="1"/>
  <c r="G611" i="1"/>
  <c r="F612" i="1"/>
  <c r="G612" i="1"/>
  <c r="F613" i="1"/>
  <c r="G613" i="1"/>
  <c r="F614" i="1"/>
  <c r="G614" i="1"/>
  <c r="F615" i="1"/>
  <c r="G615" i="1"/>
  <c r="F616" i="1"/>
  <c r="G616" i="1"/>
  <c r="F617" i="1"/>
  <c r="G617" i="1"/>
  <c r="F618" i="1"/>
  <c r="G618" i="1"/>
  <c r="F619" i="1"/>
  <c r="G619" i="1"/>
  <c r="F620" i="1"/>
  <c r="G620" i="1"/>
  <c r="F621" i="1"/>
  <c r="G621" i="1"/>
  <c r="F622" i="1"/>
  <c r="G622" i="1"/>
  <c r="F623" i="1"/>
  <c r="G623" i="1"/>
  <c r="F624" i="1"/>
  <c r="G624" i="1"/>
  <c r="F625" i="1"/>
  <c r="G625" i="1"/>
  <c r="F626" i="1"/>
  <c r="G626" i="1"/>
  <c r="F627" i="1"/>
  <c r="G627" i="1"/>
  <c r="F628" i="1"/>
  <c r="G628" i="1"/>
  <c r="F629" i="1"/>
  <c r="G629" i="1"/>
  <c r="F630" i="1"/>
  <c r="G630" i="1"/>
  <c r="F631" i="1"/>
  <c r="G631" i="1"/>
  <c r="F632" i="1"/>
  <c r="G632" i="1"/>
  <c r="F633" i="1"/>
  <c r="G633" i="1"/>
  <c r="F634" i="1"/>
  <c r="G634" i="1"/>
  <c r="F635" i="1"/>
  <c r="G635" i="1"/>
  <c r="F636" i="1"/>
  <c r="G636" i="1"/>
  <c r="F637" i="1"/>
  <c r="G637" i="1"/>
  <c r="F638" i="1"/>
  <c r="G638" i="1"/>
  <c r="F639" i="1"/>
  <c r="G639" i="1"/>
  <c r="F640" i="1"/>
  <c r="G640" i="1"/>
  <c r="F641" i="1"/>
  <c r="G641" i="1"/>
  <c r="F642" i="1"/>
  <c r="G642" i="1"/>
  <c r="F643" i="1"/>
  <c r="G643" i="1"/>
  <c r="F644" i="1"/>
  <c r="G644" i="1"/>
  <c r="F645" i="1"/>
  <c r="G645" i="1"/>
  <c r="F646" i="1"/>
  <c r="G646" i="1"/>
  <c r="F647" i="1"/>
  <c r="G647" i="1"/>
  <c r="F648" i="1"/>
  <c r="G648" i="1"/>
  <c r="F649" i="1"/>
  <c r="G649" i="1"/>
  <c r="F650" i="1"/>
  <c r="G650" i="1"/>
  <c r="F651" i="1"/>
  <c r="G651" i="1"/>
  <c r="F652" i="1"/>
  <c r="G652" i="1"/>
  <c r="F653" i="1"/>
  <c r="G653" i="1"/>
  <c r="F654" i="1"/>
  <c r="G654" i="1"/>
  <c r="F655" i="1"/>
  <c r="G655" i="1"/>
  <c r="F656" i="1"/>
  <c r="G656" i="1"/>
  <c r="F657" i="1"/>
  <c r="G657" i="1"/>
  <c r="F658" i="1"/>
  <c r="G658" i="1"/>
  <c r="F659" i="1"/>
  <c r="G659" i="1"/>
  <c r="F660" i="1"/>
  <c r="G660" i="1"/>
  <c r="F661" i="1"/>
  <c r="G661" i="1"/>
  <c r="F662" i="1"/>
  <c r="G662" i="1"/>
  <c r="F663" i="1"/>
  <c r="G663" i="1"/>
  <c r="F664" i="1"/>
  <c r="G664" i="1"/>
  <c r="F665" i="1"/>
  <c r="G665" i="1"/>
  <c r="F666" i="1"/>
  <c r="G666" i="1"/>
  <c r="F667" i="1"/>
  <c r="G667" i="1"/>
  <c r="F668" i="1"/>
  <c r="G668" i="1"/>
  <c r="F669" i="1"/>
  <c r="G669" i="1"/>
  <c r="F670" i="1"/>
  <c r="G670" i="1"/>
  <c r="F671" i="1"/>
  <c r="G671" i="1"/>
  <c r="F672" i="1"/>
  <c r="G672" i="1"/>
  <c r="F673" i="1"/>
  <c r="G673" i="1"/>
  <c r="F674" i="1"/>
  <c r="G674" i="1"/>
  <c r="F675" i="1"/>
  <c r="G675" i="1"/>
  <c r="F676" i="1"/>
  <c r="G676" i="1"/>
  <c r="F677" i="1"/>
  <c r="G677" i="1"/>
  <c r="F678" i="1"/>
  <c r="G678" i="1"/>
  <c r="F679" i="1"/>
  <c r="G679" i="1"/>
  <c r="F680" i="1"/>
  <c r="G680" i="1"/>
  <c r="F681" i="1"/>
  <c r="G681" i="1"/>
  <c r="F682" i="1"/>
  <c r="G682" i="1"/>
  <c r="F683" i="1"/>
  <c r="G683" i="1"/>
  <c r="F684" i="1"/>
  <c r="G684" i="1"/>
  <c r="F685" i="1"/>
  <c r="G685" i="1"/>
  <c r="F686" i="1"/>
  <c r="G686" i="1"/>
  <c r="F687" i="1"/>
  <c r="G687" i="1"/>
  <c r="F688" i="1"/>
  <c r="G688" i="1"/>
  <c r="F689" i="1"/>
  <c r="G689" i="1"/>
  <c r="F690" i="1"/>
  <c r="G690" i="1"/>
  <c r="F691" i="1"/>
  <c r="G691" i="1"/>
  <c r="F692" i="1"/>
  <c r="G692" i="1"/>
  <c r="F693" i="1"/>
  <c r="G693" i="1"/>
  <c r="F694" i="1"/>
  <c r="G694" i="1"/>
  <c r="F695" i="1"/>
  <c r="G695" i="1"/>
  <c r="F696" i="1"/>
  <c r="G696" i="1"/>
  <c r="F697" i="1"/>
  <c r="G697" i="1"/>
  <c r="F698" i="1"/>
  <c r="G698" i="1"/>
  <c r="F699" i="1"/>
  <c r="G699" i="1"/>
  <c r="F700" i="1"/>
  <c r="G700" i="1"/>
  <c r="F701" i="1"/>
  <c r="G701" i="1"/>
  <c r="F702" i="1"/>
  <c r="G702" i="1"/>
  <c r="F703" i="1"/>
  <c r="G703" i="1"/>
  <c r="F704" i="1"/>
  <c r="G704" i="1"/>
  <c r="F705" i="1"/>
  <c r="G705" i="1"/>
  <c r="F706" i="1"/>
  <c r="G706" i="1"/>
  <c r="F707" i="1"/>
  <c r="G707" i="1"/>
  <c r="F708" i="1"/>
  <c r="G708" i="1"/>
  <c r="F709" i="1"/>
  <c r="G709" i="1"/>
  <c r="F710" i="1"/>
  <c r="G710" i="1"/>
  <c r="F711" i="1"/>
  <c r="G711" i="1"/>
  <c r="F712" i="1"/>
  <c r="G712" i="1"/>
  <c r="F713" i="1"/>
  <c r="G713" i="1"/>
  <c r="F714" i="1"/>
  <c r="G714" i="1"/>
  <c r="F715" i="1"/>
  <c r="G715" i="1"/>
  <c r="F716" i="1"/>
  <c r="G716" i="1"/>
  <c r="F717" i="1"/>
  <c r="G717" i="1"/>
  <c r="F718" i="1"/>
  <c r="G718" i="1"/>
  <c r="F719" i="1"/>
  <c r="G719" i="1"/>
  <c r="F720" i="1"/>
  <c r="G720" i="1"/>
  <c r="F721" i="1"/>
  <c r="G721" i="1"/>
  <c r="F722" i="1"/>
  <c r="G722" i="1"/>
  <c r="F723" i="1"/>
  <c r="G723" i="1"/>
  <c r="F724" i="1"/>
  <c r="G724" i="1"/>
  <c r="F725" i="1"/>
  <c r="G725" i="1"/>
  <c r="F726" i="1"/>
  <c r="G726" i="1"/>
  <c r="F727" i="1"/>
  <c r="G727" i="1"/>
  <c r="F728" i="1"/>
  <c r="G728" i="1"/>
  <c r="F729" i="1"/>
  <c r="G729" i="1"/>
  <c r="F730" i="1"/>
  <c r="G730" i="1"/>
  <c r="F731" i="1"/>
  <c r="G731" i="1"/>
  <c r="F732" i="1"/>
  <c r="G732" i="1"/>
  <c r="F733" i="1"/>
  <c r="G733" i="1"/>
  <c r="F734" i="1"/>
  <c r="G734" i="1"/>
  <c r="F735" i="1"/>
  <c r="G735" i="1"/>
  <c r="F736" i="1"/>
  <c r="G736" i="1"/>
  <c r="F737" i="1"/>
  <c r="G737" i="1"/>
  <c r="F738" i="1"/>
  <c r="G738" i="1"/>
  <c r="F739" i="1"/>
  <c r="G739" i="1"/>
  <c r="F740" i="1"/>
  <c r="G740" i="1"/>
  <c r="F741" i="1"/>
  <c r="G741" i="1"/>
  <c r="F742" i="1"/>
  <c r="G742" i="1"/>
  <c r="F743" i="1"/>
  <c r="G743" i="1"/>
  <c r="F744" i="1"/>
  <c r="G744" i="1"/>
  <c r="F745" i="1"/>
  <c r="G745" i="1"/>
  <c r="F746" i="1"/>
  <c r="G746" i="1"/>
  <c r="F747" i="1"/>
  <c r="G747" i="1"/>
  <c r="F748" i="1"/>
  <c r="G748" i="1"/>
  <c r="F749" i="1"/>
  <c r="G749" i="1"/>
  <c r="F750" i="1"/>
  <c r="G750" i="1"/>
  <c r="F751" i="1"/>
  <c r="G751" i="1"/>
  <c r="F752" i="1"/>
  <c r="G752" i="1"/>
  <c r="F753" i="1"/>
  <c r="G753" i="1"/>
  <c r="F754" i="1"/>
  <c r="G754" i="1"/>
  <c r="F755" i="1"/>
  <c r="G755" i="1"/>
  <c r="F756" i="1"/>
  <c r="G756" i="1"/>
  <c r="F757" i="1"/>
  <c r="G757" i="1"/>
  <c r="F758" i="1"/>
  <c r="G758" i="1"/>
  <c r="F759" i="1"/>
  <c r="G759" i="1"/>
  <c r="F760" i="1"/>
  <c r="G760" i="1"/>
  <c r="F761" i="1"/>
  <c r="G761" i="1"/>
  <c r="F762" i="1"/>
  <c r="G762" i="1"/>
  <c r="F763" i="1"/>
  <c r="G763" i="1"/>
  <c r="F764" i="1"/>
  <c r="G764" i="1"/>
  <c r="F765" i="1"/>
  <c r="G765" i="1"/>
  <c r="F766" i="1"/>
  <c r="G766" i="1"/>
  <c r="F767" i="1"/>
  <c r="G767" i="1"/>
  <c r="F768" i="1"/>
  <c r="G768" i="1"/>
  <c r="F769" i="1"/>
  <c r="G769" i="1"/>
  <c r="F770" i="1"/>
  <c r="G770" i="1"/>
  <c r="F771" i="1"/>
  <c r="G771" i="1"/>
  <c r="F772" i="1"/>
  <c r="G772" i="1"/>
  <c r="F773" i="1"/>
  <c r="G773" i="1"/>
  <c r="F774" i="1"/>
  <c r="G774" i="1"/>
  <c r="F775" i="1"/>
  <c r="G775" i="1"/>
  <c r="F776" i="1"/>
  <c r="G776" i="1"/>
  <c r="F777" i="1"/>
  <c r="G777" i="1"/>
  <c r="F778" i="1"/>
  <c r="G778" i="1"/>
  <c r="F779" i="1"/>
  <c r="G779" i="1"/>
  <c r="F780" i="1"/>
  <c r="G780" i="1"/>
  <c r="F781" i="1"/>
  <c r="G781" i="1"/>
  <c r="F782" i="1"/>
  <c r="G782" i="1"/>
  <c r="F783" i="1"/>
  <c r="G783" i="1"/>
  <c r="F784" i="1"/>
  <c r="G784" i="1"/>
  <c r="F785" i="1"/>
  <c r="G785" i="1"/>
  <c r="F786" i="1"/>
  <c r="G786" i="1"/>
  <c r="F787" i="1"/>
  <c r="G787" i="1"/>
  <c r="F788" i="1"/>
  <c r="G788" i="1"/>
  <c r="F789" i="1"/>
  <c r="G789" i="1"/>
  <c r="F790" i="1"/>
  <c r="G790" i="1"/>
  <c r="F791" i="1"/>
  <c r="G791" i="1"/>
  <c r="F792" i="1"/>
  <c r="G792" i="1"/>
  <c r="F793" i="1"/>
  <c r="G793" i="1"/>
  <c r="F794" i="1"/>
  <c r="G794" i="1"/>
  <c r="F795" i="1"/>
  <c r="G795" i="1"/>
  <c r="F796" i="1"/>
  <c r="G796" i="1"/>
  <c r="F797" i="1"/>
  <c r="G797" i="1"/>
  <c r="F798" i="1"/>
  <c r="G798" i="1"/>
  <c r="F799" i="1"/>
  <c r="G799" i="1"/>
  <c r="F800" i="1"/>
  <c r="G800" i="1"/>
  <c r="F801" i="1"/>
  <c r="G801" i="1"/>
  <c r="F802" i="1"/>
  <c r="G802" i="1"/>
  <c r="F803" i="1"/>
  <c r="G803" i="1"/>
  <c r="F804" i="1"/>
  <c r="G804" i="1"/>
  <c r="F805" i="1"/>
  <c r="G805" i="1"/>
  <c r="F806" i="1"/>
  <c r="G806" i="1"/>
  <c r="F807" i="1"/>
  <c r="G807" i="1"/>
  <c r="F808" i="1"/>
  <c r="G808" i="1"/>
  <c r="F809" i="1"/>
  <c r="G809" i="1"/>
  <c r="F810" i="1"/>
  <c r="G810" i="1"/>
  <c r="F811" i="1"/>
  <c r="G811" i="1"/>
  <c r="F812" i="1"/>
  <c r="G812" i="1"/>
  <c r="F813" i="1"/>
  <c r="G813" i="1"/>
  <c r="F814" i="1"/>
  <c r="G814" i="1"/>
  <c r="F815" i="1"/>
  <c r="G815" i="1"/>
  <c r="F816" i="1"/>
  <c r="G816" i="1"/>
  <c r="F817" i="1"/>
  <c r="G817" i="1"/>
  <c r="F818" i="1"/>
  <c r="G818" i="1"/>
  <c r="F819" i="1"/>
  <c r="G819" i="1"/>
  <c r="F820" i="1"/>
  <c r="G820" i="1"/>
  <c r="F821" i="1"/>
  <c r="G821" i="1"/>
  <c r="F822" i="1"/>
  <c r="G822" i="1"/>
  <c r="F823" i="1"/>
  <c r="G823" i="1"/>
  <c r="F824" i="1"/>
  <c r="G824" i="1"/>
  <c r="F825" i="1"/>
  <c r="G825" i="1"/>
  <c r="F826" i="1"/>
  <c r="G826" i="1"/>
  <c r="F827" i="1"/>
  <c r="G827" i="1"/>
  <c r="F828" i="1"/>
  <c r="G828" i="1"/>
  <c r="F829" i="1"/>
  <c r="G829" i="1"/>
  <c r="F830" i="1"/>
  <c r="G830" i="1"/>
  <c r="F831" i="1"/>
  <c r="G831" i="1"/>
  <c r="F832" i="1"/>
  <c r="G832" i="1"/>
  <c r="F833" i="1"/>
  <c r="G833" i="1"/>
  <c r="F834" i="1"/>
  <c r="G834" i="1"/>
  <c r="F835" i="1"/>
  <c r="G835" i="1"/>
  <c r="F836" i="1"/>
  <c r="G836" i="1"/>
  <c r="F837" i="1"/>
  <c r="G837" i="1"/>
  <c r="F838" i="1"/>
  <c r="G838" i="1"/>
  <c r="F839" i="1"/>
  <c r="G839" i="1"/>
  <c r="F840" i="1"/>
  <c r="G840" i="1"/>
  <c r="F841" i="1"/>
  <c r="G841" i="1"/>
  <c r="F842" i="1"/>
  <c r="G842" i="1"/>
  <c r="F843" i="1"/>
  <c r="G843" i="1"/>
  <c r="F844" i="1"/>
  <c r="G844" i="1"/>
  <c r="F845" i="1"/>
  <c r="G845" i="1"/>
  <c r="F846" i="1"/>
  <c r="G846" i="1"/>
  <c r="F847" i="1"/>
  <c r="G847" i="1"/>
  <c r="F848" i="1"/>
  <c r="G848" i="1"/>
  <c r="F849" i="1"/>
  <c r="G849" i="1"/>
  <c r="F850" i="1"/>
  <c r="G850" i="1"/>
  <c r="F851" i="1"/>
  <c r="G851" i="1"/>
  <c r="F852" i="1"/>
  <c r="G852" i="1"/>
  <c r="F853" i="1"/>
  <c r="G853" i="1"/>
  <c r="F854" i="1"/>
  <c r="G854" i="1"/>
  <c r="F855" i="1"/>
  <c r="G855" i="1"/>
  <c r="F856" i="1"/>
  <c r="G856" i="1"/>
  <c r="F857" i="1"/>
  <c r="G857" i="1"/>
  <c r="F858" i="1"/>
  <c r="G858" i="1"/>
  <c r="F859" i="1"/>
  <c r="G859" i="1"/>
  <c r="F860" i="1"/>
  <c r="G860" i="1"/>
  <c r="F861" i="1"/>
  <c r="G861" i="1"/>
  <c r="F862" i="1"/>
  <c r="G862" i="1"/>
  <c r="F863" i="1"/>
  <c r="G863" i="1"/>
  <c r="F864" i="1"/>
  <c r="G864" i="1"/>
  <c r="F865" i="1"/>
  <c r="G865" i="1"/>
  <c r="F866" i="1"/>
  <c r="G866" i="1"/>
  <c r="F867" i="1"/>
  <c r="G867" i="1"/>
  <c r="F868" i="1"/>
  <c r="G868" i="1"/>
  <c r="F869" i="1"/>
  <c r="G869" i="1"/>
  <c r="F870" i="1"/>
  <c r="G870" i="1"/>
  <c r="F871" i="1"/>
  <c r="G871" i="1"/>
  <c r="F872" i="1"/>
  <c r="G872" i="1"/>
  <c r="F873" i="1"/>
  <c r="G873" i="1"/>
  <c r="F874" i="1"/>
  <c r="G874" i="1"/>
  <c r="F875" i="1"/>
  <c r="G875" i="1"/>
  <c r="F876" i="1"/>
  <c r="G876" i="1"/>
  <c r="F877" i="1"/>
  <c r="G877" i="1"/>
  <c r="F878" i="1"/>
  <c r="G878" i="1"/>
  <c r="F879" i="1"/>
  <c r="G879" i="1"/>
  <c r="F880" i="1"/>
  <c r="G880" i="1"/>
  <c r="F881" i="1"/>
  <c r="G881" i="1"/>
  <c r="F882" i="1"/>
  <c r="G882" i="1"/>
  <c r="F883" i="1"/>
  <c r="G883" i="1"/>
  <c r="F884" i="1"/>
  <c r="G884" i="1"/>
  <c r="F885" i="1"/>
  <c r="G885" i="1"/>
  <c r="F886" i="1"/>
  <c r="G886" i="1"/>
  <c r="F887" i="1"/>
  <c r="G887" i="1"/>
  <c r="F888" i="1"/>
  <c r="G888" i="1"/>
  <c r="F889" i="1"/>
  <c r="G889" i="1"/>
  <c r="F890" i="1"/>
  <c r="G890" i="1"/>
  <c r="F891" i="1"/>
  <c r="G891" i="1"/>
  <c r="F892" i="1"/>
  <c r="G892" i="1"/>
  <c r="F893" i="1"/>
  <c r="G893" i="1"/>
  <c r="F894" i="1"/>
  <c r="G894" i="1"/>
  <c r="F895" i="1"/>
  <c r="G895" i="1"/>
  <c r="F896" i="1"/>
  <c r="G896" i="1"/>
  <c r="F897" i="1"/>
  <c r="G897" i="1"/>
  <c r="F898" i="1"/>
  <c r="G898" i="1"/>
  <c r="F899" i="1"/>
  <c r="G899" i="1"/>
  <c r="F900" i="1"/>
  <c r="G900" i="1"/>
  <c r="F901" i="1"/>
  <c r="G901" i="1"/>
  <c r="F902" i="1"/>
  <c r="G902" i="1"/>
  <c r="F903" i="1"/>
  <c r="G903" i="1"/>
  <c r="F904" i="1"/>
  <c r="G904" i="1"/>
  <c r="F905" i="1"/>
  <c r="G905" i="1"/>
  <c r="F906" i="1"/>
  <c r="G906" i="1"/>
  <c r="F907" i="1"/>
  <c r="G907" i="1"/>
  <c r="F908" i="1"/>
  <c r="G908" i="1"/>
  <c r="F909" i="1"/>
  <c r="G909" i="1"/>
  <c r="F910" i="1"/>
  <c r="G910" i="1"/>
  <c r="F911" i="1"/>
  <c r="G911" i="1"/>
  <c r="F912" i="1"/>
  <c r="G912" i="1"/>
  <c r="F913" i="1"/>
  <c r="G913" i="1"/>
  <c r="F914" i="1"/>
  <c r="G914" i="1"/>
  <c r="F915" i="1"/>
  <c r="G915" i="1"/>
  <c r="F916" i="1"/>
  <c r="G916" i="1"/>
  <c r="F917" i="1"/>
  <c r="G917" i="1"/>
  <c r="F918" i="1"/>
  <c r="G918" i="1"/>
  <c r="F919" i="1"/>
  <c r="G919" i="1"/>
  <c r="F920" i="1"/>
  <c r="G920" i="1"/>
  <c r="F921" i="1"/>
  <c r="G921" i="1"/>
  <c r="F922" i="1"/>
  <c r="G922" i="1"/>
  <c r="F923" i="1"/>
  <c r="G923" i="1"/>
  <c r="F924" i="1"/>
  <c r="G924" i="1"/>
  <c r="F925" i="1"/>
  <c r="G925" i="1"/>
  <c r="F926" i="1"/>
  <c r="G926" i="1"/>
  <c r="F927" i="1"/>
  <c r="G927" i="1"/>
  <c r="F928" i="1"/>
  <c r="G928" i="1"/>
  <c r="F929" i="1"/>
  <c r="G929" i="1"/>
  <c r="F930" i="1"/>
  <c r="G930" i="1"/>
  <c r="F931" i="1"/>
  <c r="G931" i="1"/>
  <c r="F932" i="1"/>
  <c r="G932" i="1"/>
  <c r="F933" i="1"/>
  <c r="G933" i="1"/>
  <c r="F934" i="1"/>
  <c r="G934" i="1"/>
  <c r="F935" i="1"/>
  <c r="G935" i="1"/>
  <c r="F936" i="1"/>
  <c r="G936" i="1"/>
  <c r="F937" i="1"/>
  <c r="G937" i="1"/>
  <c r="F938" i="1"/>
  <c r="G938" i="1"/>
  <c r="F939" i="1"/>
  <c r="G939" i="1"/>
  <c r="F940" i="1"/>
  <c r="G940" i="1"/>
  <c r="F941" i="1"/>
  <c r="G941" i="1"/>
  <c r="F942" i="1"/>
  <c r="G942" i="1"/>
  <c r="F943" i="1"/>
  <c r="G943" i="1"/>
  <c r="F944" i="1"/>
  <c r="G944" i="1"/>
  <c r="F945" i="1"/>
  <c r="G945" i="1"/>
  <c r="F946" i="1"/>
  <c r="G946" i="1"/>
  <c r="F947" i="1"/>
  <c r="G947" i="1"/>
  <c r="F948" i="1"/>
  <c r="G948" i="1"/>
  <c r="F949" i="1"/>
  <c r="G949" i="1"/>
  <c r="F950" i="1"/>
  <c r="G950" i="1"/>
  <c r="F951" i="1"/>
  <c r="G951" i="1"/>
  <c r="F952" i="1"/>
  <c r="G952" i="1"/>
  <c r="F953" i="1"/>
  <c r="G953" i="1"/>
  <c r="F954" i="1"/>
  <c r="G954" i="1"/>
  <c r="F955" i="1"/>
  <c r="G955" i="1"/>
  <c r="F956" i="1"/>
  <c r="G956" i="1"/>
  <c r="F957" i="1"/>
  <c r="G957" i="1"/>
  <c r="F958" i="1"/>
  <c r="G958" i="1"/>
  <c r="F959" i="1"/>
  <c r="G959" i="1"/>
  <c r="F960" i="1"/>
  <c r="G960" i="1"/>
  <c r="F961" i="1"/>
  <c r="G961" i="1"/>
  <c r="F962" i="1"/>
  <c r="G962" i="1"/>
  <c r="F963" i="1"/>
  <c r="G963" i="1"/>
  <c r="F964" i="1"/>
  <c r="G964" i="1"/>
  <c r="F965" i="1"/>
  <c r="G965" i="1"/>
  <c r="F966" i="1"/>
  <c r="G966" i="1"/>
  <c r="F967" i="1"/>
  <c r="G967" i="1"/>
  <c r="F968" i="1"/>
  <c r="G968" i="1"/>
  <c r="F969" i="1"/>
  <c r="G969" i="1"/>
  <c r="F970" i="1"/>
  <c r="G970" i="1"/>
  <c r="F971" i="1"/>
  <c r="G971" i="1"/>
  <c r="F972" i="1"/>
  <c r="G972" i="1"/>
  <c r="F973" i="1"/>
  <c r="G973" i="1"/>
  <c r="F974" i="1"/>
  <c r="G974" i="1"/>
  <c r="F975" i="1"/>
  <c r="G975" i="1"/>
  <c r="F976" i="1"/>
  <c r="G976" i="1"/>
  <c r="F977" i="1"/>
  <c r="G977" i="1"/>
  <c r="F978" i="1"/>
  <c r="G978" i="1"/>
  <c r="F979" i="1"/>
  <c r="G979" i="1"/>
  <c r="F980" i="1"/>
  <c r="G980" i="1"/>
  <c r="F981" i="1"/>
  <c r="G981" i="1"/>
  <c r="F982" i="1"/>
  <c r="G982" i="1"/>
  <c r="F983" i="1"/>
  <c r="G983" i="1"/>
  <c r="F984" i="1"/>
  <c r="G984" i="1"/>
  <c r="F985" i="1"/>
  <c r="G985" i="1"/>
  <c r="F986" i="1"/>
  <c r="G986" i="1"/>
  <c r="F987" i="1"/>
  <c r="G987" i="1"/>
  <c r="F988" i="1"/>
  <c r="G988" i="1"/>
  <c r="F989" i="1"/>
  <c r="G989" i="1"/>
  <c r="F990" i="1"/>
  <c r="G990" i="1"/>
  <c r="F991" i="1"/>
  <c r="G991" i="1"/>
  <c r="F992" i="1"/>
  <c r="G992" i="1"/>
  <c r="F993" i="1"/>
  <c r="G993" i="1"/>
  <c r="F994" i="1"/>
  <c r="G994" i="1"/>
  <c r="F995" i="1"/>
  <c r="G995" i="1"/>
  <c r="F996" i="1"/>
  <c r="G996" i="1"/>
  <c r="F997" i="1"/>
  <c r="G997" i="1"/>
  <c r="F998" i="1"/>
  <c r="G998" i="1"/>
  <c r="F999" i="1"/>
  <c r="G999" i="1"/>
  <c r="F1000" i="1"/>
  <c r="G1000" i="1"/>
  <c r="F1001" i="1"/>
  <c r="G1001" i="1"/>
  <c r="F1002" i="1"/>
  <c r="G1002" i="1"/>
  <c r="F1003" i="1"/>
  <c r="G1003" i="1"/>
  <c r="F1004" i="1"/>
  <c r="G1004" i="1"/>
  <c r="F1005" i="1"/>
  <c r="G1005" i="1"/>
  <c r="F1006" i="1"/>
  <c r="G1006" i="1"/>
  <c r="F1007" i="1"/>
  <c r="G1007" i="1"/>
  <c r="F1008" i="1"/>
  <c r="G1008" i="1"/>
  <c r="F1009" i="1"/>
  <c r="G1009" i="1"/>
  <c r="F1010" i="1"/>
  <c r="G1010" i="1"/>
  <c r="F1011" i="1"/>
  <c r="G1011" i="1"/>
  <c r="F1012" i="1"/>
  <c r="G1012" i="1"/>
  <c r="F1013" i="1"/>
  <c r="G1013" i="1"/>
  <c r="F1014" i="1"/>
  <c r="G1014" i="1"/>
  <c r="F1015" i="1"/>
  <c r="G1015" i="1"/>
  <c r="F1016" i="1"/>
  <c r="G1016" i="1"/>
  <c r="F1017" i="1"/>
  <c r="G1017" i="1"/>
  <c r="F1018" i="1"/>
  <c r="G1018" i="1"/>
  <c r="F1019" i="1"/>
  <c r="G1019" i="1"/>
  <c r="F1020" i="1"/>
  <c r="G1020" i="1"/>
  <c r="F1021" i="1"/>
  <c r="G1021" i="1"/>
  <c r="F1022" i="1"/>
  <c r="G1022" i="1"/>
  <c r="F1023" i="1"/>
  <c r="G1023" i="1"/>
  <c r="F1024" i="1"/>
  <c r="G1024" i="1"/>
  <c r="F1025" i="1"/>
  <c r="G1025" i="1"/>
  <c r="F1026" i="1"/>
  <c r="G1026" i="1"/>
  <c r="F1027" i="1"/>
  <c r="G1027" i="1"/>
  <c r="F1028" i="1"/>
  <c r="G1028" i="1"/>
  <c r="F1029" i="1"/>
  <c r="G1029" i="1"/>
  <c r="F1030" i="1"/>
  <c r="G1030" i="1"/>
  <c r="F1031" i="1"/>
  <c r="G1031" i="1"/>
  <c r="F1032" i="1"/>
  <c r="G1032" i="1"/>
  <c r="F1033" i="1"/>
  <c r="G1033" i="1"/>
  <c r="F1034" i="1"/>
  <c r="G1034" i="1"/>
  <c r="F1035" i="1"/>
  <c r="G1035" i="1"/>
  <c r="F1036" i="1"/>
  <c r="G1036" i="1"/>
  <c r="F1037" i="1"/>
  <c r="G1037" i="1"/>
  <c r="F1038" i="1"/>
  <c r="G1038" i="1"/>
  <c r="F1039" i="1"/>
  <c r="G1039" i="1"/>
  <c r="F1040" i="1"/>
  <c r="G1040" i="1"/>
  <c r="F1041" i="1"/>
  <c r="G1041" i="1"/>
  <c r="F1042" i="1"/>
  <c r="G1042" i="1"/>
  <c r="F1043" i="1"/>
  <c r="G1043" i="1"/>
  <c r="F1044" i="1"/>
  <c r="G1044" i="1"/>
  <c r="F1045" i="1"/>
  <c r="G1045" i="1"/>
  <c r="F1046" i="1"/>
  <c r="G1046" i="1"/>
  <c r="F1047" i="1"/>
  <c r="G1047" i="1"/>
  <c r="F1048" i="1"/>
  <c r="G1048" i="1"/>
  <c r="F1049" i="1"/>
  <c r="G1049" i="1"/>
  <c r="F1050" i="1"/>
  <c r="G1050" i="1"/>
  <c r="F1051" i="1"/>
  <c r="G1051" i="1"/>
  <c r="F1052" i="1"/>
  <c r="G1052" i="1"/>
  <c r="F1053" i="1"/>
  <c r="G1053" i="1"/>
  <c r="F1054" i="1"/>
  <c r="G1054" i="1"/>
  <c r="F1055" i="1"/>
  <c r="G1055" i="1"/>
  <c r="F1056" i="1"/>
  <c r="G1056" i="1"/>
  <c r="F1057" i="1"/>
  <c r="G1057" i="1"/>
  <c r="F1058" i="1"/>
  <c r="G1058" i="1"/>
  <c r="F1059" i="1"/>
  <c r="G1059" i="1"/>
  <c r="F1060" i="1"/>
  <c r="G1060" i="1"/>
  <c r="F1061" i="1"/>
  <c r="G1061" i="1"/>
  <c r="F1062" i="1"/>
  <c r="G1062" i="1"/>
  <c r="F1063" i="1"/>
  <c r="G1063" i="1"/>
  <c r="F1064" i="1"/>
  <c r="G1064" i="1"/>
  <c r="F1065" i="1"/>
  <c r="G1065" i="1"/>
  <c r="F1066" i="1"/>
  <c r="G1066" i="1"/>
  <c r="F1067" i="1"/>
  <c r="G1067" i="1"/>
  <c r="F1068" i="1"/>
  <c r="G1068" i="1"/>
  <c r="F1069" i="1"/>
  <c r="G1069" i="1"/>
  <c r="F1070" i="1"/>
  <c r="G1070" i="1"/>
  <c r="F1071" i="1"/>
  <c r="G1071" i="1"/>
  <c r="F1072" i="1"/>
  <c r="G1072" i="1"/>
  <c r="F1073" i="1"/>
  <c r="G1073" i="1"/>
  <c r="F1074" i="1"/>
  <c r="G1074" i="1"/>
  <c r="F1075" i="1"/>
  <c r="G1075" i="1"/>
  <c r="F1076" i="1"/>
  <c r="G1076" i="1"/>
  <c r="F1077" i="1"/>
  <c r="G1077" i="1"/>
  <c r="F1078" i="1"/>
  <c r="G1078" i="1"/>
  <c r="F1079" i="1"/>
  <c r="G1079" i="1"/>
  <c r="F1080" i="1"/>
  <c r="G1080" i="1"/>
  <c r="F1081" i="1"/>
  <c r="G1081" i="1"/>
  <c r="F1082" i="1"/>
  <c r="G1082" i="1"/>
  <c r="F1083" i="1"/>
  <c r="G1083" i="1"/>
  <c r="F1084" i="1"/>
  <c r="G1084" i="1"/>
  <c r="F1085" i="1"/>
  <c r="G1085" i="1"/>
  <c r="F1086" i="1"/>
  <c r="G1086" i="1"/>
  <c r="F1087" i="1"/>
  <c r="G1087" i="1"/>
  <c r="F1088" i="1"/>
  <c r="G1088" i="1"/>
  <c r="F1089" i="1"/>
  <c r="G1089" i="1"/>
  <c r="F1090" i="1"/>
  <c r="G1090" i="1"/>
  <c r="F1091" i="1"/>
  <c r="G1091" i="1"/>
  <c r="F1092" i="1"/>
  <c r="G1092" i="1"/>
  <c r="F1093" i="1"/>
  <c r="G1093" i="1"/>
  <c r="F1094" i="1"/>
  <c r="G1094" i="1"/>
  <c r="F1095" i="1"/>
  <c r="G1095" i="1"/>
  <c r="F1096" i="1"/>
  <c r="G1096" i="1"/>
  <c r="F1097" i="1"/>
  <c r="G1097" i="1"/>
  <c r="F1098" i="1"/>
  <c r="G1098" i="1"/>
  <c r="F1099" i="1"/>
  <c r="G1099" i="1"/>
  <c r="F1100" i="1"/>
  <c r="G1100" i="1"/>
  <c r="F1101" i="1"/>
  <c r="G1101" i="1"/>
  <c r="F1102" i="1"/>
  <c r="G1102" i="1"/>
  <c r="F1103" i="1"/>
  <c r="G1103" i="1"/>
  <c r="F1104" i="1"/>
  <c r="G1104" i="1"/>
  <c r="F1105" i="1"/>
  <c r="G1105" i="1"/>
  <c r="F1106" i="1"/>
  <c r="G1106" i="1"/>
  <c r="F1107" i="1"/>
  <c r="G1107" i="1"/>
  <c r="F1108" i="1"/>
  <c r="G1108" i="1"/>
  <c r="F1109" i="1"/>
  <c r="G1109" i="1"/>
  <c r="F1110" i="1"/>
  <c r="G1110" i="1"/>
  <c r="F1111" i="1"/>
  <c r="G1111" i="1"/>
  <c r="F1112" i="1"/>
  <c r="G1112" i="1"/>
  <c r="F1113" i="1"/>
  <c r="G1113" i="1"/>
  <c r="F1114" i="1"/>
  <c r="G1114" i="1"/>
  <c r="F1115" i="1"/>
  <c r="G1115" i="1"/>
  <c r="F1116" i="1"/>
  <c r="G1116" i="1"/>
  <c r="F1117" i="1"/>
  <c r="G1117" i="1"/>
  <c r="F1118" i="1"/>
  <c r="G1118" i="1"/>
  <c r="F1119" i="1"/>
  <c r="G1119" i="1"/>
  <c r="F1120" i="1"/>
  <c r="G1120" i="1"/>
  <c r="F1121" i="1"/>
  <c r="G1121" i="1"/>
  <c r="F1122" i="1"/>
  <c r="G1122" i="1"/>
  <c r="F1123" i="1"/>
  <c r="G1123" i="1"/>
  <c r="F1124" i="1"/>
  <c r="G1124" i="1"/>
  <c r="F1125" i="1"/>
  <c r="G1125" i="1"/>
  <c r="F1126" i="1"/>
  <c r="G1126" i="1"/>
  <c r="F1127" i="1"/>
  <c r="G1127" i="1"/>
  <c r="F1128" i="1"/>
  <c r="G1128" i="1"/>
  <c r="F1129" i="1"/>
  <c r="G1129" i="1"/>
  <c r="F1130" i="1"/>
  <c r="G1130" i="1"/>
  <c r="F1131" i="1"/>
  <c r="G1131" i="1"/>
  <c r="F1132" i="1"/>
  <c r="G1132" i="1"/>
  <c r="F1133" i="1"/>
  <c r="G1133" i="1"/>
  <c r="F1134" i="1"/>
  <c r="G1134" i="1"/>
  <c r="F1135" i="1"/>
  <c r="G1135" i="1"/>
  <c r="F1136" i="1"/>
  <c r="G1136" i="1"/>
  <c r="F1137" i="1"/>
  <c r="G1137" i="1"/>
  <c r="F1138" i="1"/>
  <c r="G1138" i="1"/>
  <c r="F1139" i="1"/>
  <c r="G1139" i="1"/>
  <c r="F1140" i="1"/>
  <c r="G1140" i="1"/>
  <c r="F1141" i="1"/>
  <c r="G1141" i="1"/>
  <c r="F1142" i="1"/>
  <c r="G1142" i="1"/>
  <c r="F1143" i="1"/>
  <c r="G1143" i="1"/>
  <c r="F1144" i="1"/>
  <c r="G1144" i="1"/>
  <c r="F1145" i="1"/>
  <c r="G1145" i="1"/>
  <c r="F1146" i="1"/>
  <c r="G1146" i="1"/>
  <c r="F1147" i="1"/>
  <c r="G1147" i="1"/>
  <c r="F1148" i="1"/>
  <c r="G1148" i="1"/>
  <c r="F1149" i="1"/>
  <c r="G1149" i="1"/>
  <c r="F1150" i="1"/>
  <c r="G1150" i="1"/>
  <c r="F1151" i="1"/>
  <c r="G1151" i="1"/>
  <c r="F1152" i="1"/>
  <c r="G1152" i="1"/>
  <c r="F1153" i="1"/>
  <c r="G1153" i="1"/>
  <c r="F1154" i="1"/>
  <c r="G1154" i="1"/>
  <c r="F1155" i="1"/>
  <c r="G1155" i="1"/>
  <c r="F1156" i="1"/>
  <c r="G1156" i="1"/>
  <c r="F1157" i="1"/>
  <c r="G1157" i="1"/>
  <c r="F1158" i="1"/>
  <c r="G1158" i="1"/>
  <c r="F1159" i="1"/>
  <c r="G1159" i="1"/>
  <c r="F1160" i="1"/>
  <c r="G1160" i="1"/>
  <c r="F1161" i="1"/>
  <c r="G1161" i="1"/>
  <c r="F1162" i="1"/>
  <c r="G1162" i="1"/>
  <c r="F1163" i="1"/>
  <c r="G1163" i="1"/>
  <c r="F1164" i="1"/>
  <c r="G1164" i="1"/>
  <c r="F1165" i="1"/>
  <c r="G1165" i="1"/>
  <c r="F1166" i="1"/>
  <c r="G1166" i="1"/>
  <c r="F1167" i="1"/>
  <c r="G1167" i="1"/>
  <c r="F1168" i="1"/>
  <c r="G1168" i="1"/>
  <c r="F1169" i="1"/>
  <c r="G1169" i="1"/>
  <c r="F1170" i="1"/>
  <c r="G1170" i="1"/>
  <c r="F1171" i="1"/>
  <c r="G1171" i="1"/>
  <c r="F1172" i="1"/>
  <c r="G1172" i="1"/>
  <c r="F1173" i="1"/>
  <c r="G1173" i="1"/>
  <c r="F1174" i="1"/>
  <c r="G1174" i="1"/>
  <c r="F1175" i="1"/>
  <c r="G1175" i="1"/>
  <c r="F1176" i="1"/>
  <c r="G1176" i="1"/>
  <c r="F1177" i="1"/>
  <c r="G1177" i="1"/>
  <c r="F1178" i="1"/>
  <c r="G1178" i="1"/>
  <c r="F1179" i="1"/>
  <c r="G1179" i="1"/>
  <c r="F1180" i="1"/>
  <c r="G1180" i="1"/>
  <c r="F1181" i="1"/>
  <c r="G1181" i="1"/>
  <c r="F1182" i="1"/>
  <c r="G1182" i="1"/>
  <c r="F1183" i="1"/>
  <c r="G1183" i="1"/>
  <c r="F1184" i="1"/>
  <c r="G1184" i="1"/>
  <c r="F1185" i="1"/>
  <c r="G1185" i="1"/>
  <c r="F1186" i="1"/>
  <c r="G1186" i="1"/>
  <c r="F1187" i="1"/>
  <c r="G1187" i="1"/>
  <c r="F1188" i="1"/>
  <c r="G1188" i="1"/>
  <c r="F1189" i="1"/>
  <c r="G1189" i="1"/>
  <c r="F1190" i="1"/>
  <c r="G1190" i="1"/>
  <c r="F1191" i="1"/>
  <c r="G1191" i="1"/>
  <c r="F1192" i="1"/>
  <c r="G1192" i="1"/>
  <c r="F1193" i="1"/>
  <c r="G1193" i="1"/>
  <c r="F1194" i="1"/>
  <c r="G1194" i="1"/>
  <c r="F1195" i="1"/>
  <c r="G1195" i="1"/>
  <c r="F1196" i="1"/>
  <c r="G1196" i="1"/>
  <c r="F1197" i="1"/>
  <c r="G1197" i="1"/>
  <c r="F1198" i="1"/>
  <c r="G1198" i="1"/>
  <c r="F1199" i="1"/>
  <c r="G1199" i="1"/>
  <c r="F1200" i="1"/>
  <c r="G1200" i="1"/>
  <c r="F1201" i="1"/>
  <c r="G1201" i="1"/>
  <c r="F1202" i="1"/>
  <c r="G1202" i="1"/>
  <c r="F1203" i="1"/>
  <c r="G1203" i="1"/>
  <c r="F1204" i="1"/>
  <c r="G1204" i="1"/>
  <c r="F1205" i="1"/>
  <c r="G1205" i="1"/>
  <c r="F1206" i="1"/>
  <c r="G1206" i="1"/>
  <c r="F1207" i="1"/>
  <c r="G1207" i="1"/>
  <c r="F1208" i="1"/>
  <c r="G1208" i="1"/>
  <c r="F1209" i="1"/>
  <c r="G1209" i="1"/>
  <c r="F1210" i="1"/>
  <c r="G1210" i="1"/>
  <c r="F1211" i="1"/>
  <c r="G1211" i="1"/>
  <c r="F1212" i="1"/>
  <c r="G1212" i="1"/>
  <c r="F1213" i="1"/>
  <c r="G1213" i="1"/>
  <c r="F1214" i="1"/>
  <c r="G1214" i="1"/>
  <c r="F1215" i="1"/>
  <c r="G1215" i="1"/>
  <c r="F1216" i="1"/>
  <c r="G1216" i="1"/>
  <c r="F1217" i="1"/>
  <c r="G1217" i="1"/>
  <c r="F1218" i="1"/>
  <c r="G1218" i="1"/>
  <c r="F1219" i="1"/>
  <c r="G1219" i="1"/>
  <c r="F1220" i="1"/>
  <c r="G1220" i="1"/>
  <c r="F1221" i="1"/>
  <c r="G1221" i="1"/>
  <c r="F1222" i="1"/>
  <c r="G1222" i="1"/>
  <c r="F1223" i="1"/>
  <c r="G1223" i="1"/>
  <c r="F1224" i="1"/>
  <c r="G1224" i="1"/>
  <c r="F1225" i="1"/>
  <c r="G1225" i="1"/>
  <c r="F1226" i="1"/>
  <c r="G1226" i="1"/>
  <c r="F1227" i="1"/>
  <c r="G1227" i="1"/>
  <c r="F1228" i="1"/>
  <c r="G1228" i="1"/>
  <c r="F1229" i="1"/>
  <c r="G1229" i="1"/>
  <c r="F1230" i="1"/>
  <c r="G1230" i="1"/>
  <c r="F1231" i="1"/>
  <c r="G1231" i="1"/>
  <c r="F1232" i="1"/>
  <c r="G1232" i="1"/>
  <c r="F1233" i="1"/>
  <c r="G1233" i="1"/>
  <c r="F1234" i="1"/>
  <c r="G1234" i="1"/>
  <c r="F1235" i="1"/>
  <c r="G1235" i="1"/>
  <c r="F1236" i="1"/>
  <c r="G1236" i="1"/>
  <c r="F1237" i="1"/>
  <c r="G1237" i="1"/>
  <c r="F1238" i="1"/>
  <c r="G1238" i="1"/>
  <c r="F1239" i="1"/>
  <c r="G1239" i="1"/>
  <c r="F1240" i="1"/>
  <c r="G1240" i="1"/>
  <c r="F1241" i="1"/>
  <c r="G1241" i="1"/>
  <c r="F1242" i="1"/>
  <c r="G1242" i="1"/>
  <c r="F1243" i="1"/>
  <c r="G1243" i="1"/>
  <c r="F1244" i="1"/>
  <c r="G1244" i="1"/>
  <c r="F1245" i="1"/>
  <c r="G1245" i="1"/>
  <c r="F1246" i="1"/>
  <c r="G1246" i="1"/>
  <c r="F1247" i="1"/>
  <c r="G1247" i="1"/>
  <c r="F1248" i="1"/>
  <c r="G1248" i="1"/>
  <c r="F1249" i="1"/>
  <c r="G1249" i="1"/>
  <c r="F1250" i="1"/>
  <c r="G1250" i="1"/>
  <c r="F1251" i="1"/>
  <c r="G1251" i="1"/>
  <c r="F1252" i="1"/>
  <c r="G1252" i="1"/>
  <c r="F1253" i="1"/>
  <c r="G1253" i="1"/>
  <c r="F1254" i="1"/>
  <c r="G1254" i="1"/>
  <c r="F1255" i="1"/>
  <c r="G1255" i="1"/>
  <c r="F1256" i="1"/>
  <c r="G1256" i="1"/>
  <c r="F1257" i="1"/>
  <c r="G1257" i="1"/>
  <c r="F1258" i="1"/>
  <c r="G1258" i="1"/>
  <c r="F1259" i="1"/>
  <c r="G1259" i="1"/>
  <c r="F1260" i="1"/>
  <c r="G1260" i="1"/>
  <c r="F1261" i="1"/>
  <c r="G1261" i="1"/>
  <c r="F1262" i="1"/>
  <c r="G1262" i="1"/>
  <c r="F1263" i="1"/>
  <c r="G1263" i="1"/>
  <c r="F1264" i="1"/>
  <c r="G1264" i="1"/>
  <c r="F1265" i="1"/>
  <c r="G1265" i="1"/>
  <c r="F1266" i="1"/>
  <c r="G1266" i="1"/>
  <c r="F1267" i="1"/>
  <c r="G1267" i="1"/>
  <c r="F1268" i="1"/>
  <c r="G1268" i="1"/>
  <c r="F1269" i="1"/>
  <c r="G1269" i="1"/>
  <c r="F1270" i="1"/>
  <c r="G1270" i="1"/>
  <c r="F1271" i="1"/>
  <c r="G1271" i="1"/>
  <c r="F1272" i="1"/>
  <c r="G1272" i="1"/>
  <c r="F1273" i="1"/>
  <c r="G1273" i="1"/>
  <c r="F1274" i="1"/>
  <c r="G1274" i="1"/>
  <c r="F1275" i="1"/>
  <c r="G1275" i="1"/>
  <c r="F1276" i="1"/>
  <c r="G1276" i="1"/>
  <c r="F1277" i="1"/>
  <c r="G1277" i="1"/>
  <c r="F1278" i="1"/>
  <c r="G1278" i="1"/>
  <c r="F1279" i="1"/>
  <c r="G1279" i="1"/>
  <c r="F1280" i="1"/>
  <c r="G1280" i="1"/>
  <c r="F1281" i="1"/>
  <c r="G1281" i="1"/>
  <c r="F1282" i="1"/>
  <c r="G1282" i="1"/>
  <c r="F1283" i="1"/>
  <c r="G1283" i="1"/>
  <c r="F1284" i="1"/>
  <c r="G1284" i="1"/>
  <c r="F1285" i="1"/>
  <c r="G1285" i="1"/>
  <c r="F1286" i="1"/>
  <c r="G1286" i="1"/>
  <c r="F1287" i="1"/>
  <c r="G1287" i="1"/>
  <c r="F1288" i="1"/>
  <c r="G1288" i="1"/>
  <c r="F1289" i="1"/>
  <c r="G1289" i="1"/>
  <c r="F1290" i="1"/>
  <c r="G1290" i="1"/>
  <c r="F1291" i="1"/>
  <c r="G1291" i="1"/>
  <c r="F1292" i="1"/>
  <c r="G1292" i="1"/>
  <c r="F1293" i="1"/>
  <c r="G1293" i="1"/>
  <c r="F1294" i="1"/>
  <c r="G1294" i="1"/>
  <c r="F1295" i="1"/>
  <c r="G1295" i="1"/>
  <c r="F1296" i="1"/>
  <c r="G1296" i="1"/>
  <c r="F1297" i="1"/>
  <c r="G1297" i="1"/>
  <c r="F1298" i="1"/>
  <c r="G1298" i="1"/>
  <c r="F1299" i="1"/>
  <c r="G1299" i="1"/>
  <c r="F1300" i="1"/>
  <c r="G1300" i="1"/>
  <c r="F1301" i="1"/>
  <c r="G1301" i="1"/>
  <c r="F1302" i="1"/>
  <c r="G1302" i="1"/>
  <c r="F1303" i="1"/>
  <c r="G1303" i="1"/>
  <c r="F1304" i="1"/>
  <c r="G1304" i="1"/>
  <c r="F1305" i="1"/>
  <c r="G1305" i="1"/>
  <c r="F1306" i="1"/>
  <c r="G1306" i="1"/>
  <c r="F1307" i="1"/>
  <c r="G1307" i="1"/>
  <c r="F1308" i="1"/>
  <c r="G1308" i="1"/>
  <c r="F1309" i="1"/>
  <c r="G1309" i="1"/>
  <c r="F1310" i="1"/>
  <c r="G1310" i="1"/>
  <c r="F1311" i="1"/>
  <c r="G1311" i="1"/>
  <c r="F1312" i="1"/>
  <c r="G1312" i="1"/>
  <c r="F1313" i="1"/>
  <c r="G1313" i="1"/>
  <c r="F1314" i="1"/>
  <c r="G1314" i="1"/>
  <c r="F1315" i="1"/>
  <c r="G1315" i="1"/>
  <c r="F1316" i="1"/>
  <c r="G1316" i="1"/>
  <c r="F1317" i="1"/>
  <c r="G1317" i="1"/>
  <c r="F1318" i="1"/>
  <c r="G1318" i="1"/>
  <c r="F1319" i="1"/>
  <c r="G1319" i="1"/>
  <c r="F1320" i="1"/>
  <c r="G1320" i="1"/>
  <c r="F1321" i="1"/>
  <c r="G1321" i="1"/>
  <c r="F1322" i="1"/>
  <c r="G1322" i="1"/>
  <c r="F1323" i="1"/>
  <c r="G1323" i="1"/>
  <c r="F1324" i="1"/>
  <c r="G1324" i="1"/>
  <c r="F1325" i="1"/>
  <c r="G1325" i="1"/>
  <c r="F1326" i="1"/>
  <c r="G1326" i="1"/>
  <c r="F1327" i="1"/>
  <c r="G1327" i="1"/>
  <c r="F1328" i="1"/>
  <c r="G1328" i="1"/>
  <c r="F1329" i="1"/>
  <c r="G1329" i="1"/>
  <c r="F1330" i="1"/>
  <c r="G1330" i="1"/>
  <c r="F1331" i="1"/>
  <c r="G1331" i="1"/>
  <c r="F1332" i="1"/>
  <c r="G1332" i="1"/>
  <c r="F1333" i="1"/>
  <c r="G1333" i="1"/>
  <c r="F1334" i="1"/>
  <c r="G1334" i="1"/>
  <c r="F1335" i="1"/>
  <c r="G1335" i="1"/>
  <c r="F1336" i="1"/>
  <c r="G1336" i="1"/>
  <c r="F1337" i="1"/>
  <c r="G1337" i="1"/>
  <c r="F1338" i="1"/>
  <c r="G1338" i="1"/>
  <c r="F1339" i="1"/>
  <c r="G1339" i="1"/>
  <c r="F1340" i="1"/>
  <c r="G1340" i="1"/>
  <c r="F1341" i="1"/>
  <c r="G1341" i="1"/>
  <c r="F1342" i="1"/>
  <c r="G1342" i="1"/>
  <c r="F1343" i="1"/>
  <c r="G1343" i="1"/>
  <c r="F1344" i="1"/>
  <c r="G1344" i="1"/>
  <c r="F1345" i="1"/>
  <c r="G1345" i="1"/>
  <c r="F1346" i="1"/>
  <c r="G1346" i="1"/>
  <c r="F1347" i="1"/>
  <c r="G1347" i="1"/>
  <c r="F1348" i="1"/>
  <c r="G1348" i="1"/>
  <c r="F1349" i="1"/>
  <c r="G1349" i="1"/>
  <c r="F1350" i="1"/>
  <c r="G1350" i="1"/>
  <c r="F1351" i="1"/>
  <c r="G1351" i="1"/>
  <c r="F1352" i="1"/>
  <c r="G1352" i="1"/>
  <c r="F1353" i="1"/>
  <c r="G1353" i="1"/>
  <c r="F1354" i="1"/>
  <c r="G1354" i="1"/>
  <c r="F1355" i="1"/>
  <c r="G1355" i="1"/>
  <c r="F1356" i="1"/>
  <c r="G1356" i="1"/>
  <c r="F1357" i="1"/>
  <c r="G1357" i="1"/>
  <c r="F1358" i="1"/>
  <c r="G1358" i="1"/>
  <c r="F1359" i="1"/>
  <c r="G1359" i="1"/>
  <c r="F1360" i="1"/>
  <c r="G1360" i="1"/>
  <c r="F1361" i="1"/>
  <c r="G1361" i="1"/>
  <c r="F1362" i="1"/>
  <c r="G1362" i="1"/>
  <c r="F1363" i="1"/>
  <c r="G1363" i="1"/>
  <c r="F1364" i="1"/>
  <c r="G1364" i="1"/>
  <c r="F1365" i="1"/>
  <c r="G1365" i="1"/>
  <c r="F1366" i="1"/>
  <c r="G1366" i="1"/>
  <c r="F1367" i="1"/>
  <c r="G1367" i="1"/>
  <c r="F1368" i="1"/>
  <c r="G1368" i="1"/>
  <c r="F1369" i="1"/>
  <c r="G1369" i="1"/>
  <c r="F1370" i="1"/>
  <c r="G1370" i="1"/>
  <c r="F1371" i="1"/>
  <c r="G1371" i="1"/>
  <c r="F1372" i="1"/>
  <c r="G1372" i="1"/>
  <c r="F1373" i="1"/>
  <c r="G1373" i="1"/>
  <c r="F1374" i="1"/>
  <c r="G1374" i="1"/>
  <c r="F1375" i="1"/>
  <c r="G1375" i="1"/>
  <c r="F1376" i="1"/>
  <c r="G1376" i="1"/>
  <c r="F1377" i="1"/>
  <c r="G1377" i="1"/>
  <c r="F1378" i="1"/>
  <c r="G1378" i="1"/>
  <c r="F1379" i="1"/>
  <c r="G1379" i="1"/>
  <c r="F1380" i="1"/>
  <c r="G1380" i="1"/>
  <c r="F1381" i="1"/>
  <c r="G1381" i="1"/>
  <c r="F1382" i="1"/>
  <c r="G1382" i="1"/>
  <c r="F1383" i="1"/>
  <c r="G1383" i="1"/>
  <c r="F1384" i="1"/>
  <c r="G1384" i="1"/>
  <c r="F1385" i="1"/>
  <c r="G1385" i="1"/>
  <c r="F1386" i="1"/>
  <c r="G1386" i="1"/>
  <c r="F1387" i="1"/>
  <c r="G1387" i="1"/>
  <c r="F1388" i="1"/>
  <c r="G1388" i="1"/>
  <c r="F1389" i="1"/>
  <c r="G1389" i="1"/>
  <c r="F1390" i="1"/>
  <c r="G1390" i="1"/>
  <c r="F1391" i="1"/>
  <c r="G1391" i="1"/>
  <c r="F1392" i="1"/>
  <c r="G1392" i="1"/>
  <c r="F1393" i="1"/>
  <c r="G1393" i="1"/>
  <c r="F1394" i="1"/>
  <c r="G1394" i="1"/>
  <c r="F1395" i="1"/>
  <c r="G1395" i="1"/>
  <c r="F1396" i="1"/>
  <c r="G1396" i="1"/>
  <c r="F1397" i="1"/>
  <c r="G1397" i="1"/>
  <c r="F1398" i="1"/>
  <c r="G1398" i="1"/>
  <c r="F1399" i="1"/>
  <c r="G1399" i="1"/>
  <c r="F1400" i="1"/>
  <c r="G1400" i="1"/>
  <c r="F1401" i="1"/>
  <c r="G1401" i="1"/>
  <c r="F1402" i="1"/>
  <c r="G1402" i="1"/>
  <c r="F1403" i="1"/>
  <c r="G1403" i="1"/>
  <c r="F1404" i="1"/>
  <c r="G1404" i="1"/>
  <c r="F1405" i="1"/>
  <c r="G1405" i="1"/>
  <c r="F1406" i="1"/>
  <c r="G1406" i="1"/>
  <c r="F1407" i="1"/>
  <c r="G1407" i="1"/>
  <c r="F1408" i="1"/>
  <c r="G1408" i="1"/>
  <c r="F1409" i="1"/>
  <c r="G1409" i="1"/>
  <c r="F1410" i="1"/>
  <c r="G1410" i="1"/>
  <c r="F1411" i="1"/>
  <c r="G1411" i="1"/>
  <c r="F1412" i="1"/>
  <c r="G1412" i="1"/>
  <c r="F1413" i="1"/>
  <c r="G1413" i="1"/>
  <c r="F1414" i="1"/>
  <c r="G1414" i="1"/>
  <c r="F1415" i="1"/>
  <c r="G1415" i="1"/>
  <c r="F1416" i="1"/>
  <c r="G1416" i="1"/>
  <c r="F1417" i="1"/>
  <c r="G1417" i="1"/>
  <c r="F1418" i="1"/>
  <c r="G1418" i="1"/>
  <c r="F1419" i="1"/>
  <c r="G1419" i="1"/>
  <c r="F1420" i="1"/>
  <c r="G1420" i="1"/>
  <c r="F1421" i="1"/>
  <c r="G1421" i="1"/>
  <c r="F1422" i="1"/>
  <c r="G1422" i="1"/>
  <c r="F1423" i="1"/>
  <c r="G1423" i="1"/>
  <c r="F1424" i="1"/>
  <c r="G1424" i="1"/>
  <c r="F1425" i="1"/>
  <c r="G1425" i="1"/>
  <c r="F1426" i="1"/>
  <c r="G1426" i="1"/>
  <c r="F1427" i="1"/>
  <c r="G1427" i="1"/>
  <c r="F1428" i="1"/>
  <c r="G1428" i="1"/>
  <c r="F1429" i="1"/>
  <c r="G1429" i="1"/>
  <c r="F1430" i="1"/>
  <c r="G1430" i="1"/>
  <c r="F1431" i="1"/>
  <c r="G1431" i="1"/>
  <c r="F1432" i="1"/>
  <c r="G1432" i="1"/>
  <c r="F1433" i="1"/>
  <c r="G1433" i="1"/>
  <c r="F1434" i="1"/>
  <c r="G1434" i="1"/>
  <c r="F1435" i="1"/>
  <c r="G1435" i="1"/>
  <c r="F1436" i="1"/>
  <c r="G1436" i="1"/>
  <c r="F1437" i="1"/>
  <c r="G1437" i="1"/>
  <c r="F1438" i="1"/>
  <c r="G1438" i="1"/>
  <c r="F1439" i="1"/>
  <c r="G1439" i="1"/>
  <c r="F1440" i="1"/>
  <c r="G1440" i="1"/>
  <c r="F1441" i="1"/>
  <c r="G1441" i="1"/>
  <c r="F1442" i="1"/>
  <c r="G1442" i="1"/>
  <c r="F1443" i="1"/>
  <c r="G1443" i="1"/>
  <c r="F1444" i="1"/>
  <c r="G1444" i="1"/>
  <c r="F1445" i="1"/>
  <c r="G1445" i="1"/>
  <c r="F1446" i="1"/>
  <c r="G1446" i="1"/>
  <c r="F1447" i="1"/>
  <c r="G1447" i="1"/>
  <c r="F1448" i="1"/>
  <c r="G1448" i="1"/>
  <c r="F1449" i="1"/>
  <c r="G1449" i="1"/>
  <c r="F1450" i="1"/>
  <c r="G1450" i="1"/>
  <c r="F1451" i="1"/>
  <c r="G1451" i="1"/>
  <c r="F1452" i="1"/>
  <c r="G1452" i="1"/>
  <c r="F1453" i="1"/>
  <c r="G1453" i="1"/>
  <c r="F1454" i="1"/>
  <c r="G1454" i="1"/>
  <c r="F1455" i="1"/>
  <c r="G1455" i="1"/>
  <c r="F1456" i="1"/>
  <c r="G1456" i="1"/>
  <c r="F1457" i="1"/>
  <c r="G1457" i="1"/>
  <c r="F1458" i="1"/>
  <c r="G1458" i="1"/>
  <c r="F1459" i="1"/>
  <c r="G1459" i="1"/>
  <c r="F1460" i="1"/>
  <c r="G1460" i="1"/>
  <c r="F1461" i="1"/>
  <c r="G1461" i="1"/>
  <c r="F1462" i="1"/>
  <c r="G1462" i="1"/>
  <c r="F1463" i="1"/>
  <c r="G1463" i="1"/>
  <c r="F1464" i="1"/>
  <c r="G1464" i="1"/>
  <c r="F1465" i="1"/>
  <c r="G1465" i="1"/>
  <c r="F1466" i="1"/>
  <c r="G1466" i="1"/>
  <c r="F1467" i="1"/>
  <c r="G1467" i="1"/>
  <c r="F1468" i="1"/>
  <c r="G1468" i="1"/>
  <c r="F1469" i="1"/>
  <c r="G1469" i="1"/>
  <c r="F1470" i="1"/>
  <c r="G1470" i="1"/>
  <c r="F1471" i="1"/>
  <c r="G1471" i="1"/>
  <c r="F1472" i="1"/>
  <c r="G1472" i="1"/>
  <c r="F1473" i="1"/>
  <c r="G1473" i="1"/>
  <c r="F1474" i="1"/>
  <c r="G1474" i="1"/>
  <c r="F1475" i="1"/>
  <c r="G1475" i="1"/>
  <c r="F1476" i="1"/>
  <c r="G1476" i="1"/>
  <c r="F1477" i="1"/>
  <c r="G1477" i="1"/>
  <c r="F1478" i="1"/>
  <c r="G1478" i="1"/>
  <c r="F1479" i="1"/>
  <c r="G1479" i="1"/>
  <c r="F1480" i="1"/>
  <c r="G1480" i="1"/>
  <c r="F1481" i="1"/>
  <c r="G1481" i="1"/>
  <c r="F1482" i="1"/>
  <c r="G1482" i="1"/>
  <c r="F1483" i="1"/>
  <c r="G1483" i="1"/>
  <c r="F1484" i="1"/>
  <c r="G1484" i="1"/>
  <c r="F1485" i="1"/>
  <c r="G1485" i="1"/>
  <c r="F1486" i="1"/>
  <c r="G1486" i="1"/>
  <c r="F1487" i="1"/>
  <c r="G1487" i="1"/>
  <c r="F1488" i="1"/>
  <c r="G1488" i="1"/>
  <c r="F1489" i="1"/>
  <c r="G1489" i="1"/>
  <c r="F1490" i="1"/>
  <c r="G1490" i="1"/>
  <c r="F1491" i="1"/>
  <c r="G1491" i="1"/>
  <c r="F1492" i="1"/>
  <c r="G1492" i="1"/>
  <c r="F1493" i="1"/>
  <c r="G1493" i="1"/>
  <c r="F1494" i="1"/>
  <c r="G1494" i="1"/>
  <c r="F1495" i="1"/>
  <c r="G1495" i="1"/>
  <c r="F1496" i="1"/>
  <c r="G1496" i="1"/>
  <c r="F1497" i="1"/>
  <c r="G1497" i="1"/>
  <c r="F1498" i="1"/>
  <c r="G1498" i="1"/>
  <c r="F1499" i="1"/>
  <c r="G1499" i="1"/>
  <c r="F1500" i="1"/>
  <c r="G1500" i="1"/>
  <c r="F1501" i="1"/>
  <c r="G1501" i="1"/>
  <c r="F1502" i="1"/>
  <c r="G1502" i="1"/>
  <c r="F1503" i="1"/>
  <c r="G1503" i="1"/>
  <c r="F1504" i="1"/>
  <c r="G1504" i="1"/>
  <c r="F1505" i="1"/>
  <c r="G1505" i="1"/>
  <c r="F1506" i="1"/>
  <c r="G1506" i="1"/>
  <c r="F1507" i="1"/>
  <c r="G1507" i="1"/>
  <c r="F1508" i="1"/>
  <c r="G1508" i="1"/>
  <c r="F1509" i="1"/>
  <c r="G1509" i="1"/>
  <c r="F1510" i="1"/>
  <c r="G1510" i="1"/>
  <c r="F1511" i="1"/>
  <c r="G1511" i="1"/>
  <c r="F1512" i="1"/>
  <c r="G1512" i="1"/>
  <c r="F1513" i="1"/>
  <c r="G1513" i="1"/>
  <c r="F1514" i="1"/>
  <c r="G1514" i="1"/>
  <c r="F1515" i="1"/>
  <c r="G1515" i="1"/>
  <c r="F1516" i="1"/>
  <c r="G1516" i="1"/>
  <c r="F1517" i="1"/>
  <c r="G1517" i="1"/>
  <c r="F1518" i="1"/>
  <c r="G1518" i="1"/>
  <c r="F1519" i="1"/>
  <c r="G1519" i="1"/>
  <c r="F1520" i="1"/>
  <c r="G1520" i="1"/>
  <c r="F1521" i="1"/>
  <c r="G1521" i="1"/>
  <c r="F1522" i="1"/>
  <c r="G1522" i="1"/>
  <c r="F1523" i="1"/>
  <c r="G1523" i="1"/>
  <c r="F1524" i="1"/>
  <c r="G1524" i="1"/>
  <c r="F1525" i="1"/>
  <c r="G1525" i="1"/>
  <c r="F1526" i="1"/>
  <c r="G1526" i="1"/>
  <c r="F1527" i="1"/>
  <c r="G1527" i="1"/>
  <c r="F1528" i="1"/>
  <c r="G1528" i="1"/>
  <c r="F1529" i="1"/>
  <c r="G1529" i="1"/>
  <c r="F1530" i="1"/>
  <c r="G1530" i="1"/>
  <c r="F1531" i="1"/>
  <c r="G1531" i="1"/>
  <c r="F1532" i="1"/>
  <c r="G1532" i="1"/>
  <c r="F1533" i="1"/>
  <c r="G1533" i="1"/>
  <c r="F1534" i="1"/>
  <c r="G1534" i="1"/>
  <c r="F1535" i="1"/>
  <c r="G1535" i="1"/>
  <c r="F1536" i="1"/>
  <c r="G1536" i="1"/>
  <c r="F1537" i="1"/>
  <c r="G1537" i="1"/>
  <c r="F1538" i="1"/>
  <c r="G1538" i="1"/>
  <c r="F1539" i="1"/>
  <c r="G1539" i="1"/>
  <c r="F1540" i="1"/>
  <c r="G1540" i="1"/>
  <c r="F1541" i="1"/>
  <c r="G1541" i="1"/>
  <c r="F1542" i="1"/>
  <c r="G1542" i="1"/>
  <c r="F1543" i="1"/>
  <c r="G1543" i="1"/>
  <c r="F1544" i="1"/>
  <c r="G1544" i="1"/>
  <c r="F1545" i="1"/>
  <c r="G1545" i="1"/>
  <c r="F1546" i="1"/>
  <c r="G1546" i="1"/>
  <c r="F1547" i="1"/>
  <c r="G1547" i="1"/>
  <c r="F1548" i="1"/>
  <c r="G1548" i="1"/>
  <c r="F1549" i="1"/>
  <c r="G1549" i="1"/>
  <c r="F1550" i="1"/>
  <c r="G1550" i="1"/>
  <c r="F1551" i="1"/>
  <c r="G1551" i="1"/>
  <c r="F1552" i="1"/>
  <c r="G1552" i="1"/>
  <c r="F1553" i="1"/>
  <c r="G1553" i="1"/>
  <c r="F1554" i="1"/>
  <c r="G1554" i="1"/>
  <c r="F1555" i="1"/>
  <c r="G1555" i="1"/>
  <c r="F1556" i="1"/>
  <c r="G1556" i="1"/>
  <c r="F1557" i="1"/>
  <c r="G1557" i="1"/>
  <c r="F1558" i="1"/>
  <c r="G1558" i="1"/>
  <c r="F1559" i="1"/>
  <c r="G1559" i="1"/>
  <c r="F1560" i="1"/>
  <c r="G1560" i="1"/>
  <c r="F1561" i="1"/>
  <c r="G1561" i="1"/>
  <c r="F1562" i="1"/>
  <c r="G1562" i="1"/>
  <c r="F1563" i="1"/>
  <c r="G1563" i="1"/>
  <c r="F1564" i="1"/>
  <c r="G1564" i="1"/>
  <c r="F1565" i="1"/>
  <c r="G1565" i="1"/>
  <c r="F1566" i="1"/>
  <c r="G1566" i="1"/>
  <c r="F1567" i="1"/>
  <c r="G1567" i="1"/>
  <c r="F1568" i="1"/>
  <c r="G1568" i="1"/>
  <c r="F1569" i="1"/>
  <c r="G1569" i="1"/>
  <c r="F1570" i="1"/>
  <c r="G1570" i="1"/>
  <c r="F1571" i="1"/>
  <c r="G1571" i="1"/>
  <c r="F1572" i="1"/>
  <c r="G1572" i="1"/>
  <c r="F1573" i="1"/>
  <c r="G1573" i="1"/>
  <c r="F1574" i="1"/>
  <c r="G1574" i="1"/>
  <c r="F1575" i="1"/>
  <c r="G1575" i="1"/>
  <c r="F1576" i="1"/>
  <c r="G1576" i="1"/>
  <c r="F1577" i="1"/>
  <c r="G1577" i="1"/>
  <c r="F1578" i="1"/>
  <c r="G1578" i="1"/>
  <c r="F1579" i="1"/>
  <c r="G1579" i="1"/>
  <c r="F1580" i="1"/>
  <c r="G1580" i="1"/>
  <c r="F1581" i="1"/>
  <c r="G1581" i="1"/>
  <c r="F1582" i="1"/>
  <c r="G1582" i="1"/>
  <c r="F1583" i="1"/>
  <c r="G1583" i="1"/>
  <c r="F1584" i="1"/>
  <c r="G1584" i="1"/>
  <c r="F1585" i="1"/>
  <c r="G1585" i="1"/>
  <c r="F1586" i="1"/>
  <c r="G1586" i="1"/>
  <c r="F1587" i="1"/>
  <c r="G1587" i="1"/>
  <c r="F1588" i="1"/>
  <c r="G1588" i="1"/>
  <c r="F1589" i="1"/>
  <c r="G1589" i="1"/>
  <c r="F1590" i="1"/>
  <c r="G1590" i="1"/>
  <c r="F1591" i="1"/>
  <c r="G1591" i="1"/>
  <c r="F1592" i="1"/>
  <c r="G1592" i="1"/>
  <c r="F1593" i="1"/>
  <c r="G1593" i="1"/>
  <c r="F1594" i="1"/>
  <c r="G1594" i="1"/>
  <c r="F1595" i="1"/>
  <c r="G1595" i="1"/>
  <c r="F1596" i="1"/>
  <c r="G1596" i="1"/>
  <c r="F1597" i="1"/>
  <c r="G1597" i="1"/>
  <c r="F1598" i="1"/>
  <c r="G1598" i="1"/>
  <c r="F1599" i="1"/>
  <c r="G1599" i="1"/>
  <c r="F1600" i="1"/>
  <c r="G1600" i="1"/>
  <c r="F1601" i="1"/>
  <c r="G1601" i="1"/>
  <c r="F1602" i="1"/>
  <c r="G1602" i="1"/>
  <c r="F1603" i="1"/>
  <c r="G1603" i="1"/>
  <c r="F1604" i="1"/>
  <c r="G1604" i="1"/>
  <c r="F1605" i="1"/>
  <c r="G1605" i="1"/>
  <c r="F1606" i="1"/>
  <c r="G1606" i="1"/>
  <c r="F1607" i="1"/>
  <c r="G1607" i="1"/>
  <c r="F1608" i="1"/>
  <c r="G1608" i="1"/>
  <c r="F1609" i="1"/>
  <c r="G1609" i="1"/>
  <c r="F1610" i="1"/>
  <c r="G1610" i="1"/>
  <c r="F1611" i="1"/>
  <c r="G1611" i="1"/>
  <c r="F1612" i="1"/>
  <c r="G1612" i="1"/>
  <c r="F1613" i="1"/>
  <c r="G1613" i="1"/>
  <c r="F1614" i="1"/>
  <c r="G1614" i="1"/>
  <c r="F1615" i="1"/>
  <c r="G1615" i="1"/>
  <c r="F1616" i="1"/>
  <c r="G1616" i="1"/>
  <c r="F1617" i="1"/>
  <c r="G1617" i="1"/>
  <c r="F1618" i="1"/>
  <c r="G1618" i="1"/>
  <c r="F1619" i="1"/>
  <c r="G1619" i="1"/>
  <c r="F1620" i="1"/>
  <c r="G1620" i="1"/>
  <c r="F1621" i="1"/>
  <c r="G1621" i="1"/>
  <c r="F1622" i="1"/>
  <c r="G1622" i="1"/>
  <c r="F1623" i="1"/>
  <c r="G1623" i="1"/>
  <c r="F1624" i="1"/>
  <c r="G1624" i="1"/>
  <c r="F1625" i="1"/>
  <c r="G1625" i="1"/>
  <c r="F1626" i="1"/>
  <c r="G1626" i="1"/>
  <c r="F1627" i="1"/>
  <c r="G1627" i="1"/>
  <c r="F1628" i="1"/>
  <c r="G1628" i="1"/>
  <c r="F1629" i="1"/>
  <c r="G1629" i="1"/>
  <c r="F1630" i="1"/>
  <c r="G1630" i="1"/>
  <c r="F1631" i="1"/>
  <c r="G1631" i="1"/>
  <c r="F1632" i="1"/>
  <c r="G1632" i="1"/>
  <c r="F1633" i="1"/>
  <c r="G1633" i="1"/>
  <c r="F1634" i="1"/>
  <c r="G1634" i="1"/>
  <c r="F1635" i="1"/>
  <c r="G1635" i="1"/>
  <c r="F1636" i="1"/>
  <c r="G1636" i="1"/>
  <c r="F1637" i="1"/>
  <c r="G1637" i="1"/>
  <c r="F1638" i="1"/>
  <c r="G1638" i="1"/>
  <c r="F1639" i="1"/>
  <c r="G1639" i="1"/>
  <c r="F1640" i="1"/>
  <c r="G1640" i="1"/>
  <c r="F1641" i="1"/>
  <c r="G1641" i="1"/>
  <c r="F1642" i="1"/>
  <c r="G1642" i="1"/>
  <c r="F1643" i="1"/>
  <c r="G1643" i="1"/>
  <c r="F1644" i="1"/>
  <c r="G1644" i="1"/>
  <c r="F1645" i="1"/>
  <c r="G1645" i="1"/>
  <c r="F1646" i="1"/>
  <c r="G1646" i="1"/>
  <c r="F1647" i="1"/>
  <c r="G1647" i="1"/>
  <c r="F1648" i="1"/>
  <c r="G1648" i="1"/>
  <c r="F1649" i="1"/>
  <c r="G1649" i="1"/>
  <c r="F1650" i="1"/>
  <c r="G1650" i="1"/>
  <c r="F1651" i="1"/>
  <c r="G1651" i="1"/>
  <c r="F1652" i="1"/>
  <c r="G1652" i="1"/>
  <c r="F1653" i="1"/>
  <c r="G1653" i="1"/>
  <c r="F1654" i="1"/>
  <c r="G1654" i="1"/>
  <c r="F1655" i="1"/>
  <c r="G1655" i="1"/>
  <c r="F1656" i="1"/>
  <c r="G1656" i="1"/>
  <c r="F1657" i="1"/>
  <c r="G1657" i="1"/>
  <c r="F1658" i="1"/>
  <c r="G1658" i="1"/>
  <c r="F1659" i="1"/>
  <c r="G1659" i="1"/>
  <c r="F1660" i="1"/>
  <c r="G1660" i="1"/>
  <c r="F1661" i="1"/>
  <c r="G1661" i="1"/>
  <c r="F1662" i="1"/>
  <c r="G1662" i="1"/>
  <c r="F1663" i="1"/>
  <c r="G1663" i="1"/>
  <c r="F1664" i="1"/>
  <c r="G1664" i="1"/>
  <c r="F1665" i="1"/>
  <c r="G1665" i="1"/>
  <c r="F1666" i="1"/>
  <c r="G1666" i="1"/>
  <c r="F1667" i="1"/>
  <c r="G1667" i="1"/>
  <c r="F1668" i="1"/>
  <c r="G1668" i="1"/>
  <c r="F1669" i="1"/>
  <c r="G1669" i="1"/>
  <c r="F1670" i="1"/>
  <c r="G1670" i="1"/>
  <c r="F1671" i="1"/>
  <c r="G1671" i="1"/>
  <c r="F1672" i="1"/>
  <c r="G1672" i="1"/>
  <c r="F1673" i="1"/>
  <c r="G1673" i="1"/>
  <c r="F1674" i="1"/>
  <c r="G1674" i="1"/>
  <c r="F1675" i="1"/>
  <c r="G1675" i="1"/>
  <c r="F1676" i="1"/>
  <c r="G1676" i="1"/>
  <c r="F1677" i="1"/>
  <c r="G1677" i="1"/>
  <c r="F1678" i="1"/>
  <c r="G1678" i="1"/>
  <c r="F1679" i="1"/>
  <c r="G1679" i="1"/>
  <c r="F1680" i="1"/>
  <c r="G1680" i="1"/>
  <c r="F1681" i="1"/>
  <c r="G1681" i="1"/>
  <c r="F1682" i="1"/>
  <c r="G1682" i="1"/>
  <c r="F1683" i="1"/>
  <c r="G1683" i="1"/>
  <c r="F1684" i="1"/>
  <c r="G1684" i="1"/>
  <c r="F1685" i="1"/>
  <c r="G1685" i="1"/>
  <c r="F1686" i="1"/>
  <c r="G1686" i="1"/>
  <c r="F1687" i="1"/>
  <c r="G1687" i="1"/>
  <c r="F1688" i="1"/>
  <c r="G1688" i="1"/>
  <c r="F1689" i="1"/>
  <c r="G1689" i="1"/>
  <c r="F1690" i="1"/>
  <c r="G1690" i="1"/>
  <c r="F1691" i="1"/>
  <c r="G1691" i="1"/>
  <c r="F1692" i="1"/>
  <c r="G1692" i="1"/>
  <c r="F1693" i="1"/>
  <c r="G1693" i="1"/>
  <c r="F1694" i="1"/>
  <c r="G1694" i="1"/>
  <c r="F1695" i="1"/>
  <c r="G1695" i="1"/>
  <c r="F1696" i="1"/>
  <c r="G1696" i="1"/>
  <c r="F1697" i="1"/>
  <c r="G1697" i="1"/>
  <c r="F1698" i="1"/>
  <c r="G1698" i="1"/>
  <c r="F1699" i="1"/>
  <c r="G1699" i="1"/>
  <c r="F1700" i="1"/>
  <c r="G1700" i="1"/>
  <c r="F1701" i="1"/>
  <c r="G1701" i="1"/>
  <c r="F1702" i="1"/>
  <c r="G1702" i="1"/>
  <c r="F1703" i="1"/>
  <c r="G1703" i="1"/>
  <c r="F1704" i="1"/>
  <c r="G1704" i="1"/>
  <c r="F1705" i="1"/>
  <c r="G1705" i="1"/>
  <c r="F1706" i="1"/>
  <c r="G1706" i="1"/>
  <c r="F1707" i="1"/>
  <c r="G1707" i="1"/>
  <c r="F1708" i="1"/>
  <c r="G1708" i="1"/>
  <c r="F1709" i="1"/>
  <c r="G1709" i="1"/>
  <c r="F1710" i="1"/>
  <c r="G1710" i="1"/>
  <c r="F1711" i="1"/>
  <c r="G1711" i="1"/>
  <c r="F1712" i="1"/>
  <c r="G1712" i="1"/>
  <c r="F1713" i="1"/>
  <c r="G1713" i="1"/>
  <c r="F1714" i="1"/>
  <c r="G1714" i="1"/>
  <c r="F1715" i="1"/>
  <c r="G1715" i="1"/>
  <c r="F1716" i="1"/>
  <c r="G1716" i="1"/>
  <c r="F1717" i="1"/>
  <c r="G1717" i="1"/>
  <c r="F1718" i="1"/>
  <c r="G1718" i="1"/>
  <c r="F1719" i="1"/>
  <c r="G1719" i="1"/>
  <c r="F1720" i="1"/>
  <c r="G1720" i="1"/>
  <c r="F1721" i="1"/>
  <c r="G1721" i="1"/>
  <c r="F1722" i="1"/>
  <c r="G1722" i="1"/>
  <c r="F1723" i="1"/>
  <c r="G1723" i="1"/>
  <c r="F1724" i="1"/>
  <c r="G1724" i="1"/>
  <c r="F1725" i="1"/>
  <c r="G1725" i="1"/>
  <c r="F1726" i="1"/>
  <c r="G1726" i="1"/>
  <c r="F1727" i="1"/>
  <c r="G1727" i="1"/>
  <c r="F1728" i="1"/>
  <c r="G1728" i="1"/>
  <c r="F1729" i="1"/>
  <c r="G1729" i="1"/>
  <c r="F1730" i="1"/>
  <c r="G1730" i="1"/>
  <c r="F1731" i="1"/>
  <c r="G1731" i="1"/>
  <c r="F1732" i="1"/>
  <c r="G1732" i="1"/>
  <c r="F1733" i="1"/>
  <c r="G1733" i="1"/>
  <c r="F1734" i="1"/>
  <c r="G1734" i="1"/>
  <c r="F1735" i="1"/>
  <c r="G1735" i="1"/>
  <c r="F1736" i="1"/>
  <c r="G1736" i="1"/>
  <c r="F1737" i="1"/>
  <c r="G1737" i="1"/>
  <c r="F1738" i="1"/>
  <c r="G1738" i="1"/>
  <c r="F1739" i="1"/>
  <c r="G1739" i="1"/>
  <c r="F1740" i="1"/>
  <c r="G1740" i="1"/>
  <c r="F1741" i="1"/>
  <c r="G1741" i="1"/>
  <c r="F1742" i="1"/>
  <c r="G1742" i="1"/>
  <c r="F1743" i="1"/>
  <c r="G1743" i="1"/>
  <c r="F1744" i="1"/>
  <c r="G1744" i="1"/>
  <c r="F1745" i="1"/>
  <c r="G1745" i="1"/>
  <c r="F1746" i="1"/>
  <c r="G1746" i="1"/>
  <c r="F1747" i="1"/>
  <c r="G1747" i="1"/>
  <c r="F1748" i="1"/>
  <c r="G1748" i="1"/>
  <c r="F1749" i="1"/>
  <c r="G1749" i="1"/>
  <c r="F1750" i="1"/>
  <c r="G1750" i="1"/>
  <c r="F1751" i="1"/>
  <c r="G1751" i="1"/>
  <c r="F1752" i="1"/>
  <c r="G1752" i="1"/>
  <c r="F1753" i="1"/>
  <c r="G1753" i="1"/>
  <c r="F1754" i="1"/>
  <c r="G1754" i="1"/>
  <c r="F1755" i="1"/>
  <c r="G1755" i="1"/>
  <c r="F1756" i="1"/>
  <c r="G1756" i="1"/>
  <c r="F1757" i="1"/>
  <c r="G1757" i="1"/>
  <c r="F1758" i="1"/>
  <c r="G1758" i="1"/>
  <c r="F1759" i="1"/>
  <c r="G1759" i="1"/>
  <c r="F1760" i="1"/>
  <c r="G1760" i="1"/>
  <c r="F2" i="1"/>
  <c r="G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2" i="1"/>
  <c r="J50" i="3" a="1"/>
  <c r="M50" i="3"/>
  <c r="M63" i="3"/>
  <c r="M52" i="3"/>
  <c r="M65" i="3"/>
  <c r="M51" i="3"/>
  <c r="M64" i="3"/>
  <c r="J53" i="3"/>
  <c r="J66" i="3"/>
  <c r="Q66" i="3"/>
  <c r="L53" i="3"/>
  <c r="L66" i="3"/>
  <c r="S66" i="3"/>
  <c r="J50" i="3"/>
  <c r="K50" i="3"/>
  <c r="L50" i="3"/>
  <c r="N50" i="3"/>
  <c r="O50" i="3"/>
  <c r="P50" i="3"/>
  <c r="Q50" i="3"/>
  <c r="R50" i="3"/>
  <c r="S50" i="3"/>
  <c r="J51" i="3"/>
  <c r="K51" i="3"/>
  <c r="L51" i="3"/>
  <c r="N51" i="3"/>
  <c r="O51" i="3"/>
  <c r="P51" i="3"/>
  <c r="Q51" i="3"/>
  <c r="R51" i="3"/>
  <c r="S51" i="3"/>
  <c r="J52" i="3"/>
  <c r="K52" i="3"/>
  <c r="L52" i="3"/>
  <c r="N52" i="3"/>
  <c r="O52" i="3"/>
  <c r="P52" i="3"/>
  <c r="Q52" i="3"/>
  <c r="R52" i="3"/>
  <c r="S52" i="3"/>
  <c r="K53" i="3"/>
  <c r="M53" i="3"/>
  <c r="N53" i="3"/>
  <c r="O53" i="3"/>
  <c r="P53" i="3"/>
  <c r="Q53" i="3"/>
  <c r="R53" i="3"/>
  <c r="S53" i="3"/>
  <c r="J54" i="3"/>
  <c r="K54" i="3"/>
  <c r="L54" i="3"/>
  <c r="M54" i="3"/>
  <c r="N54" i="3"/>
  <c r="O54" i="3"/>
  <c r="P54" i="3"/>
  <c r="Q54" i="3"/>
  <c r="R54" i="3"/>
  <c r="S54" i="3"/>
  <c r="J55" i="3"/>
  <c r="K55" i="3"/>
  <c r="L55" i="3"/>
  <c r="M55" i="3"/>
  <c r="N55" i="3"/>
  <c r="O55" i="3"/>
  <c r="P55" i="3"/>
  <c r="Q55" i="3"/>
  <c r="R55" i="3"/>
  <c r="S55" i="3"/>
  <c r="J56" i="3"/>
  <c r="K56" i="3"/>
  <c r="L56" i="3"/>
  <c r="M56" i="3"/>
  <c r="N56" i="3"/>
  <c r="O56" i="3"/>
  <c r="P56" i="3"/>
  <c r="Q56" i="3"/>
  <c r="R56" i="3"/>
  <c r="S56" i="3"/>
  <c r="J57" i="3"/>
  <c r="K57" i="3"/>
  <c r="L57" i="3"/>
  <c r="M57" i="3"/>
  <c r="N57" i="3"/>
  <c r="O57" i="3"/>
  <c r="P57" i="3"/>
  <c r="Q57" i="3"/>
  <c r="R57" i="3"/>
  <c r="S57" i="3"/>
  <c r="J58" i="3"/>
  <c r="K58" i="3"/>
  <c r="L58" i="3"/>
  <c r="M58" i="3"/>
  <c r="N58" i="3"/>
  <c r="O58" i="3"/>
  <c r="P58" i="3"/>
  <c r="Q58" i="3"/>
  <c r="R58" i="3"/>
  <c r="S58" i="3"/>
  <c r="J59" i="3"/>
  <c r="K59" i="3"/>
  <c r="L59" i="3"/>
  <c r="M59" i="3"/>
  <c r="N59" i="3"/>
  <c r="O59" i="3"/>
  <c r="P59" i="3"/>
  <c r="Q59" i="3"/>
  <c r="R59" i="3"/>
  <c r="S59" i="3"/>
  <c r="K66" i="3"/>
  <c r="R66" i="3"/>
  <c r="AR78" i="6" l="1"/>
  <c r="AJ83" i="6" s="1" a="1"/>
  <c r="AN87" i="6" s="1"/>
  <c r="AG87" i="6" s="1"/>
  <c r="N78" i="6"/>
  <c r="F83" i="6" s="1" a="1"/>
  <c r="AQ90" i="6"/>
  <c r="AG90" i="6" s="1"/>
  <c r="AP89" i="6"/>
  <c r="AG89" i="6" s="1"/>
  <c r="AO91" i="6"/>
  <c r="AN89" i="6"/>
  <c r="AM91" i="6"/>
  <c r="AL85" i="6"/>
  <c r="AG85" i="6" s="1"/>
  <c r="AL87" i="6"/>
  <c r="AK91" i="6"/>
  <c r="AJ83" i="6"/>
  <c r="AG83" i="6" s="1"/>
  <c r="AJ87" i="6"/>
  <c r="AJ85" i="6"/>
  <c r="AK83" i="6"/>
  <c r="AL84" i="6"/>
  <c r="AP84" i="6"/>
  <c r="AN85" i="6"/>
  <c r="AQ86" i="6"/>
  <c r="AQ87" i="6"/>
  <c r="AR88" i="6"/>
  <c r="AP90" i="6"/>
  <c r="AO90" i="6"/>
  <c r="AN88" i="6"/>
  <c r="AM87" i="6"/>
  <c r="AL90" i="6"/>
  <c r="AK84" i="6"/>
  <c r="AG84" i="6" s="1"/>
  <c r="AJ88" i="6"/>
  <c r="AL83" i="6"/>
  <c r="AQ83" i="6"/>
  <c r="AO85" i="6"/>
  <c r="AO86" i="6"/>
  <c r="AP87" i="6"/>
  <c r="AO89" i="6"/>
  <c r="AN90" i="6"/>
  <c r="AM89" i="6"/>
  <c r="AK85" i="6"/>
  <c r="AJ90" i="6"/>
  <c r="AM83" i="6"/>
  <c r="AQ84" i="6"/>
  <c r="AP85" i="6"/>
  <c r="AP86" i="6"/>
  <c r="AR89" i="6"/>
  <c r="AP91" i="6"/>
  <c r="AO88" i="6"/>
  <c r="AG88" i="6" s="1"/>
  <c r="AL91" i="6"/>
  <c r="AL86" i="6"/>
  <c r="AK90" i="6"/>
  <c r="AK102" i="6" s="1"/>
  <c r="AJ84" i="6"/>
  <c r="AN83" i="6"/>
  <c r="AM84" i="6"/>
  <c r="AQ85" i="6"/>
  <c r="AR86" i="6"/>
  <c r="AP88" i="6"/>
  <c r="AQ91" i="6"/>
  <c r="AN91" i="6"/>
  <c r="AM88" i="6"/>
  <c r="AK89" i="6"/>
  <c r="AJ91" i="6"/>
  <c r="AJ86" i="6"/>
  <c r="AN84" i="6"/>
  <c r="AM85" i="6"/>
  <c r="AN86" i="6"/>
  <c r="AQ88" i="6"/>
  <c r="J91" i="6"/>
  <c r="F91" i="6"/>
  <c r="K90" i="6"/>
  <c r="G90" i="6"/>
  <c r="L89" i="6"/>
  <c r="C89" i="6" s="1"/>
  <c r="H89" i="6"/>
  <c r="M88" i="6"/>
  <c r="I88" i="6"/>
  <c r="N87" i="6"/>
  <c r="J87" i="6"/>
  <c r="C87" i="6" s="1"/>
  <c r="F87" i="6"/>
  <c r="K86" i="6"/>
  <c r="G86" i="6"/>
  <c r="L85" i="6"/>
  <c r="H85" i="6"/>
  <c r="C85" i="6" s="1"/>
  <c r="M84" i="6"/>
  <c r="I84" i="6"/>
  <c r="N83" i="6"/>
  <c r="J83" i="6"/>
  <c r="F83" i="6"/>
  <c r="M91" i="6"/>
  <c r="I91" i="6"/>
  <c r="N90" i="6"/>
  <c r="J90" i="6"/>
  <c r="F90" i="6"/>
  <c r="K89" i="6"/>
  <c r="G89" i="6"/>
  <c r="L88" i="6"/>
  <c r="H88" i="6"/>
  <c r="M87" i="6"/>
  <c r="I87" i="6"/>
  <c r="N86" i="6"/>
  <c r="J86" i="6"/>
  <c r="F86" i="6"/>
  <c r="K85" i="6"/>
  <c r="G85" i="6"/>
  <c r="L84" i="6"/>
  <c r="G83" i="6"/>
  <c r="L83" i="6"/>
  <c r="H84" i="6"/>
  <c r="F85" i="6"/>
  <c r="N85" i="6"/>
  <c r="M86" i="6"/>
  <c r="L87" i="6"/>
  <c r="K88" i="6"/>
  <c r="J89" i="6"/>
  <c r="I90" i="6"/>
  <c r="H91" i="6"/>
  <c r="H83" i="6"/>
  <c r="M83" i="6"/>
  <c r="J84" i="6"/>
  <c r="I85" i="6"/>
  <c r="H86" i="6"/>
  <c r="G87" i="6"/>
  <c r="F88" i="6"/>
  <c r="N88" i="6"/>
  <c r="M89" i="6"/>
  <c r="L90" i="6"/>
  <c r="K91" i="6"/>
  <c r="AN103" i="6" l="1"/>
  <c r="AP103" i="6"/>
  <c r="AN102" i="6"/>
  <c r="G97" i="6"/>
  <c r="AQ103" i="6"/>
  <c r="I99" i="6"/>
  <c r="AO87" i="6"/>
  <c r="AP83" i="6"/>
  <c r="AL88" i="6"/>
  <c r="AR90" i="6"/>
  <c r="AR84" i="6"/>
  <c r="AK87" i="6"/>
  <c r="AK99" i="6" s="1"/>
  <c r="AM86" i="6"/>
  <c r="AG86" i="6" s="1"/>
  <c r="AR87" i="6"/>
  <c r="AR83" i="6"/>
  <c r="AK88" i="6"/>
  <c r="AQ89" i="6"/>
  <c r="AO84" i="6"/>
  <c r="AK86" i="6"/>
  <c r="AM90" i="6"/>
  <c r="AM102" i="6" s="1"/>
  <c r="AR91" i="6"/>
  <c r="AG91" i="6" s="1"/>
  <c r="AR85" i="6"/>
  <c r="AO83" i="6"/>
  <c r="AJ89" i="6"/>
  <c r="AJ101" i="6" s="1"/>
  <c r="AL89" i="6"/>
  <c r="H90" i="6"/>
  <c r="J88" i="6"/>
  <c r="J100" i="6" s="1"/>
  <c r="L86" i="6"/>
  <c r="N84" i="6"/>
  <c r="K83" i="6"/>
  <c r="L91" i="6"/>
  <c r="L103" i="6" s="1"/>
  <c r="N89" i="6"/>
  <c r="G88" i="6"/>
  <c r="I86" i="6"/>
  <c r="C86" i="6" s="1"/>
  <c r="K84" i="6"/>
  <c r="I83" i="6"/>
  <c r="G91" i="6"/>
  <c r="I89" i="6"/>
  <c r="I101" i="6" s="1"/>
  <c r="K87" i="6"/>
  <c r="M85" i="6"/>
  <c r="G84" i="6"/>
  <c r="C84" i="6" s="1"/>
  <c r="N91" i="6"/>
  <c r="C91" i="6" s="1"/>
  <c r="M90" i="6"/>
  <c r="C90" i="6" s="1"/>
  <c r="F89" i="6"/>
  <c r="H87" i="6"/>
  <c r="H99" i="6" s="1"/>
  <c r="J85" i="6"/>
  <c r="F84" i="6"/>
  <c r="F96" i="6" s="1"/>
  <c r="G99" i="6"/>
  <c r="J101" i="6"/>
  <c r="K101" i="6"/>
  <c r="I103" i="6"/>
  <c r="AJ98" i="6"/>
  <c r="AM100" i="6"/>
  <c r="AM101" i="6"/>
  <c r="AN100" i="6"/>
  <c r="AO103" i="6"/>
  <c r="F100" i="6"/>
  <c r="F99" i="6"/>
  <c r="H102" i="6"/>
  <c r="AJ103" i="6"/>
  <c r="AL98" i="6"/>
  <c r="AJ102" i="6"/>
  <c r="AL102" i="6"/>
  <c r="AO102" i="6"/>
  <c r="AJ97" i="6"/>
  <c r="AK103" i="6"/>
  <c r="F98" i="6"/>
  <c r="H101" i="6"/>
  <c r="F103" i="6"/>
  <c r="AK101" i="6"/>
  <c r="AJ96" i="6"/>
  <c r="AL103" i="6"/>
  <c r="AK97" i="6"/>
  <c r="AO101" i="6"/>
  <c r="AJ100" i="6"/>
  <c r="AP102" i="6"/>
  <c r="AJ99" i="6"/>
  <c r="AL99" i="6"/>
  <c r="AN101" i="6"/>
  <c r="C88" i="6"/>
  <c r="G100" i="6"/>
  <c r="F97" i="6"/>
  <c r="H100" i="6"/>
  <c r="J103" i="6"/>
  <c r="F101" i="6"/>
  <c r="AL100" i="6"/>
  <c r="AK100" i="6"/>
  <c r="AK98" i="6"/>
  <c r="AL101" i="6"/>
  <c r="I102" i="6" l="1"/>
  <c r="G102" i="6"/>
  <c r="F102" i="6"/>
  <c r="K102" i="6"/>
  <c r="K103" i="6"/>
  <c r="I100" i="6"/>
  <c r="H103" i="6"/>
  <c r="H98" i="6"/>
  <c r="G103" i="6"/>
  <c r="G101" i="6"/>
  <c r="AM99" i="6"/>
  <c r="AM103" i="6"/>
  <c r="G98" i="6"/>
  <c r="L102" i="6"/>
  <c r="J102" i="6"/>
  <c r="M103" i="6"/>
</calcChain>
</file>

<file path=xl/sharedStrings.xml><?xml version="1.0" encoding="utf-8"?>
<sst xmlns="http://schemas.openxmlformats.org/spreadsheetml/2006/main" count="774" uniqueCount="127">
  <si>
    <t>mprior</t>
  </si>
  <si>
    <t>dobs</t>
  </si>
  <si>
    <t>fm</t>
  </si>
  <si>
    <t>diag(CD)</t>
  </si>
  <si>
    <t>chi^2</t>
  </si>
  <si>
    <t>diag(CM)</t>
  </si>
  <si>
    <t>diff</t>
  </si>
  <si>
    <t>um(20)</t>
  </si>
  <si>
    <t>covMeas:</t>
  </si>
  <si>
    <t>covTot:</t>
  </si>
  <si>
    <t>covsys:</t>
  </si>
  <si>
    <t>2-sigma abs</t>
  </si>
  <si>
    <t>2-sigma ppm</t>
  </si>
  <si>
    <t>values</t>
  </si>
  <si>
    <t>2-sigma</t>
  </si>
  <si>
    <t>name</t>
  </si>
  <si>
    <t>204/205</t>
  </si>
  <si>
    <t>206/205</t>
  </si>
  <si>
    <t>207/205</t>
  </si>
  <si>
    <t>208/205</t>
  </si>
  <si>
    <t>ET535</t>
  </si>
  <si>
    <t>ET2535</t>
  </si>
  <si>
    <t>CRM 115</t>
  </si>
  <si>
    <t>238/235</t>
  </si>
  <si>
    <t>CRM 112a</t>
  </si>
  <si>
    <t>233/235</t>
  </si>
  <si>
    <t>NBS 981</t>
  </si>
  <si>
    <t>NBS 982</t>
  </si>
  <si>
    <t>Puratronic</t>
  </si>
  <si>
    <t>204/206</t>
  </si>
  <si>
    <t>207/206</t>
  </si>
  <si>
    <t>208/206</t>
  </si>
  <si>
    <t>ETsoln</t>
  </si>
  <si>
    <t>RPsoln</t>
  </si>
  <si>
    <t>JMMsoln</t>
  </si>
  <si>
    <t>206/238</t>
  </si>
  <si>
    <t>202/205</t>
  </si>
  <si>
    <t>ET(2)535</t>
  </si>
  <si>
    <t>235/205</t>
  </si>
  <si>
    <t>assessing partial derivatives of 235/205 wrt IRMM 3636 U parameters</t>
  </si>
  <si>
    <t>r233_235t</t>
  </si>
  <si>
    <t>235/205t</t>
  </si>
  <si>
    <t>d55t_d35t</t>
  </si>
  <si>
    <t>r238_235t</t>
  </si>
  <si>
    <t>r238_235-112</t>
  </si>
  <si>
    <t>r238_235-115</t>
  </si>
  <si>
    <t>d55t_d85t</t>
  </si>
  <si>
    <t>d55t_d85_112a</t>
  </si>
  <si>
    <t>d55t_d85_115</t>
  </si>
  <si>
    <t>233/236</t>
  </si>
  <si>
    <t>234/236</t>
  </si>
  <si>
    <t>235/236</t>
  </si>
  <si>
    <t>238/236</t>
  </si>
  <si>
    <t>233/235t</t>
  </si>
  <si>
    <t>238/235t</t>
  </si>
  <si>
    <t>238/25</t>
  </si>
  <si>
    <t>238/235z</t>
  </si>
  <si>
    <t>RP 206/238</t>
  </si>
  <si>
    <t>JMM 206/238</t>
  </si>
  <si>
    <t>ET 206/238</t>
  </si>
  <si>
    <t>RP</t>
  </si>
  <si>
    <t>ET</t>
  </si>
  <si>
    <t>JMM</t>
  </si>
  <si>
    <t>dRP-206/238_dr85g_112a</t>
  </si>
  <si>
    <t>dET-206/238_dr85g_112a</t>
  </si>
  <si>
    <t>dJMM-206/238_dr85g_115</t>
  </si>
  <si>
    <t>J1</t>
  </si>
  <si>
    <t>r85_U500</t>
  </si>
  <si>
    <t>r85_112a</t>
  </si>
  <si>
    <t>r85_115</t>
  </si>
  <si>
    <t>206/238g</t>
  </si>
  <si>
    <t>sample</t>
  </si>
  <si>
    <t>r85z</t>
  </si>
  <si>
    <t>IRMM 3636</t>
  </si>
  <si>
    <t>r235/205t</t>
  </si>
  <si>
    <t>J2</t>
  </si>
  <si>
    <t>J3</t>
  </si>
  <si>
    <t>J3J2J1</t>
  </si>
  <si>
    <t>Covariance IRMM 3636</t>
  </si>
  <si>
    <t>Systematic only covariance matrix</t>
  </si>
  <si>
    <t>Total covariance matrix</t>
  </si>
  <si>
    <t>Measured covariance matrix (MC):</t>
  </si>
  <si>
    <t>Total correlation matrix</t>
  </si>
  <si>
    <t>202/205t</t>
  </si>
  <si>
    <t>TracerCov</t>
  </si>
  <si>
    <t>alphaPb</t>
  </si>
  <si>
    <t>Cov1</t>
  </si>
  <si>
    <t>2-sigma meas</t>
  </si>
  <si>
    <t>rho</t>
  </si>
  <si>
    <t>RP DU</t>
  </si>
  <si>
    <t>CRM112a</t>
  </si>
  <si>
    <t>ET tracers</t>
  </si>
  <si>
    <t>Puratronic Pb</t>
  </si>
  <si>
    <t>Covariance Matrix for MC trials (includes only systematic unct for 202/205 and 235/205)</t>
  </si>
  <si>
    <t>Pur Pb</t>
  </si>
  <si>
    <t>for ET2535 only:</t>
  </si>
  <si>
    <t>Using MC inputs for Pb and U IC (inputs to gravtrac MC)</t>
  </si>
  <si>
    <t>Pb and U IC have no covariance because they were measured in different experiments.  The 202/205 and 233/235 both depend on these, though, because they are determined from gravimetric-tracer mixtures.  Their total covariance derives from contributions from systematic uncertainties (covariance of MC solutions to minimization problem) as well as the (random) variance from the best fit solution (least squares) to minization problem.</t>
  </si>
  <si>
    <t>analytical uncertaintys from least squares minimization solution, to be added to systematic uncertainties above.</t>
  </si>
  <si>
    <t>total covariance matrix (systematic and analytical uncertainties)</t>
  </si>
  <si>
    <t>Extra Info:</t>
  </si>
  <si>
    <t>conc205</t>
  </si>
  <si>
    <t>value</t>
  </si>
  <si>
    <r>
      <t>1</t>
    </r>
    <r>
      <rPr>
        <sz val="12"/>
        <color theme="1"/>
        <rFont val="Calibri"/>
        <family val="2"/>
      </rPr>
      <t>σ (abs)</t>
    </r>
  </si>
  <si>
    <t>(from grav-trac spike masses)</t>
  </si>
  <si>
    <t>Jacobian Matrix for U-Pb_Redux format:</t>
  </si>
  <si>
    <t>conc235</t>
  </si>
  <si>
    <t>J_redux</t>
  </si>
  <si>
    <t>Pasted as values:</t>
  </si>
  <si>
    <t>for ET535 only:</t>
  </si>
  <si>
    <t>Pb and U IC have no covariance because they were measured in different experiments.  The 233/235 depends on these, though, because it is determined from gravimetric-tracer mixtures.  Its total covariance derives from contributions from systematic uncertainties (covariance of MC solutions to minimization problem) as well as the (random) variance from the best fit solution (least squares) to minization problem.</t>
  </si>
  <si>
    <t>(blank rows/columns are placeholders for 202/205 in ET2535 calculations)</t>
  </si>
  <si>
    <t>Covariance Matrix (as formulas):</t>
  </si>
  <si>
    <t>Correlation Matrix (as formulas):</t>
  </si>
  <si>
    <t>Covariance Matrix (pasted as values):</t>
  </si>
  <si>
    <t>Correlation Matrix (pasted as values):</t>
  </si>
  <si>
    <t>ET535 v.3</t>
  </si>
  <si>
    <t>ET2535 v.3</t>
  </si>
  <si>
    <t>g205</t>
  </si>
  <si>
    <t>g207</t>
  </si>
  <si>
    <t>r76b</t>
  </si>
  <si>
    <t>r86b</t>
  </si>
  <si>
    <t>rUgt</t>
  </si>
  <si>
    <t>rPbt</t>
  </si>
  <si>
    <t>rUbt</t>
  </si>
  <si>
    <t>bePb</t>
  </si>
  <si>
    <t>betU</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</si>
</sst>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0.000"/>
    <numFmt numFmtId="165" formatCode="0.00000"/>
    <numFmt numFmtId="166" formatCode="0.0000000"/>
    <numFmt numFmtId="167" formatCode="0.000000000000"/>
    <numFmt numFmtId="168" formatCode="0.000000"/>
    <numFmt numFmtId="169" formatCode="0.000000000"/>
    <numFmt numFmtId="170" formatCode="0.0000000000E+00"/>
    <numFmt numFmtId="171" formatCode="0.0000"/>
    <numFmt numFmtId="172" formatCode="0.00000000"/>
    <numFmt numFmtId="173" formatCode="0.000000E+00"/>
    <numFmt numFmtId="174" formatCode="0.00000000E+00"/>
    <numFmt numFmtId="175" formatCode="0.00000000000"/>
  </numFmts>
  <fonts count="13"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Calibri"/>
      <family val="2"/>
      <scheme val="minor"/>
    </font>
    <font>
      <sz val="10"/>
      <name val="Verdana"/>
      <family val="2"/>
    </font>
    <font>
      <i/>
      <sz val="12"/>
      <color theme="1"/>
      <name val="Calibri"/>
      <family val="2"/>
      <scheme val="minor"/>
    </font>
    <font>
      <sz val="10"/>
      <color theme="1"/>
      <name val="Calibri"/>
      <family val="2"/>
      <scheme val="minor"/>
    </font>
    <font>
      <sz val="10.5"/>
      <color theme="1"/>
      <name val="Calibri"/>
      <family val="2"/>
      <scheme val="minor"/>
    </font>
    <font>
      <sz val="12"/>
      <color theme="1"/>
      <name val="Calibri"/>
      <family val="2"/>
    </font>
    <font>
      <sz val="12"/>
      <color theme="0"/>
      <name val="Calibri"/>
      <family val="2"/>
      <scheme val="minor"/>
    </font>
    <font>
      <i/>
      <sz val="12"/>
      <color theme="0"/>
      <name val="Calibri"/>
      <family val="2"/>
      <scheme val="minor"/>
    </font>
    <font>
      <b/>
      <sz val="12"/>
      <color theme="0"/>
      <name val="Calibri"/>
      <family val="2"/>
      <scheme val="minor"/>
    </font>
  </fonts>
  <fills count="2">
    <fill>
      <patternFill patternType="none"/>
    </fill>
    <fill>
      <patternFill patternType="gray125"/>
    </fill>
  </fills>
  <borders count="17">
    <border>
      <left/>
      <right/>
      <top/>
      <bottom/>
      <diagonal/>
    </border>
    <border>
      <left/>
      <right/>
      <top/>
      <bottom style="thin">
        <color auto="1"/>
      </bottom>
      <diagonal/>
    </border>
    <border>
      <left/>
      <right style="thin">
        <color auto="1"/>
      </right>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24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13">
    <xf numFmtId="0" fontId="0" fillId="0" borderId="0" xfId="0"/>
    <xf numFmtId="11" fontId="0" fillId="0" borderId="0" xfId="0" applyNumberFormat="1"/>
    <xf numFmtId="2"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applyNumberFormat="1"/>
    <xf numFmtId="0" fontId="4" fillId="0" borderId="0" xfId="0" applyFont="1"/>
    <xf numFmtId="0" fontId="0" fillId="0" borderId="1" xfId="0" applyBorder="1"/>
    <xf numFmtId="0" fontId="0" fillId="0" borderId="0" xfId="0" applyAlignment="1">
      <alignment horizontal="center"/>
    </xf>
    <xf numFmtId="0" fontId="0" fillId="0" borderId="0" xfId="0" applyBorder="1"/>
    <xf numFmtId="168" fontId="0" fillId="0" borderId="0" xfId="0" applyNumberFormat="1"/>
    <xf numFmtId="169" fontId="0" fillId="0" borderId="0" xfId="0" applyNumberFormat="1"/>
    <xf numFmtId="0" fontId="0" fillId="0" borderId="3" xfId="0" applyBorder="1"/>
    <xf numFmtId="0" fontId="0" fillId="0" borderId="4" xfId="0" applyBorder="1"/>
    <xf numFmtId="0" fontId="0" fillId="0" borderId="5" xfId="0" applyBorder="1"/>
    <xf numFmtId="0" fontId="5" fillId="0" borderId="0" xfId="0" applyFont="1"/>
    <xf numFmtId="0" fontId="5" fillId="0" borderId="0" xfId="0" applyNumberFormat="1" applyFont="1"/>
    <xf numFmtId="0" fontId="5" fillId="0" borderId="3" xfId="0" applyFont="1" applyBorder="1"/>
    <xf numFmtId="0" fontId="5" fillId="0" borderId="0" xfId="0" applyNumberFormat="1" applyFont="1" applyBorder="1"/>
    <xf numFmtId="0" fontId="5" fillId="0" borderId="4" xfId="0" applyFont="1" applyBorder="1"/>
    <xf numFmtId="0" fontId="5" fillId="0" borderId="5" xfId="0" applyFont="1" applyBorder="1"/>
    <xf numFmtId="0" fontId="0" fillId="0" borderId="0" xfId="0" applyFill="1" applyBorder="1"/>
    <xf numFmtId="0" fontId="5" fillId="0" borderId="6" xfId="0" applyNumberFormat="1"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0" borderId="13" xfId="0" applyNumberFormat="1" applyFont="1" applyBorder="1"/>
    <xf numFmtId="170" fontId="0" fillId="0" borderId="4" xfId="0" applyNumberFormat="1" applyBorder="1"/>
    <xf numFmtId="170" fontId="0" fillId="0" borderId="3" xfId="0" applyNumberFormat="1" applyBorder="1"/>
    <xf numFmtId="170" fontId="0" fillId="0" borderId="14" xfId="0" applyNumberFormat="1" applyBorder="1"/>
    <xf numFmtId="170" fontId="0" fillId="0" borderId="5" xfId="0" applyNumberFormat="1" applyBorder="1"/>
    <xf numFmtId="170" fontId="0" fillId="0" borderId="0" xfId="0" applyNumberFormat="1" applyBorder="1"/>
    <xf numFmtId="170" fontId="0" fillId="0" borderId="2" xfId="0" applyNumberFormat="1" applyBorder="1"/>
    <xf numFmtId="170" fontId="0" fillId="0" borderId="15" xfId="0" applyNumberFormat="1" applyBorder="1"/>
    <xf numFmtId="170" fontId="0" fillId="0" borderId="1" xfId="0" applyNumberFormat="1" applyBorder="1"/>
    <xf numFmtId="170" fontId="0" fillId="0" borderId="16" xfId="0" applyNumberFormat="1" applyBorder="1"/>
    <xf numFmtId="170" fontId="0" fillId="0" borderId="0" xfId="0" applyNumberFormat="1"/>
    <xf numFmtId="171" fontId="0" fillId="0" borderId="0" xfId="0" applyNumberFormat="1"/>
    <xf numFmtId="0" fontId="0" fillId="0" borderId="0" xfId="0" applyAlignment="1">
      <alignment horizontal="center"/>
    </xf>
    <xf numFmtId="11" fontId="0" fillId="0" borderId="3" xfId="0" applyNumberFormat="1" applyBorder="1"/>
    <xf numFmtId="11" fontId="0" fillId="0" borderId="0" xfId="0" applyNumberFormat="1" applyBorder="1"/>
    <xf numFmtId="11" fontId="0" fillId="0" borderId="4" xfId="0" applyNumberFormat="1" applyBorder="1"/>
    <xf numFmtId="11" fontId="0" fillId="0" borderId="5" xfId="0" applyNumberFormat="1" applyBorder="1"/>
    <xf numFmtId="0" fontId="6" fillId="0" borderId="0" xfId="0" applyFont="1"/>
    <xf numFmtId="0" fontId="0" fillId="0" borderId="5" xfId="0" applyNumberFormat="1" applyBorder="1"/>
    <xf numFmtId="11" fontId="6" fillId="0" borderId="4" xfId="0" applyNumberFormat="1" applyFont="1" applyBorder="1"/>
    <xf numFmtId="11" fontId="6" fillId="0" borderId="3" xfId="0" applyNumberFormat="1" applyFont="1" applyBorder="1"/>
    <xf numFmtId="0" fontId="6" fillId="0" borderId="3" xfId="0" applyNumberFormat="1" applyFont="1" applyBorder="1"/>
    <xf numFmtId="11" fontId="6" fillId="0" borderId="5" xfId="0" applyNumberFormat="1" applyFont="1" applyBorder="1"/>
    <xf numFmtId="11" fontId="6" fillId="0" borderId="0" xfId="0" applyNumberFormat="1" applyFont="1" applyBorder="1"/>
    <xf numFmtId="0" fontId="6" fillId="0" borderId="0" xfId="0" applyNumberFormat="1" applyFont="1" applyFill="1" applyBorder="1"/>
    <xf numFmtId="0" fontId="6" fillId="0" borderId="5" xfId="0" applyNumberFormat="1" applyFont="1" applyBorder="1"/>
    <xf numFmtId="0" fontId="3" fillId="0" borderId="0" xfId="0" applyFont="1"/>
    <xf numFmtId="0" fontId="3" fillId="0" borderId="0" xfId="0" applyFont="1" applyAlignment="1">
      <alignment horizontal="center"/>
    </xf>
    <xf numFmtId="0" fontId="8" fillId="0" borderId="0" xfId="0" applyFont="1" applyAlignment="1">
      <alignment horizontal="left" vertical="top" wrapText="1"/>
    </xf>
    <xf numFmtId="0" fontId="0" fillId="0" borderId="0" xfId="0" applyNumberFormat="1" applyBorder="1"/>
    <xf numFmtId="0" fontId="3" fillId="0" borderId="0" xfId="0" applyFont="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xf>
    <xf numFmtId="172" fontId="0" fillId="0" borderId="5" xfId="0" applyNumberFormat="1" applyBorder="1"/>
    <xf numFmtId="166" fontId="0" fillId="0" borderId="5" xfId="0" applyNumberFormat="1" applyBorder="1"/>
    <xf numFmtId="168" fontId="0" fillId="0" borderId="5" xfId="0" applyNumberFormat="1" applyBorder="1"/>
    <xf numFmtId="165" fontId="0" fillId="0" borderId="5" xfId="0" applyNumberFormat="1" applyBorder="1"/>
    <xf numFmtId="164" fontId="0" fillId="0" borderId="5" xfId="0" applyNumberFormat="1" applyBorder="1"/>
    <xf numFmtId="164" fontId="0" fillId="0" borderId="0" xfId="0" applyNumberFormat="1" applyBorder="1"/>
    <xf numFmtId="173" fontId="0" fillId="0" borderId="4" xfId="0" applyNumberFormat="1" applyBorder="1"/>
    <xf numFmtId="173" fontId="0" fillId="0" borderId="3" xfId="0" applyNumberFormat="1" applyBorder="1"/>
    <xf numFmtId="173" fontId="0" fillId="0" borderId="5" xfId="0" applyNumberFormat="1" applyBorder="1"/>
    <xf numFmtId="173" fontId="0" fillId="0" borderId="0" xfId="0" applyNumberFormat="1" applyBorder="1"/>
    <xf numFmtId="174" fontId="0" fillId="0" borderId="4" xfId="0" applyNumberFormat="1" applyBorder="1"/>
    <xf numFmtId="174" fontId="0" fillId="0" borderId="3" xfId="0" applyNumberFormat="1" applyBorder="1"/>
    <xf numFmtId="174" fontId="0" fillId="0" borderId="5" xfId="0" applyNumberFormat="1" applyBorder="1"/>
    <xf numFmtId="174" fontId="0" fillId="0" borderId="0" xfId="0" applyNumberFormat="1" applyBorder="1"/>
    <xf numFmtId="165" fontId="0" fillId="0" borderId="0" xfId="0" applyNumberFormat="1" applyBorder="1"/>
    <xf numFmtId="168" fontId="0" fillId="0" borderId="0" xfId="0" applyNumberFormat="1" applyBorder="1"/>
    <xf numFmtId="166" fontId="0" fillId="0" borderId="0" xfId="0" applyNumberFormat="1" applyBorder="1"/>
    <xf numFmtId="172" fontId="0" fillId="0" borderId="0" xfId="0" applyNumberFormat="1" applyBorder="1"/>
    <xf numFmtId="175" fontId="0" fillId="0" borderId="5" xfId="0" applyNumberFormat="1" applyBorder="1"/>
    <xf numFmtId="175" fontId="0" fillId="0" borderId="0" xfId="0" applyNumberFormat="1" applyBorder="1"/>
    <xf numFmtId="167" fontId="0" fillId="0" borderId="0" xfId="0" applyNumberFormat="1" applyBorder="1"/>
    <xf numFmtId="0" fontId="10" fillId="0" borderId="3" xfId="0" applyFont="1" applyBorder="1"/>
    <xf numFmtId="0" fontId="10" fillId="0" borderId="0" xfId="0" applyFont="1" applyFill="1" applyBorder="1"/>
    <xf numFmtId="0" fontId="10" fillId="0" borderId="5" xfId="0" applyFont="1" applyBorder="1"/>
    <xf numFmtId="11" fontId="11" fillId="0" borderId="0" xfId="0" applyNumberFormat="1" applyFont="1" applyFill="1" applyBorder="1"/>
    <xf numFmtId="11" fontId="10" fillId="0" borderId="0" xfId="0" applyNumberFormat="1" applyFont="1" applyBorder="1"/>
    <xf numFmtId="0" fontId="11" fillId="0" borderId="0" xfId="0" applyNumberFormat="1" applyFont="1" applyFill="1" applyBorder="1"/>
    <xf numFmtId="0" fontId="10" fillId="0" borderId="0" xfId="0" applyFont="1"/>
    <xf numFmtId="0" fontId="10" fillId="0" borderId="4" xfId="0" applyFont="1" applyBorder="1"/>
    <xf numFmtId="0" fontId="12" fillId="0" borderId="3" xfId="0" applyFont="1" applyBorder="1" applyAlignment="1">
      <alignment horizontal="center"/>
    </xf>
    <xf numFmtId="164" fontId="10" fillId="0" borderId="5" xfId="0" applyNumberFormat="1" applyFont="1" applyBorder="1"/>
    <xf numFmtId="0" fontId="10" fillId="0" borderId="5" xfId="0" applyNumberFormat="1" applyFont="1" applyBorder="1"/>
    <xf numFmtId="174" fontId="10" fillId="0" borderId="4" xfId="0" applyNumberFormat="1" applyFont="1" applyBorder="1"/>
    <xf numFmtId="174" fontId="10" fillId="0" borderId="5" xfId="0" applyNumberFormat="1" applyFont="1" applyBorder="1"/>
    <xf numFmtId="174" fontId="10" fillId="0" borderId="3" xfId="0" applyNumberFormat="1" applyFont="1" applyBorder="1"/>
    <xf numFmtId="175" fontId="10" fillId="0" borderId="5" xfId="0" applyNumberFormat="1" applyFont="1" applyBorder="1"/>
    <xf numFmtId="0" fontId="10" fillId="0" borderId="0" xfId="0" applyFont="1" applyBorder="1"/>
    <xf numFmtId="174" fontId="10" fillId="0" borderId="0" xfId="0" applyNumberFormat="1" applyFont="1" applyBorder="1"/>
    <xf numFmtId="165" fontId="0" fillId="0" borderId="3" xfId="0" applyNumberFormat="1" applyBorder="1"/>
    <xf numFmtId="165" fontId="0" fillId="0" borderId="4" xfId="0" applyNumberFormat="1" applyBorder="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textRotation="90"/>
    </xf>
    <xf numFmtId="0" fontId="3" fillId="0" borderId="0" xfId="0" applyFont="1" applyAlignment="1">
      <alignment horizontal="center" vertical="center" wrapText="1"/>
    </xf>
    <xf numFmtId="0" fontId="3" fillId="0" borderId="0" xfId="0" applyFont="1" applyAlignment="1">
      <alignment horizontal="center"/>
    </xf>
    <xf numFmtId="0" fontId="0" fillId="0" borderId="0" xfId="0" applyAlignment="1">
      <alignment horizontal="center" wrapText="1"/>
    </xf>
    <xf numFmtId="0" fontId="8" fillId="0" borderId="0" xfId="0" applyFont="1" applyAlignment="1">
      <alignment horizontal="left" vertical="top" wrapText="1"/>
    </xf>
    <xf numFmtId="0" fontId="7" fillId="0" borderId="0" xfId="0" applyFont="1" applyAlignment="1">
      <alignment horizontal="left" wrapText="1"/>
    </xf>
  </cellXfs>
  <cellStyles count="24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74"/>
  <sheetViews>
    <sheetView tabSelected="1" workbookViewId="0">
      <pane ySplit="1" topLeftCell="A2" activePane="bottomLeft" state="frozen"/>
      <selection pane="bottomLeft" activeCell="E826" sqref="E826"/>
    </sheetView>
  </sheetViews>
  <sheetFormatPr defaultColWidth="11" defaultRowHeight="15.75" x14ac:dyDescent="0.25"/>
  <cols>
    <col min="7" max="7" width="12.125" style="2" bestFit="1" customWidth="1"/>
  </cols>
  <sheetData>
    <row r="1" spans="1:22" x14ac:dyDescent="0.25">
      <c r="C1" t="s">
        <v>0</v>
      </c>
      <c r="D1" t="s">
        <v>7</v>
      </c>
      <c r="E1" t="s">
        <v>5</v>
      </c>
      <c r="F1" t="s">
        <v>6</v>
      </c>
      <c r="G1" s="2" t="s">
        <v>4</v>
      </c>
      <c r="M1" t="s">
        <v>1</v>
      </c>
      <c r="N1" t="s">
        <v>2</v>
      </c>
      <c r="O1" t="s">
        <v>3</v>
      </c>
      <c r="P1" t="s">
        <v>4</v>
      </c>
    </row>
    <row r="2" spans="1:22" x14ac:dyDescent="0.25">
      <c r="B2">
        <v>1</v>
      </c>
      <c r="C2">
        <v>0.99950000000000006</v>
      </c>
      <c r="D2">
        <v>0.99923912805608495</v>
      </c>
      <c r="E2">
        <v>2.5000000000000001E-3</v>
      </c>
      <c r="F2">
        <f>C2-D2</f>
        <v>2.608719439151086E-4</v>
      </c>
      <c r="G2" s="2">
        <f>F2^2/E2</f>
        <v>2.7221668448819028E-5</v>
      </c>
      <c r="M2">
        <v>5.6016185987533298</v>
      </c>
      <c r="N2">
        <v>5.6021951546130504</v>
      </c>
      <c r="O2" s="1">
        <v>3.2307750057513398E-7</v>
      </c>
      <c r="P2" s="2">
        <f>(M2-N2)^2/O2</f>
        <v>1.0289068684337612</v>
      </c>
    </row>
    <row r="3" spans="1:22" x14ac:dyDescent="0.25">
      <c r="B3" s="57">
        <v>2</v>
      </c>
      <c r="C3">
        <v>100.18</v>
      </c>
      <c r="D3">
        <v>100.23290441259699</v>
      </c>
      <c r="E3">
        <v>0.25</v>
      </c>
      <c r="F3">
        <f t="shared" ref="F3:F66" si="0">C3-D3</f>
        <v>-5.2904412596987527E-2</v>
      </c>
      <c r="G3" s="2">
        <f t="shared" ref="G3:G66" si="1">F3^2/E3</f>
        <v>1.119550748892917E-2</v>
      </c>
      <c r="M3">
        <v>2.6209444168003402</v>
      </c>
      <c r="N3">
        <v>2.6206851040629502</v>
      </c>
      <c r="O3" s="1">
        <v>7.59850249259631E-8</v>
      </c>
      <c r="P3" s="2">
        <f t="shared" ref="P3:P66" si="2">(M3-N3)^2/O3</f>
        <v>0.88495194728449533</v>
      </c>
      <c r="S3" t="s">
        <v>8</v>
      </c>
    </row>
    <row r="4" spans="1:22" x14ac:dyDescent="0.25">
      <c r="A4" t="s">
        <v>118</v>
      </c>
      <c r="B4">
        <v>3</v>
      </c>
      <c r="C4">
        <v>0.99950000000000006</v>
      </c>
      <c r="D4">
        <v>0.99937194964049803</v>
      </c>
      <c r="E4">
        <v>2.5000000000000001E-3</v>
      </c>
      <c r="F4">
        <f t="shared" si="0"/>
        <v>1.2805035950202992E-4</v>
      </c>
      <c r="G4" s="2">
        <f t="shared" si="1"/>
        <v>6.5587578274396408E-6</v>
      </c>
      <c r="M4">
        <v>5.6188560509349204</v>
      </c>
      <c r="N4">
        <v>5.6203238091590002</v>
      </c>
      <c r="O4" s="1">
        <v>3.5883640914473199E-7</v>
      </c>
      <c r="P4" s="2">
        <f t="shared" si="2"/>
        <v>6.0036109755103615</v>
      </c>
      <c r="S4" s="1">
        <v>8.9619355773257205E-11</v>
      </c>
      <c r="T4" s="1">
        <v>4.92345395201421E-9</v>
      </c>
    </row>
    <row r="5" spans="1:22" x14ac:dyDescent="0.25">
      <c r="B5">
        <v>4</v>
      </c>
      <c r="C5">
        <v>0.99950000000000006</v>
      </c>
      <c r="D5">
        <v>0.99952751477880197</v>
      </c>
      <c r="E5">
        <v>2.5000000000000001E-3</v>
      </c>
      <c r="F5">
        <f t="shared" si="0"/>
        <v>-2.7514778801918105E-5</v>
      </c>
      <c r="G5" s="2">
        <f t="shared" si="1"/>
        <v>3.0282522100739274E-7</v>
      </c>
      <c r="M5">
        <v>1.0051626470152999</v>
      </c>
      <c r="N5">
        <v>1.0046582324478399</v>
      </c>
      <c r="O5" s="1">
        <v>2.7053164512558E-8</v>
      </c>
      <c r="P5" s="2">
        <f t="shared" si="2"/>
        <v>9.4049646483215525</v>
      </c>
      <c r="S5" s="1">
        <v>4.9234391474861698E-9</v>
      </c>
      <c r="T5" s="1">
        <v>1.2018977985639401E-6</v>
      </c>
    </row>
    <row r="6" spans="1:22" x14ac:dyDescent="0.25">
      <c r="B6">
        <v>5</v>
      </c>
      <c r="C6">
        <v>0.99950000000000006</v>
      </c>
      <c r="D6">
        <v>0.99941817962372703</v>
      </c>
      <c r="E6">
        <v>2.5000000000000001E-3</v>
      </c>
      <c r="F6">
        <f t="shared" si="0"/>
        <v>8.1820376273022966E-5</v>
      </c>
      <c r="G6" s="2">
        <f t="shared" si="1"/>
        <v>2.6778295893836239E-6</v>
      </c>
      <c r="M6">
        <v>5.6063673213332299</v>
      </c>
      <c r="N6">
        <v>5.6066603105308603</v>
      </c>
      <c r="O6" s="1">
        <v>2.66078032192516E-7</v>
      </c>
      <c r="P6" s="2">
        <f t="shared" si="2"/>
        <v>0.32262216170486097</v>
      </c>
    </row>
    <row r="7" spans="1:22" x14ac:dyDescent="0.25">
      <c r="B7">
        <v>6</v>
      </c>
      <c r="C7">
        <v>0.99950000000000006</v>
      </c>
      <c r="D7">
        <v>0.99969652733513004</v>
      </c>
      <c r="E7">
        <v>2.5000000000000001E-3</v>
      </c>
      <c r="F7">
        <f t="shared" si="0"/>
        <v>-1.9652733512998122E-4</v>
      </c>
      <c r="G7" s="2">
        <f t="shared" si="1"/>
        <v>1.544919738131678E-5</v>
      </c>
      <c r="M7">
        <v>2.6219799736282399</v>
      </c>
      <c r="N7">
        <v>2.6220276147099</v>
      </c>
      <c r="O7" s="1">
        <v>4.0048571971051801E-8</v>
      </c>
      <c r="P7" s="2">
        <f t="shared" si="2"/>
        <v>5.6672998562492485E-2</v>
      </c>
      <c r="S7" t="s">
        <v>10</v>
      </c>
    </row>
    <row r="8" spans="1:22" x14ac:dyDescent="0.25">
      <c r="B8">
        <v>7</v>
      </c>
      <c r="C8">
        <v>0.99950000000000006</v>
      </c>
      <c r="D8">
        <v>0.99953590401069603</v>
      </c>
      <c r="E8">
        <v>2.5000000000000001E-3</v>
      </c>
      <c r="F8">
        <f t="shared" si="0"/>
        <v>-3.5904010695975153E-5</v>
      </c>
      <c r="G8" s="2">
        <f t="shared" si="1"/>
        <v>5.1563919362267929E-7</v>
      </c>
      <c r="M8">
        <v>5.6217306449949902</v>
      </c>
      <c r="N8">
        <v>5.62194617631312</v>
      </c>
      <c r="O8" s="1">
        <v>2.5084642310437298E-7</v>
      </c>
      <c r="P8" s="2">
        <f t="shared" si="2"/>
        <v>0.18518800674880137</v>
      </c>
      <c r="S8" s="1">
        <v>7.0429688749713596E-8</v>
      </c>
      <c r="T8" s="1">
        <v>-5.6676454839778602E-6</v>
      </c>
    </row>
    <row r="9" spans="1:22" x14ac:dyDescent="0.25">
      <c r="B9">
        <v>8</v>
      </c>
      <c r="C9">
        <v>0.99950000000000006</v>
      </c>
      <c r="D9">
        <v>0.99894302455157202</v>
      </c>
      <c r="E9">
        <v>2.5000000000000001E-3</v>
      </c>
      <c r="F9">
        <f t="shared" si="0"/>
        <v>5.5697544842803204E-4</v>
      </c>
      <c r="G9" s="2">
        <f t="shared" si="1"/>
        <v>1.2408866006064295E-4</v>
      </c>
      <c r="M9">
        <v>1.00384103829507</v>
      </c>
      <c r="N9">
        <v>1.0039130211371301</v>
      </c>
      <c r="O9" s="1">
        <v>1.4839805229350899E-8</v>
      </c>
      <c r="P9" s="2">
        <f t="shared" si="2"/>
        <v>0.34916425592992784</v>
      </c>
      <c r="S9" s="1">
        <v>-5.6676454839778602E-6</v>
      </c>
      <c r="T9">
        <v>5.4242784056011105E-4</v>
      </c>
    </row>
    <row r="10" spans="1:22" x14ac:dyDescent="0.25">
      <c r="B10">
        <v>9</v>
      </c>
      <c r="C10">
        <v>0.99950000000000006</v>
      </c>
      <c r="D10">
        <v>0.99922454022405405</v>
      </c>
      <c r="E10">
        <v>2.5000000000000001E-3</v>
      </c>
      <c r="F10">
        <f t="shared" si="0"/>
        <v>2.7545977594600757E-4</v>
      </c>
      <c r="G10" s="2">
        <f t="shared" si="1"/>
        <v>3.0351235265689876E-5</v>
      </c>
      <c r="M10">
        <v>5.6088548751276601</v>
      </c>
      <c r="N10">
        <v>5.6085169375601502</v>
      </c>
      <c r="O10" s="1">
        <v>1.9108379093092899E-7</v>
      </c>
      <c r="P10" s="2">
        <f t="shared" si="2"/>
        <v>0.59765299284740003</v>
      </c>
    </row>
    <row r="11" spans="1:22" x14ac:dyDescent="0.25">
      <c r="B11">
        <v>10</v>
      </c>
      <c r="C11">
        <v>0.99950000000000006</v>
      </c>
      <c r="D11">
        <v>0.99981825998384999</v>
      </c>
      <c r="E11">
        <v>2.5000000000000001E-3</v>
      </c>
      <c r="F11">
        <f t="shared" si="0"/>
        <v>-3.1825998384993337E-4</v>
      </c>
      <c r="G11" s="2">
        <f t="shared" si="1"/>
        <v>4.0515766928063937E-5</v>
      </c>
      <c r="M11">
        <v>2.6229662583312399</v>
      </c>
      <c r="N11">
        <v>2.62258572278922</v>
      </c>
      <c r="O11" s="1">
        <v>4.39149106614901E-8</v>
      </c>
      <c r="P11" s="2">
        <f t="shared" si="2"/>
        <v>3.2974517438186419</v>
      </c>
      <c r="S11" t="s">
        <v>9</v>
      </c>
    </row>
    <row r="12" spans="1:22" x14ac:dyDescent="0.25">
      <c r="B12">
        <v>11</v>
      </c>
      <c r="C12">
        <v>0.99950000000000006</v>
      </c>
      <c r="D12">
        <v>0.99856599150133696</v>
      </c>
      <c r="E12">
        <v>2.5000000000000001E-3</v>
      </c>
      <c r="F12">
        <f t="shared" si="0"/>
        <v>9.3400849866309699E-4</v>
      </c>
      <c r="G12" s="2">
        <f t="shared" si="1"/>
        <v>3.4894875022995696E-4</v>
      </c>
      <c r="M12">
        <v>5.6230864336587496</v>
      </c>
      <c r="N12">
        <v>5.6226205195562802</v>
      </c>
      <c r="O12" s="1">
        <v>1.7286809825997399E-7</v>
      </c>
      <c r="P12" s="2">
        <f t="shared" si="2"/>
        <v>1.2557316998619388</v>
      </c>
      <c r="S12" s="1">
        <f>S4+S8</f>
        <v>7.0519308105486853E-8</v>
      </c>
      <c r="T12" s="1">
        <f>T4+T8</f>
        <v>-5.662722030025846E-6</v>
      </c>
    </row>
    <row r="13" spans="1:22" x14ac:dyDescent="0.25">
      <c r="B13">
        <v>12</v>
      </c>
      <c r="C13">
        <v>0.99950000000000006</v>
      </c>
      <c r="D13">
        <v>0.99902063086982795</v>
      </c>
      <c r="E13">
        <v>2.5000000000000001E-3</v>
      </c>
      <c r="F13">
        <f t="shared" si="0"/>
        <v>4.7936913017210259E-4</v>
      </c>
      <c r="G13" s="2">
        <f t="shared" si="1"/>
        <v>9.1917905184783283E-5</v>
      </c>
      <c r="M13">
        <v>1.00345633156723</v>
      </c>
      <c r="N13">
        <v>1.0036034970242</v>
      </c>
      <c r="O13" s="1">
        <v>1.2627939909178599E-8</v>
      </c>
      <c r="P13" s="2">
        <f t="shared" si="2"/>
        <v>1.7150597707115758</v>
      </c>
      <c r="S13" s="1">
        <f>S5+S9</f>
        <v>-5.6627220448303743E-6</v>
      </c>
      <c r="T13" s="1">
        <f>T5+T9</f>
        <v>5.4362973835867499E-4</v>
      </c>
    </row>
    <row r="14" spans="1:22" x14ac:dyDescent="0.25">
      <c r="B14">
        <v>13</v>
      </c>
      <c r="C14">
        <v>0.99950000000000006</v>
      </c>
      <c r="D14">
        <v>1.00010698271803</v>
      </c>
      <c r="E14">
        <v>2.5000000000000001E-3</v>
      </c>
      <c r="F14">
        <f t="shared" si="0"/>
        <v>-6.0698271802994697E-4</v>
      </c>
      <c r="G14" s="2">
        <f t="shared" si="1"/>
        <v>1.4737120799480886E-4</v>
      </c>
      <c r="M14">
        <v>5.6109820568127704</v>
      </c>
      <c r="N14">
        <v>5.6108861529031602</v>
      </c>
      <c r="O14" s="1">
        <v>1.9671072732602799E-7</v>
      </c>
      <c r="P14" s="2">
        <f t="shared" si="2"/>
        <v>4.6756778359539647E-2</v>
      </c>
    </row>
    <row r="15" spans="1:22" x14ac:dyDescent="0.25">
      <c r="B15">
        <v>14</v>
      </c>
      <c r="C15">
        <v>0.99950000000000006</v>
      </c>
      <c r="D15">
        <v>1.00005936086933</v>
      </c>
      <c r="E15">
        <v>2.5000000000000001E-3</v>
      </c>
      <c r="F15">
        <f t="shared" si="0"/>
        <v>-5.5936086932995011E-4</v>
      </c>
      <c r="G15" s="2">
        <f t="shared" si="1"/>
        <v>1.2515383285502298E-4</v>
      </c>
      <c r="M15">
        <v>2.6231195402522598</v>
      </c>
      <c r="N15">
        <v>2.6232978207447699</v>
      </c>
      <c r="O15" s="1">
        <v>4.19717310377131E-8</v>
      </c>
      <c r="P15" s="2">
        <f t="shared" si="2"/>
        <v>0.75727002970383961</v>
      </c>
      <c r="S15" t="s">
        <v>87</v>
      </c>
      <c r="T15" t="s">
        <v>11</v>
      </c>
      <c r="U15" t="s">
        <v>12</v>
      </c>
      <c r="V15" t="s">
        <v>88</v>
      </c>
    </row>
    <row r="16" spans="1:22" x14ac:dyDescent="0.25">
      <c r="B16">
        <v>15</v>
      </c>
      <c r="C16">
        <v>0.99950000000000006</v>
      </c>
      <c r="D16">
        <v>0.99984452764114795</v>
      </c>
      <c r="E16">
        <v>2.5000000000000001E-3</v>
      </c>
      <c r="F16">
        <f t="shared" si="0"/>
        <v>-3.4452764114789591E-4</v>
      </c>
      <c r="G16" s="2">
        <f t="shared" si="1"/>
        <v>4.7479718205973335E-5</v>
      </c>
      <c r="M16">
        <v>5.62359201098183</v>
      </c>
      <c r="N16">
        <v>5.6234808326615502</v>
      </c>
      <c r="O16" s="1">
        <v>2.01739457968893E-7</v>
      </c>
      <c r="P16" s="2">
        <f t="shared" si="2"/>
        <v>6.1270209728402948E-2</v>
      </c>
      <c r="R16" s="12">
        <f>D2</f>
        <v>0.99923912805608495</v>
      </c>
      <c r="S16" s="12">
        <f>2*SQRT(S4)</f>
        <v>1.893350002226289E-5</v>
      </c>
      <c r="T16" s="4">
        <f>2*SQRT(S12)</f>
        <v>5.3110943544805098E-4</v>
      </c>
      <c r="U16" s="5">
        <f>T16/R16*10^6</f>
        <v>531.51384942387995</v>
      </c>
      <c r="V16" s="3">
        <f>T12/SQRT(S12*T13)</f>
        <v>-0.91457561823948741</v>
      </c>
    </row>
    <row r="17" spans="2:21" x14ac:dyDescent="0.25">
      <c r="B17">
        <v>16</v>
      </c>
      <c r="C17">
        <v>0.99950000000000006</v>
      </c>
      <c r="D17">
        <v>1.0001779771198001</v>
      </c>
      <c r="E17">
        <v>2.5000000000000001E-3</v>
      </c>
      <c r="F17">
        <f t="shared" si="0"/>
        <v>-6.7797711979999953E-4</v>
      </c>
      <c r="G17" s="2">
        <f t="shared" si="1"/>
        <v>1.8386118998892117E-4</v>
      </c>
      <c r="M17">
        <v>1.0033152984157701</v>
      </c>
      <c r="N17">
        <v>1.0032088049794901</v>
      </c>
      <c r="O17" s="1">
        <v>1.6034859418990398E-8</v>
      </c>
      <c r="P17" s="2">
        <f t="shared" si="2"/>
        <v>0.70726232606010098</v>
      </c>
      <c r="R17" s="42">
        <f>D3</f>
        <v>100.23290441259699</v>
      </c>
      <c r="S17" s="42">
        <f>2*SQRT(T5)</f>
        <v>2.1926219907352387E-3</v>
      </c>
      <c r="T17" s="3">
        <f>2*SQRT(T13)</f>
        <v>4.6631737619723113E-2</v>
      </c>
      <c r="U17" s="5">
        <f>T17/R17*10^6</f>
        <v>465.23382608737978</v>
      </c>
    </row>
    <row r="18" spans="2:21" x14ac:dyDescent="0.25">
      <c r="B18">
        <v>17</v>
      </c>
      <c r="C18">
        <v>0.99950000000000006</v>
      </c>
      <c r="D18">
        <v>0.99976040355992102</v>
      </c>
      <c r="E18">
        <v>2.5000000000000001E-3</v>
      </c>
      <c r="F18">
        <f t="shared" si="0"/>
        <v>-2.6040355992096309E-4</v>
      </c>
      <c r="G18" s="2">
        <f t="shared" si="1"/>
        <v>2.7124005607804246E-5</v>
      </c>
      <c r="M18">
        <v>5.6146421677882197</v>
      </c>
      <c r="N18">
        <v>5.6137683231807296</v>
      </c>
      <c r="O18" s="1">
        <v>5.1240886909737305E-7</v>
      </c>
      <c r="P18" s="2">
        <f t="shared" si="2"/>
        <v>1.4902247874526311</v>
      </c>
    </row>
    <row r="19" spans="2:21" x14ac:dyDescent="0.25">
      <c r="B19">
        <v>18</v>
      </c>
      <c r="C19">
        <v>0.99950000000000006</v>
      </c>
      <c r="D19">
        <v>0.99973443561511799</v>
      </c>
      <c r="E19">
        <v>2.5000000000000001E-3</v>
      </c>
      <c r="F19">
        <f t="shared" si="0"/>
        <v>-2.3443561511793387E-4</v>
      </c>
      <c r="G19" s="2">
        <f t="shared" si="1"/>
        <v>2.1984023054289609E-5</v>
      </c>
      <c r="M19">
        <v>2.6245561901321399</v>
      </c>
      <c r="N19">
        <v>2.6241639490824502</v>
      </c>
      <c r="O19" s="1">
        <v>1.13703540253792E-7</v>
      </c>
      <c r="P19" s="2">
        <f t="shared" si="2"/>
        <v>1.3531068664905204</v>
      </c>
    </row>
    <row r="20" spans="2:21" x14ac:dyDescent="0.25">
      <c r="B20">
        <v>19</v>
      </c>
      <c r="C20">
        <v>0.99950000000000006</v>
      </c>
      <c r="D20">
        <v>0.99963033241036003</v>
      </c>
      <c r="E20">
        <v>2.5000000000000001E-3</v>
      </c>
      <c r="F20">
        <f t="shared" si="0"/>
        <v>-1.30332410359979E-4</v>
      </c>
      <c r="G20" s="2">
        <f t="shared" si="1"/>
        <v>6.7946148760967848E-6</v>
      </c>
      <c r="M20">
        <v>5.6259697806293101</v>
      </c>
      <c r="N20">
        <v>5.6245270984658298</v>
      </c>
      <c r="O20" s="1">
        <v>4.8181422826206398E-7</v>
      </c>
      <c r="P20" s="2">
        <f t="shared" si="2"/>
        <v>4.3197807427392503</v>
      </c>
    </row>
    <row r="21" spans="2:21" x14ac:dyDescent="0.25">
      <c r="B21">
        <v>20</v>
      </c>
      <c r="C21">
        <v>0.99950000000000006</v>
      </c>
      <c r="D21">
        <v>0.99956320135216903</v>
      </c>
      <c r="E21">
        <v>2.5000000000000001E-3</v>
      </c>
      <c r="F21">
        <f t="shared" si="0"/>
        <v>-6.3201352168973379E-5</v>
      </c>
      <c r="G21" s="2">
        <f t="shared" si="1"/>
        <v>1.5977643663946383E-6</v>
      </c>
      <c r="M21">
        <v>1.00229825092366</v>
      </c>
      <c r="N21">
        <v>1.0027290925499499</v>
      </c>
      <c r="O21" s="1">
        <v>6.7878184902546603E-9</v>
      </c>
      <c r="P21" s="2">
        <f t="shared" si="2"/>
        <v>27.346710465320999</v>
      </c>
    </row>
    <row r="22" spans="2:21" x14ac:dyDescent="0.25">
      <c r="B22">
        <v>21</v>
      </c>
      <c r="C22">
        <v>0.99950000000000006</v>
      </c>
      <c r="D22">
        <v>0.998108463327401</v>
      </c>
      <c r="E22">
        <v>2.5000000000000001E-3</v>
      </c>
      <c r="F22">
        <f t="shared" si="0"/>
        <v>1.3915366725990586E-3</v>
      </c>
      <c r="G22" s="2">
        <f t="shared" si="1"/>
        <v>7.7454972447522376E-4</v>
      </c>
      <c r="M22">
        <v>5.6145856514618302</v>
      </c>
      <c r="N22">
        <v>5.6140891101464403</v>
      </c>
      <c r="O22" s="1">
        <v>1.75869657753786E-7</v>
      </c>
      <c r="P22" s="2">
        <f t="shared" si="2"/>
        <v>1.4019091242805493</v>
      </c>
    </row>
    <row r="23" spans="2:21" x14ac:dyDescent="0.25">
      <c r="B23">
        <v>22</v>
      </c>
      <c r="C23">
        <v>0.99950000000000006</v>
      </c>
      <c r="D23">
        <v>0.99929480957952699</v>
      </c>
      <c r="E23">
        <v>2.5000000000000001E-3</v>
      </c>
      <c r="F23">
        <f t="shared" si="0"/>
        <v>2.0519042047306701E-4</v>
      </c>
      <c r="G23" s="2">
        <f t="shared" si="1"/>
        <v>1.6841243461565615E-5</v>
      </c>
      <c r="M23">
        <v>2.6246489004570601</v>
      </c>
      <c r="N23">
        <v>2.6242603397673099</v>
      </c>
      <c r="O23" s="1">
        <v>4.6574508125490201E-8</v>
      </c>
      <c r="P23" s="2">
        <f t="shared" si="2"/>
        <v>3.2416748065783794</v>
      </c>
    </row>
    <row r="24" spans="2:21" x14ac:dyDescent="0.25">
      <c r="B24">
        <v>23</v>
      </c>
      <c r="C24">
        <v>0.99950000000000006</v>
      </c>
      <c r="D24">
        <v>0.99942372045544603</v>
      </c>
      <c r="E24">
        <v>2.5000000000000001E-3</v>
      </c>
      <c r="F24">
        <f t="shared" si="0"/>
        <v>7.6279544554025414E-5</v>
      </c>
      <c r="G24" s="2">
        <f t="shared" si="1"/>
        <v>2.3274275669478195E-6</v>
      </c>
      <c r="M24">
        <v>5.6250752677785103</v>
      </c>
      <c r="N24">
        <v>5.6246435271752304</v>
      </c>
      <c r="O24" s="1">
        <v>1.92942383269442E-7</v>
      </c>
      <c r="P24" s="2">
        <f t="shared" si="2"/>
        <v>0.96609125150160957</v>
      </c>
    </row>
    <row r="25" spans="2:21" x14ac:dyDescent="0.25">
      <c r="B25">
        <v>24</v>
      </c>
      <c r="C25">
        <v>0.99950000000000006</v>
      </c>
      <c r="D25">
        <v>0.99884478625724704</v>
      </c>
      <c r="E25">
        <v>2.5000000000000001E-3</v>
      </c>
      <c r="F25">
        <f t="shared" si="0"/>
        <v>6.5521374275301358E-4</v>
      </c>
      <c r="G25" s="2">
        <f t="shared" si="1"/>
        <v>1.717220194769649E-4</v>
      </c>
      <c r="M25">
        <v>1.00292498609247</v>
      </c>
      <c r="N25">
        <v>1.0026757297373801</v>
      </c>
      <c r="O25" s="1">
        <v>2.1850344181059401E-8</v>
      </c>
      <c r="P25" s="2">
        <f t="shared" si="2"/>
        <v>2.8433753737664986</v>
      </c>
    </row>
    <row r="26" spans="2:21" x14ac:dyDescent="0.25">
      <c r="B26">
        <v>25</v>
      </c>
      <c r="C26">
        <v>0.99950000000000006</v>
      </c>
      <c r="D26">
        <v>0.99888306027074603</v>
      </c>
      <c r="E26">
        <v>2.5000000000000001E-3</v>
      </c>
      <c r="F26">
        <f t="shared" si="0"/>
        <v>6.1693972925402907E-4</v>
      </c>
      <c r="G26" s="2">
        <f t="shared" si="1"/>
        <v>1.5224585181281388E-4</v>
      </c>
      <c r="M26">
        <v>5.6149028591918198</v>
      </c>
      <c r="N26">
        <v>5.6153576034486097</v>
      </c>
      <c r="O26" s="1">
        <v>1.64825193284693E-7</v>
      </c>
      <c r="P26" s="2">
        <f t="shared" si="2"/>
        <v>1.2546160872764456</v>
      </c>
    </row>
    <row r="27" spans="2:21" x14ac:dyDescent="0.25">
      <c r="B27">
        <v>26</v>
      </c>
      <c r="C27">
        <v>0.99950000000000006</v>
      </c>
      <c r="D27">
        <v>0.999713125345289</v>
      </c>
      <c r="E27">
        <v>2.5000000000000001E-3</v>
      </c>
      <c r="F27">
        <f t="shared" si="0"/>
        <v>-2.1312534528894478E-4</v>
      </c>
      <c r="G27" s="2">
        <f t="shared" si="1"/>
        <v>1.8168965121812776E-5</v>
      </c>
      <c r="M27">
        <v>2.6243885338073998</v>
      </c>
      <c r="N27">
        <v>2.6246414798074</v>
      </c>
      <c r="O27" s="1">
        <v>7.3570734246560404E-8</v>
      </c>
      <c r="P27" s="2">
        <f t="shared" si="2"/>
        <v>0.86966209555152874</v>
      </c>
    </row>
    <row r="28" spans="2:21" x14ac:dyDescent="0.25">
      <c r="B28">
        <v>27</v>
      </c>
      <c r="C28">
        <v>0.99950000000000006</v>
      </c>
      <c r="D28">
        <v>0.99954030169124997</v>
      </c>
      <c r="E28">
        <v>2.5000000000000001E-3</v>
      </c>
      <c r="F28">
        <f t="shared" si="0"/>
        <v>-4.0301691249911009E-5</v>
      </c>
      <c r="G28" s="2">
        <f t="shared" si="1"/>
        <v>6.4969052704126146E-7</v>
      </c>
      <c r="M28">
        <v>5.6244034048480396</v>
      </c>
      <c r="N28">
        <v>5.6251038816274903</v>
      </c>
      <c r="O28" s="1">
        <v>2.6170907484227401E-7</v>
      </c>
      <c r="P28" s="2">
        <f t="shared" si="2"/>
        <v>1.8748593981518715</v>
      </c>
    </row>
    <row r="29" spans="2:21" x14ac:dyDescent="0.25">
      <c r="B29">
        <v>28</v>
      </c>
      <c r="C29">
        <v>0.99950000000000006</v>
      </c>
      <c r="D29">
        <v>0.99938081560571501</v>
      </c>
      <c r="E29">
        <v>2.5000000000000001E-3</v>
      </c>
      <c r="F29">
        <f t="shared" si="0"/>
        <v>1.1918439428504346E-4</v>
      </c>
      <c r="G29" s="2">
        <f t="shared" si="1"/>
        <v>5.6819679364370797E-6</v>
      </c>
      <c r="M29">
        <v>1.00256094730183</v>
      </c>
      <c r="N29">
        <v>1.00246477394121</v>
      </c>
      <c r="O29" s="1">
        <v>1.72206119794234E-8</v>
      </c>
      <c r="P29" s="2">
        <f t="shared" si="2"/>
        <v>0.53710723544481753</v>
      </c>
    </row>
    <row r="30" spans="2:21" x14ac:dyDescent="0.25">
      <c r="B30">
        <v>29</v>
      </c>
      <c r="C30">
        <v>0.99950000000000006</v>
      </c>
      <c r="D30">
        <v>1.0019393112572801</v>
      </c>
      <c r="E30">
        <v>2.5000000000000001E-3</v>
      </c>
      <c r="F30">
        <f t="shared" si="0"/>
        <v>-2.4393112572800302E-3</v>
      </c>
      <c r="G30" s="2">
        <f t="shared" si="1"/>
        <v>2.3800957639572326E-3</v>
      </c>
      <c r="M30">
        <v>5.6160050122490999</v>
      </c>
      <c r="N30">
        <v>5.6164574420390796</v>
      </c>
      <c r="O30" s="1">
        <v>3.22861698234573E-7</v>
      </c>
      <c r="P30" s="2">
        <f t="shared" si="2"/>
        <v>0.63399503868179397</v>
      </c>
    </row>
    <row r="31" spans="2:21" x14ac:dyDescent="0.25">
      <c r="B31">
        <v>30</v>
      </c>
      <c r="C31">
        <v>0.99950000000000006</v>
      </c>
      <c r="D31">
        <v>1.0000488475146101</v>
      </c>
      <c r="E31">
        <v>2.5000000000000001E-3</v>
      </c>
      <c r="F31">
        <f t="shared" si="0"/>
        <v>-5.4884751461004022E-4</v>
      </c>
      <c r="G31" s="2">
        <f t="shared" si="1"/>
        <v>1.2049343771744733E-4</v>
      </c>
      <c r="M31">
        <v>2.6248843921162601</v>
      </c>
      <c r="N31">
        <v>2.6249719198260699</v>
      </c>
      <c r="O31" s="1">
        <v>7.8684011975892194E-8</v>
      </c>
      <c r="P31" s="2">
        <f t="shared" si="2"/>
        <v>9.7365395995510598E-2</v>
      </c>
    </row>
    <row r="32" spans="2:21" x14ac:dyDescent="0.25">
      <c r="B32">
        <v>31</v>
      </c>
      <c r="C32">
        <v>0.99950000000000006</v>
      </c>
      <c r="D32">
        <v>0.99977055878076504</v>
      </c>
      <c r="E32">
        <v>2.5000000000000001E-3</v>
      </c>
      <c r="F32">
        <f t="shared" si="0"/>
        <v>-2.7055878076498452E-4</v>
      </c>
      <c r="G32" s="2">
        <f t="shared" si="1"/>
        <v>2.9280821539613981E-5</v>
      </c>
      <c r="M32">
        <v>5.6246232449691496</v>
      </c>
      <c r="N32">
        <v>5.6255029751837</v>
      </c>
      <c r="O32" s="1">
        <v>3.8218776800729201E-7</v>
      </c>
      <c r="P32" s="2">
        <f t="shared" si="2"/>
        <v>2.0249869702219909</v>
      </c>
    </row>
    <row r="33" spans="2:16" x14ac:dyDescent="0.25">
      <c r="B33">
        <v>32</v>
      </c>
      <c r="C33">
        <v>0.99950000000000006</v>
      </c>
      <c r="D33">
        <v>0.99897929270716801</v>
      </c>
      <c r="E33">
        <v>2.5000000000000001E-3</v>
      </c>
      <c r="F33">
        <f t="shared" si="0"/>
        <v>5.2070729283204553E-4</v>
      </c>
      <c r="G33" s="2">
        <f t="shared" si="1"/>
        <v>1.0845443392339104E-4</v>
      </c>
      <c r="M33">
        <v>1.00249121739478</v>
      </c>
      <c r="N33">
        <v>1.0022819406177299</v>
      </c>
      <c r="O33" s="1">
        <v>1.6422367910923201E-8</v>
      </c>
      <c r="P33" s="2">
        <f t="shared" si="2"/>
        <v>2.6668973469614112</v>
      </c>
    </row>
    <row r="34" spans="2:16" x14ac:dyDescent="0.25">
      <c r="B34">
        <v>33</v>
      </c>
      <c r="C34">
        <v>0.99950000000000006</v>
      </c>
      <c r="D34">
        <v>0.99898983165646604</v>
      </c>
      <c r="E34">
        <v>2.5000000000000001E-3</v>
      </c>
      <c r="F34">
        <f t="shared" si="0"/>
        <v>5.1016834353401208E-4</v>
      </c>
      <c r="G34" s="2">
        <f t="shared" si="1"/>
        <v>1.0410869549769511E-4</v>
      </c>
      <c r="M34">
        <v>5.6202898670143302</v>
      </c>
      <c r="N34">
        <v>5.6188019895886097</v>
      </c>
      <c r="O34" s="1">
        <v>2.4754048265240898E-7</v>
      </c>
      <c r="P34" s="2">
        <f t="shared" si="2"/>
        <v>8.9430997719969891</v>
      </c>
    </row>
    <row r="35" spans="2:16" x14ac:dyDescent="0.25">
      <c r="B35">
        <v>34</v>
      </c>
      <c r="C35">
        <v>0.99950000000000006</v>
      </c>
      <c r="D35">
        <v>0.99919448086032803</v>
      </c>
      <c r="E35">
        <v>2.5000000000000001E-3</v>
      </c>
      <c r="F35">
        <f t="shared" si="0"/>
        <v>3.0551913967202804E-4</v>
      </c>
      <c r="G35" s="2">
        <f t="shared" si="1"/>
        <v>3.733677788237447E-5</v>
      </c>
      <c r="M35">
        <v>2.6264245566534199</v>
      </c>
      <c r="N35">
        <v>2.62567624817199</v>
      </c>
      <c r="O35" s="1">
        <v>6.0976068945666597E-8</v>
      </c>
      <c r="P35" s="2">
        <f t="shared" si="2"/>
        <v>9.1833664101719421</v>
      </c>
    </row>
    <row r="36" spans="2:16" x14ac:dyDescent="0.25">
      <c r="B36">
        <v>35</v>
      </c>
      <c r="C36">
        <v>0.99950000000000006</v>
      </c>
      <c r="D36">
        <v>0.99953979432086904</v>
      </c>
      <c r="E36">
        <v>2.5000000000000001E-3</v>
      </c>
      <c r="F36">
        <f t="shared" si="0"/>
        <v>-3.9794320868979938E-5</v>
      </c>
      <c r="G36" s="2">
        <f t="shared" si="1"/>
        <v>6.3343518936933284E-7</v>
      </c>
      <c r="M36">
        <v>5.62816072160836</v>
      </c>
      <c r="N36">
        <v>5.6263535644280003</v>
      </c>
      <c r="O36" s="1">
        <v>2.4928287759699499E-7</v>
      </c>
      <c r="P36" s="2">
        <f t="shared" si="2"/>
        <v>13.100847944339924</v>
      </c>
    </row>
    <row r="37" spans="2:16" x14ac:dyDescent="0.25">
      <c r="B37">
        <v>36</v>
      </c>
      <c r="C37">
        <v>0.99950000000000006</v>
      </c>
      <c r="D37">
        <v>0.99921796573702104</v>
      </c>
      <c r="E37">
        <v>2.5000000000000001E-3</v>
      </c>
      <c r="F37">
        <f t="shared" si="0"/>
        <v>2.8203426297901402E-4</v>
      </c>
      <c r="G37" s="2">
        <f t="shared" si="1"/>
        <v>3.1817330197646254E-5</v>
      </c>
      <c r="M37">
        <v>1.0018455387149401</v>
      </c>
      <c r="N37">
        <v>1.00189242195033</v>
      </c>
      <c r="O37" s="1">
        <v>2.6866458913215901E-8</v>
      </c>
      <c r="P37" s="2">
        <f t="shared" si="2"/>
        <v>8.1813452518154389E-2</v>
      </c>
    </row>
    <row r="38" spans="2:16" x14ac:dyDescent="0.25">
      <c r="B38">
        <v>37</v>
      </c>
      <c r="C38">
        <v>0.99950000000000006</v>
      </c>
      <c r="D38">
        <v>0.99920289831636599</v>
      </c>
      <c r="E38">
        <v>2.5000000000000001E-3</v>
      </c>
      <c r="F38">
        <f t="shared" si="0"/>
        <v>2.9710168363406009E-4</v>
      </c>
      <c r="G38" s="2">
        <f t="shared" si="1"/>
        <v>3.5307764167277246E-5</v>
      </c>
      <c r="M38">
        <v>5.6194005090047598</v>
      </c>
      <c r="N38">
        <v>5.6193273594247399</v>
      </c>
      <c r="O38" s="1">
        <v>4.2595442107937998E-7</v>
      </c>
      <c r="P38" s="2">
        <f t="shared" si="2"/>
        <v>1.2562050755409003E-2</v>
      </c>
    </row>
    <row r="39" spans="2:16" x14ac:dyDescent="0.25">
      <c r="B39">
        <v>38</v>
      </c>
      <c r="C39">
        <v>0.99950000000000006</v>
      </c>
      <c r="D39">
        <v>0.99926880764607495</v>
      </c>
      <c r="E39">
        <v>2.5000000000000001E-3</v>
      </c>
      <c r="F39">
        <f t="shared" si="0"/>
        <v>2.3119235392510262E-4</v>
      </c>
      <c r="G39" s="2">
        <f t="shared" si="1"/>
        <v>2.1379961805371966E-5</v>
      </c>
      <c r="M39">
        <v>2.6258280065644</v>
      </c>
      <c r="N39">
        <v>2.6258340607576498</v>
      </c>
      <c r="O39" s="1">
        <v>8.2742161242102003E-8</v>
      </c>
      <c r="P39" s="2">
        <f t="shared" si="2"/>
        <v>4.4298161126271417E-4</v>
      </c>
    </row>
    <row r="40" spans="2:16" x14ac:dyDescent="0.25">
      <c r="B40">
        <v>39</v>
      </c>
      <c r="C40">
        <v>0.99950000000000006</v>
      </c>
      <c r="D40">
        <v>0.99875725431625195</v>
      </c>
      <c r="E40">
        <v>2.5000000000000001E-3</v>
      </c>
      <c r="F40">
        <f t="shared" si="0"/>
        <v>7.4274568374810279E-4</v>
      </c>
      <c r="G40" s="2">
        <f t="shared" si="1"/>
        <v>2.2066846029057468E-4</v>
      </c>
      <c r="M40">
        <v>5.62583494214004</v>
      </c>
      <c r="N40">
        <v>5.6265441347351297</v>
      </c>
      <c r="O40" s="1">
        <v>3.9386759882312199E-7</v>
      </c>
      <c r="P40" s="2">
        <f t="shared" si="2"/>
        <v>1.2769624575185354</v>
      </c>
    </row>
    <row r="41" spans="2:16" x14ac:dyDescent="0.25">
      <c r="B41">
        <v>40</v>
      </c>
      <c r="C41">
        <v>0.99950000000000006</v>
      </c>
      <c r="D41">
        <v>0.99853930911316002</v>
      </c>
      <c r="E41">
        <v>2.5000000000000001E-3</v>
      </c>
      <c r="F41">
        <f t="shared" si="0"/>
        <v>9.6069088684003212E-4</v>
      </c>
      <c r="G41" s="2">
        <f t="shared" si="1"/>
        <v>3.6917079202299498E-4</v>
      </c>
      <c r="M41">
        <v>1.0020101957506999</v>
      </c>
      <c r="N41">
        <v>1.0018051810539499</v>
      </c>
      <c r="O41" s="1">
        <v>9.6925694467709801E-9</v>
      </c>
      <c r="P41" s="2">
        <f t="shared" si="2"/>
        <v>4.3364173054769601</v>
      </c>
    </row>
    <row r="42" spans="2:16" x14ac:dyDescent="0.25">
      <c r="B42">
        <v>41</v>
      </c>
      <c r="C42">
        <v>0.99950000000000006</v>
      </c>
      <c r="D42">
        <v>0.99882326684684497</v>
      </c>
      <c r="E42">
        <v>2.5000000000000001E-3</v>
      </c>
      <c r="F42">
        <f t="shared" si="0"/>
        <v>6.7673315315508464E-4</v>
      </c>
      <c r="G42" s="2">
        <f t="shared" si="1"/>
        <v>1.831871042316893E-4</v>
      </c>
      <c r="M42">
        <v>5.6223064554740603</v>
      </c>
      <c r="N42">
        <v>5.6218572766118404</v>
      </c>
      <c r="O42" s="1">
        <v>4.5011127284686201E-7</v>
      </c>
      <c r="P42" s="2">
        <f t="shared" si="2"/>
        <v>0.44824838309206022</v>
      </c>
    </row>
    <row r="43" spans="2:16" x14ac:dyDescent="0.25">
      <c r="B43">
        <v>42</v>
      </c>
      <c r="C43">
        <v>0.99950000000000006</v>
      </c>
      <c r="D43">
        <v>0.99936336726163699</v>
      </c>
      <c r="E43">
        <v>2.5000000000000001E-3</v>
      </c>
      <c r="F43">
        <f t="shared" si="0"/>
        <v>1.3663273836306278E-4</v>
      </c>
      <c r="G43" s="2">
        <f t="shared" si="1"/>
        <v>7.4674020770356665E-6</v>
      </c>
      <c r="M43">
        <v>2.6267508075291199</v>
      </c>
      <c r="N43">
        <v>2.6265939331062298</v>
      </c>
      <c r="O43" s="1">
        <v>1.6548789461630299E-7</v>
      </c>
      <c r="P43" s="2">
        <f t="shared" si="2"/>
        <v>0.14870927335303924</v>
      </c>
    </row>
    <row r="44" spans="2:16" x14ac:dyDescent="0.25">
      <c r="B44">
        <v>43</v>
      </c>
      <c r="C44">
        <v>0.99950000000000006</v>
      </c>
      <c r="D44">
        <v>0.99936578570991996</v>
      </c>
      <c r="E44">
        <v>2.5000000000000001E-3</v>
      </c>
      <c r="F44">
        <f t="shared" si="0"/>
        <v>1.3421429008009245E-4</v>
      </c>
      <c r="G44" s="2">
        <f t="shared" si="1"/>
        <v>7.2053902646812804E-6</v>
      </c>
      <c r="M44">
        <v>5.6281189017109599</v>
      </c>
      <c r="N44">
        <v>5.6274616665253099</v>
      </c>
      <c r="O44" s="1">
        <v>4.6346394599830002E-7</v>
      </c>
      <c r="P44" s="2">
        <f t="shared" si="2"/>
        <v>0.93202091119713482</v>
      </c>
    </row>
    <row r="45" spans="2:16" x14ac:dyDescent="0.25">
      <c r="B45">
        <v>44</v>
      </c>
      <c r="C45">
        <v>0.99950000000000006</v>
      </c>
      <c r="D45">
        <v>0.997172613583998</v>
      </c>
      <c r="E45">
        <v>2.5000000000000001E-3</v>
      </c>
      <c r="F45">
        <f t="shared" si="0"/>
        <v>2.327386416002053E-3</v>
      </c>
      <c r="G45" s="2">
        <f t="shared" si="1"/>
        <v>2.1666910117563525E-3</v>
      </c>
      <c r="M45">
        <v>1.00131024456241</v>
      </c>
      <c r="N45">
        <v>1.00138529320751</v>
      </c>
      <c r="O45" s="1">
        <v>1.34825399789845E-8</v>
      </c>
      <c r="P45" s="2">
        <f t="shared" si="2"/>
        <v>0.4177476306485457</v>
      </c>
    </row>
    <row r="46" spans="2:16" x14ac:dyDescent="0.25">
      <c r="B46">
        <v>45</v>
      </c>
      <c r="C46">
        <v>0.99950000000000006</v>
      </c>
      <c r="D46">
        <v>0.99942388236955704</v>
      </c>
      <c r="E46">
        <v>2.5000000000000001E-3</v>
      </c>
      <c r="F46">
        <f t="shared" si="0"/>
        <v>7.6117630443017781E-5</v>
      </c>
      <c r="G46" s="2">
        <f t="shared" si="1"/>
        <v>2.3175574657039308E-6</v>
      </c>
      <c r="M46">
        <v>5.6226153547365501</v>
      </c>
      <c r="N46">
        <v>5.6226752314520398</v>
      </c>
      <c r="O46" s="1">
        <v>1.94614424914994E-7</v>
      </c>
      <c r="P46" s="2">
        <f t="shared" si="2"/>
        <v>1.8422175331615769E-2</v>
      </c>
    </row>
    <row r="47" spans="2:16" x14ac:dyDescent="0.25">
      <c r="B47">
        <v>46</v>
      </c>
      <c r="C47">
        <v>0.99950000000000006</v>
      </c>
      <c r="D47">
        <v>1.0002260917963099</v>
      </c>
      <c r="E47">
        <v>2.5000000000000001E-3</v>
      </c>
      <c r="F47">
        <f t="shared" si="0"/>
        <v>-7.2609179630989118E-4</v>
      </c>
      <c r="G47" s="2">
        <f t="shared" si="1"/>
        <v>2.108837186674098E-4</v>
      </c>
      <c r="M47">
        <v>2.6267344807111099</v>
      </c>
      <c r="N47">
        <v>2.6268395835021199</v>
      </c>
      <c r="O47" s="1">
        <v>5.8004378463370197E-8</v>
      </c>
      <c r="P47" s="2">
        <f t="shared" si="2"/>
        <v>0.19044418664112911</v>
      </c>
    </row>
    <row r="48" spans="2:16" x14ac:dyDescent="0.25">
      <c r="B48">
        <v>47</v>
      </c>
      <c r="C48">
        <v>0.99950000000000006</v>
      </c>
      <c r="D48">
        <v>0.99878204098457901</v>
      </c>
      <c r="E48">
        <v>2.5000000000000001E-3</v>
      </c>
      <c r="F48">
        <f t="shared" si="0"/>
        <v>7.1795901542104357E-4</v>
      </c>
      <c r="G48" s="2">
        <f t="shared" si="1"/>
        <v>2.0618605912974171E-4</v>
      </c>
      <c r="M48">
        <v>5.6276654988742596</v>
      </c>
      <c r="N48">
        <v>5.6277582600488998</v>
      </c>
      <c r="O48" s="1">
        <v>1.82991044992481E-7</v>
      </c>
      <c r="P48" s="2">
        <f t="shared" si="2"/>
        <v>4.7022167237642749E-2</v>
      </c>
    </row>
    <row r="49" spans="1:16" x14ac:dyDescent="0.25">
      <c r="B49" s="57">
        <v>48</v>
      </c>
      <c r="C49">
        <v>0.99950000000000006</v>
      </c>
      <c r="D49">
        <v>0.999087140320017</v>
      </c>
      <c r="E49">
        <v>2.5000000000000001E-3</v>
      </c>
      <c r="F49">
        <f t="shared" si="0"/>
        <v>4.128596799830575E-4</v>
      </c>
      <c r="G49" s="2">
        <f t="shared" si="1"/>
        <v>6.8181246142285051E-5</v>
      </c>
      <c r="M49">
        <v>1.0013533106781201</v>
      </c>
      <c r="N49">
        <v>1.00124961611214</v>
      </c>
      <c r="O49" s="1">
        <v>8.3540761454999292E-9</v>
      </c>
      <c r="P49" s="2">
        <f t="shared" si="2"/>
        <v>1.2871037834121808</v>
      </c>
    </row>
    <row r="50" spans="1:16" x14ac:dyDescent="0.25">
      <c r="A50" t="s">
        <v>119</v>
      </c>
      <c r="B50">
        <v>49</v>
      </c>
      <c r="C50">
        <v>0.99950000000000006</v>
      </c>
      <c r="D50">
        <v>0.99940567201598296</v>
      </c>
      <c r="E50">
        <v>2.5000000000000001E-3</v>
      </c>
      <c r="F50">
        <f t="shared" si="0"/>
        <v>9.432798401709519E-5</v>
      </c>
      <c r="G50" s="2">
        <f t="shared" si="1"/>
        <v>3.5591074274917461E-6</v>
      </c>
      <c r="M50">
        <v>5.6244173531869599</v>
      </c>
      <c r="N50">
        <v>5.6243049598520702</v>
      </c>
      <c r="O50" s="1">
        <v>7.9893248006535996E-8</v>
      </c>
      <c r="P50" s="2">
        <f t="shared" si="2"/>
        <v>0.1581142592498658</v>
      </c>
    </row>
    <row r="51" spans="1:16" x14ac:dyDescent="0.25">
      <c r="B51">
        <v>50</v>
      </c>
      <c r="C51">
        <v>0.99950000000000006</v>
      </c>
      <c r="D51">
        <v>0.99931013550065195</v>
      </c>
      <c r="E51">
        <v>2.5000000000000001E-3</v>
      </c>
      <c r="F51">
        <f t="shared" si="0"/>
        <v>1.8986449934810246E-4</v>
      </c>
      <c r="G51" s="2">
        <f t="shared" si="1"/>
        <v>1.4419411245082239E-5</v>
      </c>
      <c r="M51">
        <v>2.6271904739298799</v>
      </c>
      <c r="N51">
        <v>2.6273289898665801</v>
      </c>
      <c r="O51" s="1">
        <v>2.74919675474516E-8</v>
      </c>
      <c r="P51" s="2">
        <f t="shared" si="2"/>
        <v>0.69790074816666747</v>
      </c>
    </row>
    <row r="52" spans="1:16" x14ac:dyDescent="0.25">
      <c r="B52">
        <v>51</v>
      </c>
      <c r="C52">
        <v>0.99950000000000006</v>
      </c>
      <c r="D52">
        <v>0.99948786299119496</v>
      </c>
      <c r="E52">
        <v>2.5000000000000001E-3</v>
      </c>
      <c r="F52">
        <f t="shared" si="0"/>
        <v>1.2137008805090943E-5</v>
      </c>
      <c r="G52" s="2">
        <f t="shared" si="1"/>
        <v>5.8922793093942036E-8</v>
      </c>
      <c r="M52">
        <v>5.6284968529191497</v>
      </c>
      <c r="N52">
        <v>5.6283491237204499</v>
      </c>
      <c r="O52" s="1">
        <v>7.3406224946760893E-8</v>
      </c>
      <c r="P52" s="2">
        <f t="shared" si="2"/>
        <v>0.29730334401888364</v>
      </c>
    </row>
    <row r="53" spans="1:16" x14ac:dyDescent="0.25">
      <c r="B53">
        <v>52</v>
      </c>
      <c r="C53">
        <v>0.99950000000000006</v>
      </c>
      <c r="D53">
        <v>0.99932873924953003</v>
      </c>
      <c r="E53">
        <v>2.5000000000000001E-3</v>
      </c>
      <c r="F53">
        <f t="shared" si="0"/>
        <v>1.7126075047002587E-4</v>
      </c>
      <c r="G53" s="2">
        <f t="shared" si="1"/>
        <v>1.1732097860622587E-5</v>
      </c>
      <c r="M53">
        <v>1.0011171256010301</v>
      </c>
      <c r="N53">
        <v>1.00097940084216</v>
      </c>
      <c r="O53" s="1">
        <v>6.8592796200667302E-9</v>
      </c>
      <c r="P53" s="2">
        <f t="shared" si="2"/>
        <v>2.7653208873905255</v>
      </c>
    </row>
    <row r="54" spans="1:16" x14ac:dyDescent="0.25">
      <c r="B54">
        <v>53</v>
      </c>
      <c r="C54">
        <v>0.99950000000000006</v>
      </c>
      <c r="D54">
        <v>0.99949186672205803</v>
      </c>
      <c r="E54">
        <v>2.5000000000000001E-3</v>
      </c>
      <c r="F54">
        <f t="shared" si="0"/>
        <v>8.1332779420240087E-6</v>
      </c>
      <c r="G54" s="2">
        <f t="shared" si="1"/>
        <v>2.646008403288572E-8</v>
      </c>
      <c r="M54">
        <v>5.6264840419612803</v>
      </c>
      <c r="N54">
        <v>5.6262592149252901</v>
      </c>
      <c r="O54" s="1">
        <v>2.4775636459865899E-7</v>
      </c>
      <c r="P54" s="2">
        <f t="shared" si="2"/>
        <v>0.20401976834779784</v>
      </c>
    </row>
    <row r="55" spans="1:16" x14ac:dyDescent="0.25">
      <c r="B55">
        <v>54</v>
      </c>
      <c r="C55">
        <v>0.99950000000000006</v>
      </c>
      <c r="D55">
        <v>0.99934982253987903</v>
      </c>
      <c r="E55">
        <v>2.5000000000000001E-3</v>
      </c>
      <c r="F55">
        <f t="shared" si="0"/>
        <v>1.5017746012102595E-4</v>
      </c>
      <c r="G55" s="2">
        <f t="shared" si="1"/>
        <v>9.021307811360936E-6</v>
      </c>
      <c r="M55">
        <v>2.62800184881268</v>
      </c>
      <c r="N55">
        <v>2.6279157845947698</v>
      </c>
      <c r="O55" s="1">
        <v>4.9372466791227303E-8</v>
      </c>
      <c r="P55" s="2">
        <f t="shared" si="2"/>
        <v>0.15002389157105395</v>
      </c>
    </row>
    <row r="56" spans="1:16" x14ac:dyDescent="0.25">
      <c r="B56">
        <v>55</v>
      </c>
      <c r="C56">
        <v>0.99950000000000006</v>
      </c>
      <c r="D56">
        <v>0.99944547435686304</v>
      </c>
      <c r="E56">
        <v>2.5000000000000001E-3</v>
      </c>
      <c r="F56">
        <f t="shared" si="0"/>
        <v>5.4525643137015578E-5</v>
      </c>
      <c r="G56" s="2">
        <f t="shared" si="1"/>
        <v>1.1892183038020695E-6</v>
      </c>
      <c r="M56">
        <v>5.6292936155922897</v>
      </c>
      <c r="N56">
        <v>5.6290575017108102</v>
      </c>
      <c r="O56" s="1">
        <v>2.0523014211401101E-7</v>
      </c>
      <c r="P56" s="2">
        <f t="shared" si="2"/>
        <v>0.27164511242377204</v>
      </c>
    </row>
    <row r="57" spans="1:16" x14ac:dyDescent="0.25">
      <c r="B57">
        <v>56</v>
      </c>
      <c r="C57">
        <v>0.99950000000000006</v>
      </c>
      <c r="D57">
        <v>0.99799695631432706</v>
      </c>
      <c r="E57">
        <v>2.5000000000000001E-3</v>
      </c>
      <c r="F57">
        <f t="shared" si="0"/>
        <v>1.5030436856730001E-3</v>
      </c>
      <c r="G57" s="2">
        <f t="shared" si="1"/>
        <v>9.0365612841659059E-4</v>
      </c>
      <c r="M57">
        <v>1.00062973678624</v>
      </c>
      <c r="N57">
        <v>1.0006555771191501</v>
      </c>
      <c r="O57" s="1">
        <v>6.1978613010097401E-9</v>
      </c>
      <c r="P57" s="2">
        <f t="shared" si="2"/>
        <v>0.10773438973140163</v>
      </c>
    </row>
    <row r="58" spans="1:16" x14ac:dyDescent="0.25">
      <c r="B58">
        <v>57</v>
      </c>
      <c r="C58">
        <v>0.99950000000000006</v>
      </c>
      <c r="D58">
        <v>0.99932117008015398</v>
      </c>
      <c r="E58">
        <v>2.5000000000000001E-3</v>
      </c>
      <c r="F58">
        <f t="shared" si="0"/>
        <v>1.7882991984607965E-4</v>
      </c>
      <c r="G58" s="2">
        <f t="shared" si="1"/>
        <v>1.2792056092862108E-5</v>
      </c>
      <c r="M58">
        <v>5.6275390467473398</v>
      </c>
      <c r="N58">
        <v>5.6269744561054296</v>
      </c>
      <c r="O58" s="1">
        <v>1.91788875359678E-7</v>
      </c>
      <c r="P58" s="2">
        <f t="shared" si="2"/>
        <v>1.6620494402235679</v>
      </c>
    </row>
    <row r="59" spans="1:16" x14ac:dyDescent="0.25">
      <c r="B59">
        <v>58</v>
      </c>
      <c r="C59">
        <v>0.99950000000000006</v>
      </c>
      <c r="D59">
        <v>0.999002993237883</v>
      </c>
      <c r="E59">
        <v>2.5000000000000001E-3</v>
      </c>
      <c r="F59">
        <f t="shared" si="0"/>
        <v>4.9700676211705819E-4</v>
      </c>
      <c r="G59" s="2">
        <f t="shared" si="1"/>
        <v>9.8806288636032815E-5</v>
      </c>
      <c r="M59">
        <v>2.62827398516963</v>
      </c>
      <c r="N59">
        <v>2.6281305284090699</v>
      </c>
      <c r="O59" s="1">
        <v>3.4808236145615597E-8</v>
      </c>
      <c r="P59" s="2">
        <f t="shared" si="2"/>
        <v>0.59123484638202439</v>
      </c>
    </row>
    <row r="60" spans="1:16" x14ac:dyDescent="0.25">
      <c r="B60">
        <v>59</v>
      </c>
      <c r="C60">
        <v>0.99950000000000006</v>
      </c>
      <c r="D60">
        <v>0.99869166281786204</v>
      </c>
      <c r="E60">
        <v>2.5000000000000001E-3</v>
      </c>
      <c r="F60">
        <f t="shared" si="0"/>
        <v>8.0833718213801919E-4</v>
      </c>
      <c r="G60" s="2">
        <f t="shared" si="1"/>
        <v>2.6136360001073329E-4</v>
      </c>
      <c r="M60">
        <v>5.6300699622859298</v>
      </c>
      <c r="N60">
        <v>5.6293167229664798</v>
      </c>
      <c r="O60" s="1">
        <v>1.7312262763108701E-7</v>
      </c>
      <c r="P60" s="2">
        <f t="shared" si="2"/>
        <v>3.2772692982374583</v>
      </c>
    </row>
    <row r="61" spans="1:16" x14ac:dyDescent="0.25">
      <c r="B61">
        <v>60</v>
      </c>
      <c r="C61">
        <v>0.99950000000000006</v>
      </c>
      <c r="D61">
        <v>0.99837720399074004</v>
      </c>
      <c r="E61">
        <v>2.5000000000000001E-3</v>
      </c>
      <c r="F61">
        <f t="shared" si="0"/>
        <v>1.1227960092600187E-3</v>
      </c>
      <c r="G61" s="2">
        <f t="shared" si="1"/>
        <v>5.0426835136408951E-4</v>
      </c>
      <c r="M61">
        <v>1.0004263805231599</v>
      </c>
      <c r="N61">
        <v>1.00053711461332</v>
      </c>
      <c r="O61" s="1">
        <v>6.0233049512364903E-9</v>
      </c>
      <c r="P61" s="2">
        <f t="shared" si="2"/>
        <v>2.0357658831562699</v>
      </c>
    </row>
    <row r="62" spans="1:16" x14ac:dyDescent="0.25">
      <c r="B62">
        <v>61</v>
      </c>
      <c r="C62">
        <v>0.99950000000000006</v>
      </c>
      <c r="D62">
        <v>0.99906719743530903</v>
      </c>
      <c r="E62">
        <v>2.5000000000000001E-3</v>
      </c>
      <c r="F62">
        <f t="shared" si="0"/>
        <v>4.3280256469102607E-4</v>
      </c>
      <c r="G62" s="2">
        <f t="shared" si="1"/>
        <v>7.4927224001251924E-5</v>
      </c>
      <c r="M62">
        <v>5.6263884687386803</v>
      </c>
      <c r="N62">
        <v>5.6263224846097</v>
      </c>
      <c r="O62" s="1">
        <v>1.4170270750970899E-7</v>
      </c>
      <c r="P62" s="2">
        <f t="shared" si="2"/>
        <v>3.0725632232462524E-2</v>
      </c>
    </row>
    <row r="63" spans="1:16" x14ac:dyDescent="0.25">
      <c r="B63">
        <v>62</v>
      </c>
      <c r="C63">
        <v>0.99950000000000006</v>
      </c>
      <c r="D63">
        <v>0.99885563868074301</v>
      </c>
      <c r="E63">
        <v>2.5000000000000001E-3</v>
      </c>
      <c r="F63">
        <f t="shared" si="0"/>
        <v>6.4436131925704743E-4</v>
      </c>
      <c r="G63" s="2">
        <f t="shared" si="1"/>
        <v>1.6608060390187304E-4</v>
      </c>
      <c r="M63">
        <v>2.62772374385588</v>
      </c>
      <c r="N63">
        <v>2.6279347810604499</v>
      </c>
      <c r="O63" s="1">
        <v>4.0331348636860003E-8</v>
      </c>
      <c r="P63" s="2">
        <f t="shared" si="2"/>
        <v>1.1042700831468133</v>
      </c>
    </row>
    <row r="64" spans="1:16" x14ac:dyDescent="0.25">
      <c r="B64">
        <v>63</v>
      </c>
      <c r="C64">
        <v>0.99950000000000006</v>
      </c>
      <c r="D64">
        <v>0.99931940889065496</v>
      </c>
      <c r="E64">
        <v>2.5000000000000001E-3</v>
      </c>
      <c r="F64">
        <f t="shared" si="0"/>
        <v>1.8059110934509626E-4</v>
      </c>
      <c r="G64" s="2">
        <f t="shared" si="1"/>
        <v>1.3045259509797004E-5</v>
      </c>
      <c r="M64">
        <v>5.6291923781214699</v>
      </c>
      <c r="N64">
        <v>5.6290804330708903</v>
      </c>
      <c r="O64" s="1">
        <v>1.8180079988080199E-7</v>
      </c>
      <c r="P64" s="2">
        <f t="shared" si="2"/>
        <v>6.8930908760978002E-2</v>
      </c>
    </row>
    <row r="65" spans="2:16" x14ac:dyDescent="0.25">
      <c r="B65">
        <v>64</v>
      </c>
      <c r="C65">
        <v>0.99950000000000006</v>
      </c>
      <c r="D65">
        <v>0.99868814421638796</v>
      </c>
      <c r="E65">
        <v>2.5000000000000001E-3</v>
      </c>
      <c r="F65">
        <f t="shared" si="0"/>
        <v>8.118557836120921E-4</v>
      </c>
      <c r="G65" s="2">
        <f t="shared" si="1"/>
        <v>2.6364392535376164E-4</v>
      </c>
      <c r="M65">
        <v>1.00075380802417</v>
      </c>
      <c r="N65">
        <v>1.00064509684442</v>
      </c>
      <c r="O65" s="1">
        <v>1.08945079758666E-8</v>
      </c>
      <c r="P65" s="2">
        <f t="shared" si="2"/>
        <v>1.0847778191370387</v>
      </c>
    </row>
    <row r="66" spans="2:16" x14ac:dyDescent="0.25">
      <c r="B66">
        <v>65</v>
      </c>
      <c r="C66">
        <v>0.99950000000000006</v>
      </c>
      <c r="D66">
        <v>0.99569022368510796</v>
      </c>
      <c r="E66">
        <v>2.5000000000000001E-3</v>
      </c>
      <c r="F66">
        <f t="shared" si="0"/>
        <v>3.8097763148920993E-3</v>
      </c>
      <c r="G66" s="2">
        <f t="shared" si="1"/>
        <v>5.8057582278051301E-3</v>
      </c>
      <c r="M66">
        <v>5.6263387796888296</v>
      </c>
      <c r="N66">
        <v>5.6264553970278</v>
      </c>
      <c r="O66" s="1">
        <v>1.7275296255837201E-7</v>
      </c>
      <c r="P66" s="2">
        <f t="shared" si="2"/>
        <v>7.8722839522594554E-2</v>
      </c>
    </row>
    <row r="67" spans="2:16" x14ac:dyDescent="0.25">
      <c r="B67">
        <v>66</v>
      </c>
      <c r="C67">
        <v>0.99950000000000006</v>
      </c>
      <c r="D67">
        <v>0.99962721139867405</v>
      </c>
      <c r="E67">
        <v>2.5000000000000001E-3</v>
      </c>
      <c r="F67">
        <f t="shared" ref="F67:F130" si="3">C67-D67</f>
        <v>-1.2721139867399867E-4</v>
      </c>
      <c r="G67" s="2">
        <f t="shared" ref="G67:G130" si="4">F67^2/E67</f>
        <v>6.4730959810380119E-6</v>
      </c>
      <c r="M67">
        <v>2.6275161559521099</v>
      </c>
      <c r="N67">
        <v>2.6279746872254601</v>
      </c>
      <c r="O67" s="1">
        <v>3.9730194719280998E-8</v>
      </c>
      <c r="P67" s="2">
        <f t="shared" ref="P67:P130" si="5">(M67-N67)^2/O67</f>
        <v>5.2919682404221042</v>
      </c>
    </row>
    <row r="68" spans="2:16" x14ac:dyDescent="0.25">
      <c r="B68">
        <v>67</v>
      </c>
      <c r="C68">
        <v>0.99950000000000006</v>
      </c>
      <c r="D68">
        <v>0.99911026738196695</v>
      </c>
      <c r="E68">
        <v>2.5000000000000001E-3</v>
      </c>
      <c r="F68">
        <f t="shared" si="3"/>
        <v>3.8973261803310066E-4</v>
      </c>
      <c r="G68" s="2">
        <f t="shared" si="4"/>
        <v>6.075660542357389E-5</v>
      </c>
      <c r="M68">
        <v>5.6290523140280504</v>
      </c>
      <c r="N68">
        <v>5.6291286050928999</v>
      </c>
      <c r="O68" s="1">
        <v>1.61259761610792E-7</v>
      </c>
      <c r="P68" s="2">
        <f t="shared" si="5"/>
        <v>3.6092863574494247E-2</v>
      </c>
    </row>
    <row r="69" spans="2:16" x14ac:dyDescent="0.25">
      <c r="B69">
        <v>68</v>
      </c>
      <c r="C69">
        <v>0.99950000000000006</v>
      </c>
      <c r="D69">
        <v>0.99926680614811203</v>
      </c>
      <c r="E69">
        <v>2.5000000000000001E-3</v>
      </c>
      <c r="F69">
        <f t="shared" si="3"/>
        <v>2.3319385188802499E-4</v>
      </c>
      <c r="G69" s="2">
        <f t="shared" si="4"/>
        <v>2.1751749023349654E-5</v>
      </c>
      <c r="M69">
        <v>1.0006382615499201</v>
      </c>
      <c r="N69">
        <v>1.00062308137574</v>
      </c>
      <c r="O69" s="1">
        <v>9.4395053238539698E-9</v>
      </c>
      <c r="P69" s="2">
        <f t="shared" si="5"/>
        <v>2.4412051292180107E-2</v>
      </c>
    </row>
    <row r="70" spans="2:16" x14ac:dyDescent="0.25">
      <c r="B70">
        <v>69</v>
      </c>
      <c r="C70">
        <v>0.99950000000000006</v>
      </c>
      <c r="D70">
        <v>0.99924701753683898</v>
      </c>
      <c r="E70">
        <v>2.5000000000000001E-3</v>
      </c>
      <c r="F70">
        <f t="shared" si="3"/>
        <v>2.5298246316107775E-4</v>
      </c>
      <c r="G70" s="2">
        <f t="shared" si="4"/>
        <v>2.5600050666818426E-5</v>
      </c>
      <c r="M70">
        <v>5.6260346959309704</v>
      </c>
      <c r="N70">
        <v>5.6266204358191096</v>
      </c>
      <c r="O70" s="1">
        <v>1.89784410125725E-7</v>
      </c>
      <c r="P70" s="2">
        <f t="shared" si="5"/>
        <v>1.807794519740088</v>
      </c>
    </row>
    <row r="71" spans="2:16" x14ac:dyDescent="0.25">
      <c r="B71">
        <v>70</v>
      </c>
      <c r="C71">
        <v>0.99950000000000006</v>
      </c>
      <c r="D71">
        <v>0.99919982694974496</v>
      </c>
      <c r="E71">
        <v>2.5000000000000001E-3</v>
      </c>
      <c r="F71">
        <f t="shared" si="3"/>
        <v>3.0017305025509256E-4</v>
      </c>
      <c r="G71" s="2">
        <f t="shared" si="4"/>
        <v>3.6041544039778528E-5</v>
      </c>
      <c r="M71">
        <v>2.6274514177881501</v>
      </c>
      <c r="N71">
        <v>2.6280242386747901</v>
      </c>
      <c r="O71" s="1">
        <v>5.9009006763980101E-8</v>
      </c>
      <c r="P71" s="2">
        <f t="shared" si="5"/>
        <v>5.5605709393390752</v>
      </c>
    </row>
    <row r="72" spans="2:16" x14ac:dyDescent="0.25">
      <c r="B72">
        <v>71</v>
      </c>
      <c r="C72">
        <v>0.99950000000000006</v>
      </c>
      <c r="D72">
        <v>0.99943936306981196</v>
      </c>
      <c r="E72">
        <v>2.5000000000000001E-3</v>
      </c>
      <c r="F72">
        <f t="shared" si="3"/>
        <v>6.0636930188096017E-5</v>
      </c>
      <c r="G72" s="2">
        <f t="shared" si="4"/>
        <v>1.470734921054412E-6</v>
      </c>
      <c r="M72">
        <v>5.6283574713017499</v>
      </c>
      <c r="N72">
        <v>5.6291884198051401</v>
      </c>
      <c r="O72" s="1">
        <v>2.33965895588274E-7</v>
      </c>
      <c r="P72" s="2">
        <f t="shared" si="5"/>
        <v>2.9511797587004973</v>
      </c>
    </row>
    <row r="73" spans="2:16" x14ac:dyDescent="0.25">
      <c r="B73">
        <v>72</v>
      </c>
      <c r="C73">
        <v>0.99950000000000006</v>
      </c>
      <c r="D73">
        <v>0.99950429649197603</v>
      </c>
      <c r="E73">
        <v>2.5000000000000001E-3</v>
      </c>
      <c r="F73">
        <f t="shared" si="3"/>
        <v>-4.2964919759747033E-6</v>
      </c>
      <c r="G73" s="2">
        <f t="shared" si="4"/>
        <v>7.3839373198460051E-9</v>
      </c>
      <c r="M73">
        <v>1.00048436520851</v>
      </c>
      <c r="N73">
        <v>1.00059574592739</v>
      </c>
      <c r="O73" s="1">
        <v>2.38783191486828E-8</v>
      </c>
      <c r="P73" s="2">
        <f t="shared" si="5"/>
        <v>0.51953675888860651</v>
      </c>
    </row>
    <row r="74" spans="2:16" x14ac:dyDescent="0.25">
      <c r="B74">
        <v>73</v>
      </c>
      <c r="C74">
        <v>0.99950000000000006</v>
      </c>
      <c r="D74">
        <v>0.99928709070296295</v>
      </c>
      <c r="E74">
        <v>2.5000000000000001E-3</v>
      </c>
      <c r="F74">
        <f t="shared" si="3"/>
        <v>2.1290929703710049E-4</v>
      </c>
      <c r="G74" s="2">
        <f t="shared" si="4"/>
        <v>1.8132147505932912E-5</v>
      </c>
      <c r="M74">
        <v>0.59623148075939403</v>
      </c>
      <c r="N74">
        <v>0.59612838930291001</v>
      </c>
      <c r="O74" s="1">
        <v>3.91717340462057E-9</v>
      </c>
      <c r="P74" s="2">
        <f t="shared" si="5"/>
        <v>2.7131421824368758</v>
      </c>
    </row>
    <row r="75" spans="2:16" x14ac:dyDescent="0.25">
      <c r="B75">
        <v>74</v>
      </c>
      <c r="C75">
        <v>0.99950000000000006</v>
      </c>
      <c r="D75">
        <v>0.99935043996039896</v>
      </c>
      <c r="E75">
        <v>2.5000000000000001E-3</v>
      </c>
      <c r="F75">
        <f t="shared" si="3"/>
        <v>1.4956003960109321E-4</v>
      </c>
      <c r="G75" s="2">
        <f t="shared" si="4"/>
        <v>8.9472821781922276E-6</v>
      </c>
      <c r="M75">
        <v>0.99287853109666302</v>
      </c>
      <c r="N75">
        <v>0.99273453264689304</v>
      </c>
      <c r="O75" s="1">
        <v>6.6423404508532701E-9</v>
      </c>
      <c r="P75" s="2">
        <f t="shared" si="5"/>
        <v>3.1217239901476406</v>
      </c>
    </row>
    <row r="76" spans="2:16" x14ac:dyDescent="0.25">
      <c r="B76">
        <v>75</v>
      </c>
      <c r="C76">
        <v>0.99950000000000006</v>
      </c>
      <c r="D76">
        <v>0.99943627824835901</v>
      </c>
      <c r="E76">
        <v>2.5000000000000001E-3</v>
      </c>
      <c r="F76">
        <f t="shared" si="3"/>
        <v>6.3721751641043767E-5</v>
      </c>
      <c r="G76" s="2">
        <f t="shared" si="4"/>
        <v>1.6241846528811454E-6</v>
      </c>
      <c r="M76">
        <v>0.59629206265339296</v>
      </c>
      <c r="N76">
        <v>0.59625989815444402</v>
      </c>
      <c r="O76" s="1">
        <v>3.7762161268192398E-9</v>
      </c>
      <c r="P76" s="2">
        <f t="shared" si="5"/>
        <v>0.27396604375706451</v>
      </c>
    </row>
    <row r="77" spans="2:16" x14ac:dyDescent="0.25">
      <c r="B77">
        <v>76</v>
      </c>
      <c r="C77">
        <v>0.99950000000000006</v>
      </c>
      <c r="D77">
        <v>0.99922809356001996</v>
      </c>
      <c r="E77">
        <v>2.5000000000000001E-3</v>
      </c>
      <c r="F77">
        <f t="shared" si="3"/>
        <v>2.7190643998009634E-4</v>
      </c>
      <c r="G77" s="2">
        <f t="shared" si="4"/>
        <v>2.9573244841059892E-5</v>
      </c>
      <c r="M77">
        <v>0.99262880447843405</v>
      </c>
      <c r="N77">
        <v>0.99258701693881701</v>
      </c>
      <c r="O77" s="1">
        <v>5.7827963356311597E-9</v>
      </c>
      <c r="P77" s="2">
        <f t="shared" si="5"/>
        <v>0.30196437257970993</v>
      </c>
    </row>
    <row r="78" spans="2:16" x14ac:dyDescent="0.25">
      <c r="B78">
        <v>77</v>
      </c>
      <c r="C78">
        <v>0.99950000000000006</v>
      </c>
      <c r="D78">
        <v>0.99923312177893597</v>
      </c>
      <c r="E78">
        <v>2.5000000000000001E-3</v>
      </c>
      <c r="F78">
        <f t="shared" si="3"/>
        <v>2.6687822106408188E-4</v>
      </c>
      <c r="G78" s="2">
        <f t="shared" si="4"/>
        <v>2.8489593951331583E-5</v>
      </c>
      <c r="M78">
        <v>0.59596430561674996</v>
      </c>
      <c r="N78">
        <v>0.59622471145022704</v>
      </c>
      <c r="O78" s="1">
        <v>2.00621506672807E-9</v>
      </c>
      <c r="P78" s="2">
        <f t="shared" si="5"/>
        <v>33.800562678201793</v>
      </c>
    </row>
    <row r="79" spans="2:16" x14ac:dyDescent="0.25">
      <c r="B79">
        <v>78</v>
      </c>
      <c r="C79">
        <v>0.99950000000000006</v>
      </c>
      <c r="D79">
        <v>0.99916172540026305</v>
      </c>
      <c r="E79">
        <v>2.5000000000000001E-3</v>
      </c>
      <c r="F79">
        <f t="shared" si="3"/>
        <v>3.3827459973700957E-4</v>
      </c>
      <c r="G79" s="2">
        <f t="shared" si="4"/>
        <v>4.5771881930893616E-5</v>
      </c>
      <c r="M79">
        <v>0.99240679253631603</v>
      </c>
      <c r="N79">
        <v>0.99262648112524698</v>
      </c>
      <c r="O79" s="1">
        <v>1.74732362159839E-9</v>
      </c>
      <c r="P79" s="2">
        <f t="shared" si="5"/>
        <v>27.621143278727533</v>
      </c>
    </row>
    <row r="80" spans="2:16" x14ac:dyDescent="0.25">
      <c r="B80">
        <v>79</v>
      </c>
      <c r="C80">
        <v>0.99950000000000006</v>
      </c>
      <c r="D80">
        <v>0.99886671853190601</v>
      </c>
      <c r="E80">
        <v>2.5000000000000001E-3</v>
      </c>
      <c r="F80">
        <f t="shared" si="3"/>
        <v>6.3328146809404906E-4</v>
      </c>
      <c r="G80" s="2">
        <f t="shared" si="4"/>
        <v>1.6041816713254162E-4</v>
      </c>
      <c r="M80">
        <v>0.59617084022907996</v>
      </c>
      <c r="N80">
        <v>0.59611279868567602</v>
      </c>
      <c r="O80" s="1">
        <v>3.3869729442744602E-9</v>
      </c>
      <c r="P80" s="2">
        <f t="shared" si="5"/>
        <v>0.99464058796409782</v>
      </c>
    </row>
    <row r="81" spans="1:16" x14ac:dyDescent="0.25">
      <c r="B81">
        <v>80</v>
      </c>
      <c r="C81">
        <v>0.99950000000000006</v>
      </c>
      <c r="D81">
        <v>0.99899024700348804</v>
      </c>
      <c r="E81">
        <v>2.5000000000000001E-3</v>
      </c>
      <c r="F81">
        <f t="shared" si="3"/>
        <v>5.09752996512014E-4</v>
      </c>
      <c r="G81" s="2">
        <f t="shared" si="4"/>
        <v>1.0393924698119095E-4</v>
      </c>
      <c r="M81">
        <v>0.99283043276388605</v>
      </c>
      <c r="N81">
        <v>0.99275202451790301</v>
      </c>
      <c r="O81" s="1">
        <v>5.5249866466315499E-9</v>
      </c>
      <c r="P81" s="2">
        <f t="shared" si="5"/>
        <v>1.1127362709347621</v>
      </c>
    </row>
    <row r="82" spans="1:16" x14ac:dyDescent="0.25">
      <c r="B82">
        <v>81</v>
      </c>
      <c r="C82">
        <v>0.99950000000000006</v>
      </c>
      <c r="D82">
        <v>0.99917707562950497</v>
      </c>
      <c r="E82">
        <v>2.5000000000000001E-3</v>
      </c>
      <c r="F82">
        <f t="shared" si="3"/>
        <v>3.2292437049508127E-4</v>
      </c>
      <c r="G82" s="2">
        <f t="shared" si="4"/>
        <v>4.1712059623857809E-5</v>
      </c>
      <c r="M82">
        <v>0.59623200367990603</v>
      </c>
      <c r="N82">
        <v>0.59624373773436601</v>
      </c>
      <c r="O82" s="1">
        <v>2.1801088200493801E-9</v>
      </c>
      <c r="P82" s="2">
        <f t="shared" si="5"/>
        <v>6.3156496044358162E-2</v>
      </c>
    </row>
    <row r="83" spans="1:16" x14ac:dyDescent="0.25">
      <c r="B83">
        <v>82</v>
      </c>
      <c r="C83">
        <v>0.99950000000000006</v>
      </c>
      <c r="D83">
        <v>0.99969859308445996</v>
      </c>
      <c r="E83">
        <v>2.5000000000000001E-3</v>
      </c>
      <c r="F83">
        <f t="shared" si="3"/>
        <v>-1.985930844599082E-4</v>
      </c>
      <c r="G83" s="2">
        <f t="shared" si="4"/>
        <v>1.5775685278120091E-5</v>
      </c>
      <c r="M83">
        <v>0.992588179411938</v>
      </c>
      <c r="N83">
        <v>0.99260514142117795</v>
      </c>
      <c r="O83" s="1">
        <v>4.1347719650785203E-9</v>
      </c>
      <c r="P83" s="2">
        <f t="shared" si="5"/>
        <v>6.9582980605977077E-2</v>
      </c>
    </row>
    <row r="84" spans="1:16" x14ac:dyDescent="0.25">
      <c r="B84">
        <v>83</v>
      </c>
      <c r="C84">
        <v>0.99950000000000006</v>
      </c>
      <c r="D84">
        <v>0.99987497950670201</v>
      </c>
      <c r="E84">
        <v>2.5000000000000001E-3</v>
      </c>
      <c r="F84">
        <f t="shared" si="3"/>
        <v>-3.7497950670195568E-4</v>
      </c>
      <c r="G84" s="2">
        <f t="shared" si="4"/>
        <v>5.6243852178576806E-5</v>
      </c>
      <c r="M84">
        <v>0.59608245455226205</v>
      </c>
      <c r="N84">
        <v>0.59616550302207005</v>
      </c>
      <c r="O84" s="1">
        <v>2.0513466661201199E-9</v>
      </c>
      <c r="P84" s="2">
        <f t="shared" si="5"/>
        <v>3.3622051559404578</v>
      </c>
    </row>
    <row r="85" spans="1:16" x14ac:dyDescent="0.25">
      <c r="B85">
        <v>84</v>
      </c>
      <c r="C85">
        <v>0.99950000000000006</v>
      </c>
      <c r="D85">
        <v>0.99975526635523404</v>
      </c>
      <c r="E85">
        <v>2.5000000000000001E-3</v>
      </c>
      <c r="F85">
        <f t="shared" si="3"/>
        <v>-2.5526635523398511E-4</v>
      </c>
      <c r="G85" s="2">
        <f t="shared" si="4"/>
        <v>2.606436484577723E-5</v>
      </c>
      <c r="M85">
        <v>0.99256227758704096</v>
      </c>
      <c r="N85">
        <v>0.99269289604267497</v>
      </c>
      <c r="O85" s="1">
        <v>4.2542776713341101E-9</v>
      </c>
      <c r="P85" s="2">
        <f t="shared" si="5"/>
        <v>4.0103590480640694</v>
      </c>
    </row>
    <row r="86" spans="1:16" x14ac:dyDescent="0.25">
      <c r="B86">
        <v>85</v>
      </c>
      <c r="C86">
        <v>0.99950000000000006</v>
      </c>
      <c r="D86">
        <v>0.99929931091905899</v>
      </c>
      <c r="E86">
        <v>2.5000000000000001E-3</v>
      </c>
      <c r="F86">
        <f t="shared" si="3"/>
        <v>2.006890809410633E-4</v>
      </c>
      <c r="G86" s="2">
        <f t="shared" si="4"/>
        <v>1.6110442883587463E-5</v>
      </c>
      <c r="M86">
        <v>0.596144356724427</v>
      </c>
      <c r="N86">
        <v>0.59605794237954202</v>
      </c>
      <c r="O86" s="1">
        <v>2.6017540704531401E-9</v>
      </c>
      <c r="P86" s="2">
        <f t="shared" si="5"/>
        <v>2.8701555949141522</v>
      </c>
    </row>
    <row r="87" spans="1:16" x14ac:dyDescent="0.25">
      <c r="B87">
        <v>86</v>
      </c>
      <c r="C87">
        <v>0.99950000000000006</v>
      </c>
      <c r="D87">
        <v>0.99920384297985199</v>
      </c>
      <c r="E87">
        <v>2.5000000000000001E-3</v>
      </c>
      <c r="F87">
        <f t="shared" si="3"/>
        <v>2.9615702014806899E-4</v>
      </c>
      <c r="G87" s="2">
        <f t="shared" si="4"/>
        <v>3.5083592233193499E-5</v>
      </c>
      <c r="M87">
        <v>0.99290279207053</v>
      </c>
      <c r="N87">
        <v>0.99281357656036795</v>
      </c>
      <c r="O87" s="1">
        <v>2.8459565094305001E-9</v>
      </c>
      <c r="P87" s="2">
        <f t="shared" si="5"/>
        <v>2.7967424052690459</v>
      </c>
    </row>
    <row r="88" spans="1:16" x14ac:dyDescent="0.25">
      <c r="B88">
        <v>87</v>
      </c>
      <c r="C88">
        <v>0.99950000000000006</v>
      </c>
      <c r="D88">
        <v>0.99926532763216502</v>
      </c>
      <c r="E88">
        <v>2.5000000000000001E-3</v>
      </c>
      <c r="F88">
        <f t="shared" si="3"/>
        <v>2.3467236783503154E-4</v>
      </c>
      <c r="G88" s="2">
        <f t="shared" si="4"/>
        <v>2.2028448090120137E-5</v>
      </c>
      <c r="M88">
        <v>0.59632705460839097</v>
      </c>
      <c r="N88">
        <v>0.59620900414223599</v>
      </c>
      <c r="O88" s="1">
        <v>2.3742685367823001E-9</v>
      </c>
      <c r="P88" s="2">
        <f t="shared" si="5"/>
        <v>5.8695603902899469</v>
      </c>
    </row>
    <row r="89" spans="1:16" x14ac:dyDescent="0.25">
      <c r="B89">
        <v>88</v>
      </c>
      <c r="C89">
        <v>0.99950000000000006</v>
      </c>
      <c r="D89">
        <v>1.0001297933258999</v>
      </c>
      <c r="E89">
        <v>2.5000000000000001E-3</v>
      </c>
      <c r="F89">
        <f t="shared" si="3"/>
        <v>-6.2979332589985226E-4</v>
      </c>
      <c r="G89" s="2">
        <f t="shared" si="4"/>
        <v>1.58655853339199E-4</v>
      </c>
      <c r="M89">
        <v>0.99276353475646295</v>
      </c>
      <c r="N89">
        <v>0.99264409915528995</v>
      </c>
      <c r="O89" s="1">
        <v>2.5552886316254699E-9</v>
      </c>
      <c r="P89" s="2">
        <f t="shared" si="5"/>
        <v>5.5824859278155499</v>
      </c>
    </row>
    <row r="90" spans="1:16" x14ac:dyDescent="0.25">
      <c r="B90">
        <v>89</v>
      </c>
      <c r="C90">
        <v>0.99950000000000006</v>
      </c>
      <c r="D90">
        <v>0.99964543496116198</v>
      </c>
      <c r="E90">
        <v>2.5000000000000001E-3</v>
      </c>
      <c r="F90">
        <f t="shared" si="3"/>
        <v>-1.4543496116192767E-4</v>
      </c>
      <c r="G90" s="2">
        <f t="shared" si="4"/>
        <v>8.4605311712685639E-6</v>
      </c>
      <c r="M90">
        <v>0.59603560171295999</v>
      </c>
      <c r="N90">
        <v>0.59613361284848598</v>
      </c>
      <c r="O90" s="1">
        <v>1.3010847160195101E-9</v>
      </c>
      <c r="P90" s="2">
        <f t="shared" si="5"/>
        <v>7.3832107693051983</v>
      </c>
    </row>
    <row r="91" spans="1:16" x14ac:dyDescent="0.25">
      <c r="B91">
        <v>90</v>
      </c>
      <c r="C91">
        <v>0.99950000000000006</v>
      </c>
      <c r="D91">
        <v>1.00069322959798</v>
      </c>
      <c r="E91">
        <v>2.5000000000000001E-3</v>
      </c>
      <c r="F91">
        <f t="shared" si="3"/>
        <v>-1.1932295979799612E-3</v>
      </c>
      <c r="G91" s="2">
        <f t="shared" si="4"/>
        <v>5.6951874939816796E-4</v>
      </c>
      <c r="M91">
        <v>0.992596563577265</v>
      </c>
      <c r="N91">
        <v>0.992728672268543</v>
      </c>
      <c r="O91" s="1">
        <v>2.1138954348922299E-9</v>
      </c>
      <c r="P91" s="2">
        <f t="shared" si="5"/>
        <v>8.256182412388533</v>
      </c>
    </row>
    <row r="92" spans="1:16" x14ac:dyDescent="0.25">
      <c r="B92">
        <v>91</v>
      </c>
      <c r="C92">
        <v>0.99950000000000006</v>
      </c>
      <c r="D92">
        <v>0.99971890775943395</v>
      </c>
      <c r="E92">
        <v>2.5000000000000001E-3</v>
      </c>
      <c r="F92">
        <f t="shared" si="3"/>
        <v>-2.1890775943389507E-4</v>
      </c>
      <c r="G92" s="2">
        <f t="shared" si="4"/>
        <v>1.9168242856147231E-5</v>
      </c>
      <c r="M92">
        <v>0.59611772304457999</v>
      </c>
      <c r="N92">
        <v>0.59606010161191703</v>
      </c>
      <c r="O92" s="1">
        <v>1.67962466862444E-9</v>
      </c>
      <c r="P92" s="2">
        <f t="shared" si="5"/>
        <v>1.97676871753271</v>
      </c>
    </row>
    <row r="93" spans="1:16" x14ac:dyDescent="0.25">
      <c r="B93">
        <v>92</v>
      </c>
      <c r="C93">
        <v>0.99950000000000006</v>
      </c>
      <c r="D93">
        <v>0.99987389683272798</v>
      </c>
      <c r="E93">
        <v>2.5000000000000001E-3</v>
      </c>
      <c r="F93">
        <f t="shared" si="3"/>
        <v>-3.7389683272792684E-4</v>
      </c>
      <c r="G93" s="2">
        <f t="shared" si="4"/>
        <v>5.5919536609590114E-5</v>
      </c>
      <c r="M93">
        <v>0.99289654658140303</v>
      </c>
      <c r="N93">
        <v>0.99281115359380001</v>
      </c>
      <c r="O93" s="1">
        <v>3.2330937667343398E-9</v>
      </c>
      <c r="P93" s="2">
        <f t="shared" si="5"/>
        <v>2.2554131917845366</v>
      </c>
    </row>
    <row r="94" spans="1:16" x14ac:dyDescent="0.25">
      <c r="B94">
        <v>93</v>
      </c>
      <c r="C94">
        <v>0.99950000000000006</v>
      </c>
      <c r="D94">
        <v>0.99952367674411402</v>
      </c>
      <c r="E94">
        <v>2.5000000000000001E-3</v>
      </c>
      <c r="F94">
        <f t="shared" si="3"/>
        <v>-2.3676744113965142E-5</v>
      </c>
      <c r="G94" s="2">
        <f t="shared" si="4"/>
        <v>2.2423528473527319E-7</v>
      </c>
      <c r="M94">
        <v>0.59621495091031296</v>
      </c>
      <c r="N94">
        <v>0.596177058843261</v>
      </c>
      <c r="O94" s="1">
        <v>7.5599802147590698E-10</v>
      </c>
      <c r="P94" s="2">
        <f t="shared" si="5"/>
        <v>1.8992228877359676</v>
      </c>
    </row>
    <row r="95" spans="1:16" x14ac:dyDescent="0.25">
      <c r="B95" s="57">
        <v>94</v>
      </c>
      <c r="C95">
        <v>0.99950000000000006</v>
      </c>
      <c r="D95">
        <v>0.999686122104678</v>
      </c>
      <c r="E95">
        <v>2.5000000000000001E-3</v>
      </c>
      <c r="F95">
        <f t="shared" si="3"/>
        <v>-1.8612210467794377E-4</v>
      </c>
      <c r="G95" s="2">
        <f t="shared" si="4"/>
        <v>1.3856575139898982E-5</v>
      </c>
      <c r="M95">
        <v>0.99274917397089901</v>
      </c>
      <c r="N95">
        <v>0.99267993285026201</v>
      </c>
      <c r="O95" s="1">
        <v>2.0991069369084499E-9</v>
      </c>
      <c r="P95" s="2">
        <f t="shared" si="5"/>
        <v>2.2839869197556832</v>
      </c>
    </row>
    <row r="96" spans="1:16" x14ac:dyDescent="0.25">
      <c r="A96" t="s">
        <v>120</v>
      </c>
      <c r="B96">
        <v>95</v>
      </c>
      <c r="C96">
        <v>0.83704508399999999</v>
      </c>
      <c r="D96">
        <v>0.83402781271733695</v>
      </c>
      <c r="E96" s="1">
        <v>4.7891900000000001E-5</v>
      </c>
      <c r="F96">
        <f t="shared" si="3"/>
        <v>3.0172712826630477E-3</v>
      </c>
      <c r="G96" s="2">
        <f t="shared" si="4"/>
        <v>0.19009323065451805</v>
      </c>
      <c r="M96">
        <v>0.59604588217872401</v>
      </c>
      <c r="N96">
        <v>0.59611178919948504</v>
      </c>
      <c r="O96" s="1">
        <v>5.2253150050775998E-10</v>
      </c>
      <c r="P96" s="2">
        <f t="shared" si="5"/>
        <v>8.3128679924074458</v>
      </c>
    </row>
    <row r="97" spans="2:16" x14ac:dyDescent="0.25">
      <c r="B97">
        <v>96</v>
      </c>
      <c r="C97">
        <v>0.83704508399999999</v>
      </c>
      <c r="D97">
        <v>0.83530862636830205</v>
      </c>
      <c r="E97" s="1">
        <v>4.7891900000000001E-5</v>
      </c>
      <c r="F97">
        <f t="shared" si="3"/>
        <v>1.7364576316979408E-3</v>
      </c>
      <c r="G97" s="2">
        <f t="shared" si="4"/>
        <v>6.2960231410364206E-2</v>
      </c>
      <c r="M97">
        <v>0.99261950364534501</v>
      </c>
      <c r="N97">
        <v>0.99275315713590395</v>
      </c>
      <c r="O97" s="1">
        <v>1.4630455512434899E-9</v>
      </c>
      <c r="P97" s="2">
        <f t="shared" si="5"/>
        <v>12.209637303093952</v>
      </c>
    </row>
    <row r="98" spans="2:16" x14ac:dyDescent="0.25">
      <c r="B98">
        <v>97</v>
      </c>
      <c r="C98">
        <v>0.83704508399999999</v>
      </c>
      <c r="D98">
        <v>0.83843567261501495</v>
      </c>
      <c r="E98" s="1">
        <v>4.7891900000000001E-5</v>
      </c>
      <c r="F98">
        <f t="shared" si="3"/>
        <v>-1.3905886150149538E-3</v>
      </c>
      <c r="G98" s="2">
        <f t="shared" si="4"/>
        <v>4.0377113796053347E-2</v>
      </c>
      <c r="M98">
        <v>0.59614110138035603</v>
      </c>
      <c r="N98">
        <v>0.59607838515692602</v>
      </c>
      <c r="O98" s="1">
        <v>1.0118406912137999E-9</v>
      </c>
      <c r="P98" s="2">
        <f t="shared" si="5"/>
        <v>3.8872964049361896</v>
      </c>
    </row>
    <row r="99" spans="2:16" x14ac:dyDescent="0.25">
      <c r="B99">
        <v>98</v>
      </c>
      <c r="C99">
        <v>0.83704508399999999</v>
      </c>
      <c r="D99">
        <v>0.83647472970176795</v>
      </c>
      <c r="E99" s="1">
        <v>4.7891900000000001E-5</v>
      </c>
      <c r="F99">
        <f t="shared" si="3"/>
        <v>5.7035429823204531E-4</v>
      </c>
      <c r="G99" s="2">
        <f t="shared" si="4"/>
        <v>6.7924643940158744E-3</v>
      </c>
      <c r="M99">
        <v>0.99287901537429102</v>
      </c>
      <c r="N99">
        <v>0.99279063743843798</v>
      </c>
      <c r="O99" s="1">
        <v>1.8501872904261601E-9</v>
      </c>
      <c r="P99" s="2">
        <f t="shared" si="5"/>
        <v>4.2215507511372179</v>
      </c>
    </row>
    <row r="100" spans="2:16" x14ac:dyDescent="0.25">
      <c r="B100">
        <v>99</v>
      </c>
      <c r="C100">
        <v>0.83704508399999999</v>
      </c>
      <c r="D100">
        <v>0.83773871472129802</v>
      </c>
      <c r="E100" s="1">
        <v>4.7891900000000001E-5</v>
      </c>
      <c r="F100">
        <f t="shared" si="3"/>
        <v>-6.9363072129802195E-4</v>
      </c>
      <c r="G100" s="2">
        <f t="shared" si="4"/>
        <v>1.0046032367235674E-2</v>
      </c>
      <c r="M100">
        <v>0.59620746490976095</v>
      </c>
      <c r="N100">
        <v>0.596159359824602</v>
      </c>
      <c r="O100" s="1">
        <v>1.2625947324681699E-9</v>
      </c>
      <c r="P100" s="2">
        <f t="shared" si="5"/>
        <v>1.8328123495547237</v>
      </c>
    </row>
    <row r="101" spans="2:16" x14ac:dyDescent="0.25">
      <c r="B101">
        <v>100</v>
      </c>
      <c r="C101">
        <v>0.83704508399999999</v>
      </c>
      <c r="D101">
        <v>0.83667303616932298</v>
      </c>
      <c r="E101" s="1">
        <v>4.7891900000000001E-5</v>
      </c>
      <c r="F101">
        <f t="shared" si="3"/>
        <v>3.7204783067701364E-4</v>
      </c>
      <c r="G101" s="2">
        <f t="shared" si="4"/>
        <v>2.8902505081542349E-3</v>
      </c>
      <c r="M101">
        <v>0.99276246118904599</v>
      </c>
      <c r="N101">
        <v>0.99269978758486899</v>
      </c>
      <c r="O101" s="1">
        <v>1.9528020195870599E-9</v>
      </c>
      <c r="P101" s="2">
        <f t="shared" si="5"/>
        <v>2.0114587250200593</v>
      </c>
    </row>
    <row r="102" spans="2:16" x14ac:dyDescent="0.25">
      <c r="B102">
        <v>101</v>
      </c>
      <c r="C102">
        <v>0.83704508399999999</v>
      </c>
      <c r="D102">
        <v>0.83325983811222304</v>
      </c>
      <c r="E102" s="1">
        <v>4.7891900000000001E-5</v>
      </c>
      <c r="F102">
        <f t="shared" si="3"/>
        <v>3.7852458877769557E-3</v>
      </c>
      <c r="G102" s="2">
        <f t="shared" si="4"/>
        <v>0.29917556895701264</v>
      </c>
      <c r="M102">
        <v>0.59609910367482799</v>
      </c>
      <c r="N102">
        <v>0.59612686031821605</v>
      </c>
      <c r="O102" s="1">
        <v>1.1080105373935801E-9</v>
      </c>
      <c r="P102" s="2">
        <f t="shared" si="5"/>
        <v>0.6953284523665022</v>
      </c>
    </row>
    <row r="103" spans="2:16" x14ac:dyDescent="0.25">
      <c r="B103">
        <v>102</v>
      </c>
      <c r="C103">
        <v>0.83704508399999999</v>
      </c>
      <c r="D103">
        <v>0.83709175095226196</v>
      </c>
      <c r="E103" s="1">
        <v>4.7891900000000001E-5</v>
      </c>
      <c r="F103">
        <f t="shared" si="3"/>
        <v>-4.6666952261964489E-5</v>
      </c>
      <c r="G103" s="2">
        <f t="shared" si="4"/>
        <v>4.5473335437108831E-5</v>
      </c>
      <c r="M103">
        <v>0.99270032283258702</v>
      </c>
      <c r="N103">
        <v>0.99273624805525096</v>
      </c>
      <c r="O103" s="1">
        <v>1.7228120173794301E-9</v>
      </c>
      <c r="P103" s="2">
        <f t="shared" si="5"/>
        <v>0.74913665010096564</v>
      </c>
    </row>
    <row r="104" spans="2:16" x14ac:dyDescent="0.25">
      <c r="B104">
        <v>103</v>
      </c>
      <c r="C104">
        <v>0.83704508399999999</v>
      </c>
      <c r="D104">
        <v>0.83736895523688304</v>
      </c>
      <c r="E104" s="1">
        <v>4.7891900000000001E-5</v>
      </c>
      <c r="F104">
        <f t="shared" si="3"/>
        <v>-3.2387123688304431E-4</v>
      </c>
      <c r="G104" s="2">
        <f t="shared" si="4"/>
        <v>2.1901945439657435E-3</v>
      </c>
      <c r="M104">
        <v>0.59606079544445201</v>
      </c>
      <c r="N104">
        <v>0.59605183230389602</v>
      </c>
      <c r="O104" s="1">
        <v>6.7348692735224097E-10</v>
      </c>
      <c r="P104" s="2">
        <f t="shared" si="5"/>
        <v>0.11928648554793979</v>
      </c>
    </row>
    <row r="105" spans="2:16" x14ac:dyDescent="0.25">
      <c r="B105">
        <v>104</v>
      </c>
      <c r="C105">
        <v>0.83704508399999999</v>
      </c>
      <c r="D105">
        <v>0.83718283469238797</v>
      </c>
      <c r="E105" s="1">
        <v>4.7891900000000001E-5</v>
      </c>
      <c r="F105">
        <f t="shared" si="3"/>
        <v>-1.3775069238797233E-4</v>
      </c>
      <c r="G105" s="2">
        <f t="shared" si="4"/>
        <v>3.9621007421642861E-4</v>
      </c>
      <c r="M105">
        <v>0.99283817771410598</v>
      </c>
      <c r="N105">
        <v>0.99282043301596501</v>
      </c>
      <c r="O105" s="1">
        <v>1.9688260713851001E-9</v>
      </c>
      <c r="P105" s="2">
        <f t="shared" si="5"/>
        <v>0.15992997893045305</v>
      </c>
    </row>
    <row r="106" spans="2:16" x14ac:dyDescent="0.25">
      <c r="B106">
        <v>105</v>
      </c>
      <c r="C106">
        <v>0.83704508399999999</v>
      </c>
      <c r="D106">
        <v>0.83698148169575004</v>
      </c>
      <c r="E106" s="1">
        <v>4.7891900000000001E-5</v>
      </c>
      <c r="F106">
        <f t="shared" si="3"/>
        <v>6.36023042499545E-5</v>
      </c>
      <c r="G106" s="2">
        <f t="shared" si="4"/>
        <v>8.4466331590598418E-5</v>
      </c>
      <c r="M106">
        <v>0.59621881077640604</v>
      </c>
      <c r="N106">
        <v>0.59616642385999497</v>
      </c>
      <c r="O106" s="1">
        <v>7.2543444429766803E-10</v>
      </c>
      <c r="P106" s="2">
        <f t="shared" si="5"/>
        <v>3.7830971945615204</v>
      </c>
    </row>
    <row r="107" spans="2:16" x14ac:dyDescent="0.25">
      <c r="B107">
        <v>106</v>
      </c>
      <c r="C107">
        <v>0.83704508399999999</v>
      </c>
      <c r="D107">
        <v>0.84160872921039598</v>
      </c>
      <c r="E107" s="1">
        <v>4.7891900000000001E-5</v>
      </c>
      <c r="F107">
        <f t="shared" si="3"/>
        <v>-4.5636452103959835E-3</v>
      </c>
      <c r="G107" s="2">
        <f t="shared" si="4"/>
        <v>0.43487223531265623</v>
      </c>
      <c r="M107">
        <v>0.99280958861357105</v>
      </c>
      <c r="N107">
        <v>0.99269186304145296</v>
      </c>
      <c r="O107" s="1">
        <v>2.3252514201013901E-9</v>
      </c>
      <c r="P107" s="2">
        <f t="shared" si="5"/>
        <v>5.960349152233543</v>
      </c>
    </row>
    <row r="108" spans="2:16" x14ac:dyDescent="0.25">
      <c r="B108">
        <v>107</v>
      </c>
      <c r="C108">
        <v>0.83704508399999999</v>
      </c>
      <c r="D108">
        <v>0.83439035347996904</v>
      </c>
      <c r="E108" s="1">
        <v>4.7891900000000001E-5</v>
      </c>
      <c r="F108">
        <f t="shared" si="3"/>
        <v>2.6547305200309568E-3</v>
      </c>
      <c r="G108" s="2">
        <f t="shared" si="4"/>
        <v>0.14715628601044925</v>
      </c>
      <c r="M108">
        <v>0.59603428295788596</v>
      </c>
      <c r="N108">
        <v>0.59607831125239596</v>
      </c>
      <c r="O108" s="1">
        <v>6.4929612645520904E-10</v>
      </c>
      <c r="P108" s="2">
        <f t="shared" si="5"/>
        <v>2.9855263853836176</v>
      </c>
    </row>
    <row r="109" spans="2:16" x14ac:dyDescent="0.25">
      <c r="B109">
        <v>108</v>
      </c>
      <c r="C109">
        <v>0.83704508399999999</v>
      </c>
      <c r="D109">
        <v>0.837238543874254</v>
      </c>
      <c r="E109" s="1">
        <v>4.7891900000000001E-5</v>
      </c>
      <c r="F109">
        <f t="shared" si="3"/>
        <v>-1.9345987425400946E-4</v>
      </c>
      <c r="G109" s="2">
        <f t="shared" si="4"/>
        <v>7.8148336036735133E-4</v>
      </c>
      <c r="M109">
        <v>0.99271741635979904</v>
      </c>
      <c r="N109">
        <v>0.99279072036535598</v>
      </c>
      <c r="O109" s="1">
        <v>1.5092833775359E-9</v>
      </c>
      <c r="P109" s="2">
        <f t="shared" si="5"/>
        <v>3.5602838477322885</v>
      </c>
    </row>
    <row r="110" spans="2:16" x14ac:dyDescent="0.25">
      <c r="B110">
        <v>109</v>
      </c>
      <c r="C110">
        <v>0.83704508399999999</v>
      </c>
      <c r="D110">
        <v>0.83748273840908105</v>
      </c>
      <c r="E110" s="1">
        <v>4.7891900000000001E-5</v>
      </c>
      <c r="F110">
        <f t="shared" si="3"/>
        <v>-4.3765440908105635E-4</v>
      </c>
      <c r="G110" s="2">
        <f t="shared" si="4"/>
        <v>3.9994525543586412E-3</v>
      </c>
      <c r="M110">
        <v>0.59607355305223597</v>
      </c>
      <c r="N110">
        <v>0.59603079468824105</v>
      </c>
      <c r="O110" s="1">
        <v>6.4908952568051697E-10</v>
      </c>
      <c r="P110" s="2">
        <f t="shared" si="5"/>
        <v>2.8166803178735491</v>
      </c>
    </row>
    <row r="111" spans="2:16" x14ac:dyDescent="0.25">
      <c r="B111">
        <v>110</v>
      </c>
      <c r="C111">
        <v>0.83704508399999999</v>
      </c>
      <c r="D111">
        <v>0.83733924856310005</v>
      </c>
      <c r="E111" s="1">
        <v>4.7891900000000001E-5</v>
      </c>
      <c r="F111">
        <f t="shared" si="3"/>
        <v>-2.9416456310005223E-4</v>
      </c>
      <c r="G111" s="2">
        <f t="shared" si="4"/>
        <v>1.8068356065189439E-3</v>
      </c>
      <c r="M111">
        <v>0.99291724816396698</v>
      </c>
      <c r="N111">
        <v>0.99284404139399196</v>
      </c>
      <c r="O111" s="1">
        <v>1.55521848043783E-9</v>
      </c>
      <c r="P111" s="2">
        <f t="shared" si="5"/>
        <v>3.44596674845763</v>
      </c>
    </row>
    <row r="112" spans="2:16" x14ac:dyDescent="0.25">
      <c r="B112">
        <v>111</v>
      </c>
      <c r="C112">
        <v>0.83704508399999999</v>
      </c>
      <c r="D112">
        <v>0.84534856582830398</v>
      </c>
      <c r="E112" s="1">
        <v>4.7891900000000001E-5</v>
      </c>
      <c r="F112">
        <f t="shared" si="3"/>
        <v>-8.3034818283039824E-3</v>
      </c>
      <c r="G112" s="2">
        <f t="shared" si="4"/>
        <v>1.4396549410855373</v>
      </c>
      <c r="M112">
        <v>0.59617443701852602</v>
      </c>
      <c r="N112">
        <v>0.59613902468843005</v>
      </c>
      <c r="O112" s="1">
        <v>9.17051071689064E-10</v>
      </c>
      <c r="P112" s="2">
        <f t="shared" si="5"/>
        <v>1.3674626872369446</v>
      </c>
    </row>
    <row r="113" spans="2:16" x14ac:dyDescent="0.25">
      <c r="B113">
        <v>112</v>
      </c>
      <c r="C113">
        <v>0.83704508399999999</v>
      </c>
      <c r="D113">
        <v>0.83722807250220799</v>
      </c>
      <c r="E113" s="1">
        <v>4.7891900000000001E-5</v>
      </c>
      <c r="F113">
        <f t="shared" si="3"/>
        <v>-1.8298850220799245E-4</v>
      </c>
      <c r="G113" s="2">
        <f t="shared" si="4"/>
        <v>6.9917443117363174E-4</v>
      </c>
      <c r="M113">
        <v>0.992790302866571</v>
      </c>
      <c r="N113">
        <v>0.99272260073041396</v>
      </c>
      <c r="O113" s="1">
        <v>2.6423763642606399E-9</v>
      </c>
      <c r="P113" s="2">
        <f t="shared" si="5"/>
        <v>1.7346428397636493</v>
      </c>
    </row>
    <row r="114" spans="2:16" x14ac:dyDescent="0.25">
      <c r="B114">
        <v>113</v>
      </c>
      <c r="C114">
        <v>0.83704508399999999</v>
      </c>
      <c r="D114">
        <v>0.83746779553453299</v>
      </c>
      <c r="E114" s="1">
        <v>4.7891900000000001E-5</v>
      </c>
      <c r="F114">
        <f t="shared" si="3"/>
        <v>-4.2271153453299348E-4</v>
      </c>
      <c r="G114" s="2">
        <f t="shared" si="4"/>
        <v>3.7310075696983858E-3</v>
      </c>
      <c r="M114">
        <v>0.595921009875369</v>
      </c>
      <c r="N114">
        <v>0.59604353915337505</v>
      </c>
      <c r="O114" s="1">
        <v>9.9668472408223502E-10</v>
      </c>
      <c r="P114" s="2">
        <f t="shared" si="5"/>
        <v>15.063363173853478</v>
      </c>
    </row>
    <row r="115" spans="2:16" x14ac:dyDescent="0.25">
      <c r="B115">
        <v>114</v>
      </c>
      <c r="C115">
        <v>0.83704508399999999</v>
      </c>
      <c r="D115">
        <v>0.83718051897033496</v>
      </c>
      <c r="E115" s="1">
        <v>4.7891900000000001E-5</v>
      </c>
      <c r="F115">
        <f t="shared" si="3"/>
        <v>-1.3543497033496887E-4</v>
      </c>
      <c r="G115" s="2">
        <f t="shared" si="4"/>
        <v>3.8300069927553297E-4</v>
      </c>
      <c r="M115">
        <v>0.99262322124709002</v>
      </c>
      <c r="N115">
        <v>0.99282973940944697</v>
      </c>
      <c r="O115" s="1">
        <v>2.09635737456318E-9</v>
      </c>
      <c r="P115" s="2">
        <f t="shared" si="5"/>
        <v>20.344694993704767</v>
      </c>
    </row>
    <row r="116" spans="2:16" x14ac:dyDescent="0.25">
      <c r="B116">
        <v>115</v>
      </c>
      <c r="C116">
        <v>0.83704508399999999</v>
      </c>
      <c r="D116">
        <v>0.83578748668852598</v>
      </c>
      <c r="E116" s="1">
        <v>4.7891900000000001E-5</v>
      </c>
      <c r="F116">
        <f t="shared" si="3"/>
        <v>1.2575973114740124E-3</v>
      </c>
      <c r="G116" s="2">
        <f t="shared" si="4"/>
        <v>3.3023350458567399E-2</v>
      </c>
      <c r="M116">
        <v>0.59608093257296801</v>
      </c>
      <c r="N116">
        <v>0.59602465321989195</v>
      </c>
      <c r="O116" s="1">
        <v>1.4951237650644101E-9</v>
      </c>
      <c r="P116" s="2">
        <f t="shared" si="5"/>
        <v>2.1184638065889239</v>
      </c>
    </row>
    <row r="117" spans="2:16" x14ac:dyDescent="0.25">
      <c r="B117">
        <v>116</v>
      </c>
      <c r="C117">
        <v>0.83704508399999999</v>
      </c>
      <c r="D117">
        <v>0.83631271045106303</v>
      </c>
      <c r="E117" s="1">
        <v>4.7891900000000001E-5</v>
      </c>
      <c r="F117">
        <f t="shared" si="3"/>
        <v>7.3237354893695983E-4</v>
      </c>
      <c r="G117" s="2">
        <f t="shared" si="4"/>
        <v>1.1199618624078757E-2</v>
      </c>
      <c r="M117">
        <v>0.99292646428671105</v>
      </c>
      <c r="N117">
        <v>0.99285093360277299</v>
      </c>
      <c r="O117" s="1">
        <v>2.4813460486975498E-9</v>
      </c>
      <c r="P117" s="2">
        <f t="shared" si="5"/>
        <v>2.299108670935305</v>
      </c>
    </row>
    <row r="118" spans="2:16" x14ac:dyDescent="0.25">
      <c r="B118">
        <v>117</v>
      </c>
      <c r="C118">
        <v>0.83704508399999999</v>
      </c>
      <c r="D118">
        <v>0.83959332333279402</v>
      </c>
      <c r="E118" s="1">
        <v>4.7891900000000001E-5</v>
      </c>
      <c r="F118">
        <f t="shared" si="3"/>
        <v>-2.5482393327940223E-3</v>
      </c>
      <c r="G118" s="2">
        <f t="shared" si="4"/>
        <v>0.13558709713330488</v>
      </c>
      <c r="M118">
        <v>0.59614012843798303</v>
      </c>
      <c r="N118">
        <v>0.59614187262487905</v>
      </c>
      <c r="O118" s="1">
        <v>1.61818931753825E-9</v>
      </c>
      <c r="P118" s="2">
        <f t="shared" si="5"/>
        <v>1.8799950631804422E-3</v>
      </c>
    </row>
    <row r="119" spans="2:16" x14ac:dyDescent="0.25">
      <c r="B119">
        <v>118</v>
      </c>
      <c r="C119">
        <v>0.83704508399999999</v>
      </c>
      <c r="D119">
        <v>0.83602311649072902</v>
      </c>
      <c r="E119" s="1">
        <v>4.7891900000000001E-5</v>
      </c>
      <c r="F119">
        <f t="shared" si="3"/>
        <v>1.0219675092709712E-3</v>
      </c>
      <c r="G119" s="2">
        <f t="shared" si="4"/>
        <v>2.1807812803532802E-2</v>
      </c>
      <c r="M119">
        <v>0.99271685624851702</v>
      </c>
      <c r="N119">
        <v>0.99271940567024497</v>
      </c>
      <c r="O119" s="1">
        <v>2.9530314339455101E-9</v>
      </c>
      <c r="P119" s="2">
        <f t="shared" si="5"/>
        <v>2.2009759436434273E-3</v>
      </c>
    </row>
    <row r="120" spans="2:16" x14ac:dyDescent="0.25">
      <c r="B120">
        <v>119</v>
      </c>
      <c r="C120">
        <v>0.83704508399999999</v>
      </c>
      <c r="D120">
        <v>0.83743436346441202</v>
      </c>
      <c r="E120" s="1">
        <v>4.7891900000000001E-5</v>
      </c>
      <c r="F120">
        <f t="shared" si="3"/>
        <v>-3.8927946441202899E-4</v>
      </c>
      <c r="G120" s="2">
        <f t="shared" si="4"/>
        <v>3.1641781055442805E-3</v>
      </c>
      <c r="M120">
        <v>0.59597488204750004</v>
      </c>
      <c r="N120">
        <v>0.59605724013720096</v>
      </c>
      <c r="O120" s="1">
        <v>1.5207989532567801E-9</v>
      </c>
      <c r="P120" s="2">
        <f t="shared" si="5"/>
        <v>4.4600602365348907</v>
      </c>
    </row>
    <row r="121" spans="2:16" x14ac:dyDescent="0.25">
      <c r="B121">
        <v>120</v>
      </c>
      <c r="C121">
        <v>0.83704508399999999</v>
      </c>
      <c r="D121">
        <v>0.83490678029139598</v>
      </c>
      <c r="E121" s="1">
        <v>4.7891900000000001E-5</v>
      </c>
      <c r="F121">
        <f t="shared" si="3"/>
        <v>2.1383037086040169E-3</v>
      </c>
      <c r="G121" s="2">
        <f t="shared" si="4"/>
        <v>9.5472151871813224E-2</v>
      </c>
      <c r="M121">
        <v>0.99266954031236998</v>
      </c>
      <c r="N121">
        <v>0.99281436457955996</v>
      </c>
      <c r="O121" s="1">
        <v>4.38333976806257E-9</v>
      </c>
      <c r="P121" s="2">
        <f t="shared" si="5"/>
        <v>4.7849515385354868</v>
      </c>
    </row>
    <row r="122" spans="2:16" x14ac:dyDescent="0.25">
      <c r="B122">
        <v>121</v>
      </c>
      <c r="C122">
        <v>0.83704508399999999</v>
      </c>
      <c r="D122">
        <v>0.83708499759013899</v>
      </c>
      <c r="E122" s="1">
        <v>4.7891900000000001E-5</v>
      </c>
      <c r="F122">
        <f t="shared" si="3"/>
        <v>-3.9913590138995758E-5</v>
      </c>
      <c r="G122" s="2">
        <f t="shared" si="4"/>
        <v>3.3264386624538583E-5</v>
      </c>
      <c r="M122">
        <v>0.59609061595342605</v>
      </c>
      <c r="N122">
        <v>0.59600832097769096</v>
      </c>
      <c r="O122" s="1">
        <v>1.8238369153914299E-9</v>
      </c>
      <c r="P122" s="2">
        <f t="shared" si="5"/>
        <v>3.7133051612704047</v>
      </c>
    </row>
    <row r="123" spans="2:16" x14ac:dyDescent="0.25">
      <c r="B123">
        <v>122</v>
      </c>
      <c r="C123">
        <v>0.83704508399999999</v>
      </c>
      <c r="D123">
        <v>0.83632184580121705</v>
      </c>
      <c r="E123" s="1">
        <v>4.7891900000000001E-5</v>
      </c>
      <c r="F123">
        <f t="shared" si="3"/>
        <v>7.2323819878294948E-4</v>
      </c>
      <c r="G123" s="2">
        <f t="shared" si="4"/>
        <v>1.0921961588051532E-2</v>
      </c>
      <c r="M123">
        <v>0.99296092617224496</v>
      </c>
      <c r="N123">
        <v>0.99286926289615196</v>
      </c>
      <c r="O123" s="1">
        <v>2.26773860529344E-9</v>
      </c>
      <c r="P123" s="2">
        <f t="shared" si="5"/>
        <v>3.7050814253852606</v>
      </c>
    </row>
    <row r="124" spans="2:16" x14ac:dyDescent="0.25">
      <c r="B124">
        <v>123</v>
      </c>
      <c r="C124">
        <v>0.83704508399999999</v>
      </c>
      <c r="D124">
        <v>0.83717402970159904</v>
      </c>
      <c r="E124" s="1">
        <v>4.7891900000000001E-5</v>
      </c>
      <c r="F124">
        <f t="shared" si="3"/>
        <v>-1.2894570159904806E-4</v>
      </c>
      <c r="G124" s="2">
        <f t="shared" si="4"/>
        <v>3.4717758036057758E-4</v>
      </c>
      <c r="M124">
        <v>5.4489126806249502</v>
      </c>
      <c r="N124">
        <v>5.44968692062921</v>
      </c>
      <c r="O124" s="1">
        <v>1.86292674529101E-7</v>
      </c>
      <c r="P124" s="2">
        <f t="shared" si="5"/>
        <v>3.2177732469166682</v>
      </c>
    </row>
    <row r="125" spans="2:16" x14ac:dyDescent="0.25">
      <c r="B125">
        <v>124</v>
      </c>
      <c r="C125">
        <v>0.83704508399999999</v>
      </c>
      <c r="D125">
        <v>0.83909379161911202</v>
      </c>
      <c r="E125" s="1">
        <v>4.7891900000000001E-5</v>
      </c>
      <c r="F125">
        <f t="shared" si="3"/>
        <v>-2.0487076191120224E-3</v>
      </c>
      <c r="G125" s="2">
        <f t="shared" si="4"/>
        <v>8.7639097814195127E-2</v>
      </c>
      <c r="M125">
        <v>2.5489478111219701</v>
      </c>
      <c r="N125">
        <v>2.5491400816557199</v>
      </c>
      <c r="O125" s="1">
        <v>4.2910241558179902E-8</v>
      </c>
      <c r="P125" s="2">
        <f t="shared" si="5"/>
        <v>0.8615182950745286</v>
      </c>
    </row>
    <row r="126" spans="2:16" x14ac:dyDescent="0.25">
      <c r="B126">
        <v>125</v>
      </c>
      <c r="C126">
        <v>0.83704508399999999</v>
      </c>
      <c r="D126">
        <v>0.83873241743372395</v>
      </c>
      <c r="E126" s="1">
        <v>4.7891900000000001E-5</v>
      </c>
      <c r="F126">
        <f t="shared" si="3"/>
        <v>-1.6873334337239587E-3</v>
      </c>
      <c r="G126" s="2">
        <f t="shared" si="4"/>
        <v>5.9448343385054357E-2</v>
      </c>
      <c r="M126">
        <v>5.4657452908210997</v>
      </c>
      <c r="N126">
        <v>5.4661907331851003</v>
      </c>
      <c r="O126" s="1">
        <v>1.5291052145991199E-7</v>
      </c>
      <c r="P126" s="2">
        <f t="shared" si="5"/>
        <v>1.2976144332777984</v>
      </c>
    </row>
    <row r="127" spans="2:16" x14ac:dyDescent="0.25">
      <c r="B127">
        <v>126</v>
      </c>
      <c r="C127">
        <v>0.83704508399999999</v>
      </c>
      <c r="D127">
        <v>0.83780200907028102</v>
      </c>
      <c r="E127" s="1">
        <v>4.7891900000000001E-5</v>
      </c>
      <c r="F127">
        <f t="shared" si="3"/>
        <v>-7.5692507028102263E-4</v>
      </c>
      <c r="G127" s="2">
        <f t="shared" si="4"/>
        <v>1.1963099438943348E-2</v>
      </c>
      <c r="M127">
        <v>1.00407181004266</v>
      </c>
      <c r="N127">
        <v>1.00442230308514</v>
      </c>
      <c r="O127" s="1">
        <v>1.0631182904515499E-8</v>
      </c>
      <c r="P127" s="2">
        <f t="shared" si="5"/>
        <v>11.555193239571523</v>
      </c>
    </row>
    <row r="128" spans="2:16" x14ac:dyDescent="0.25">
      <c r="B128">
        <v>127</v>
      </c>
      <c r="C128">
        <v>0.83704508399999999</v>
      </c>
      <c r="D128">
        <v>0.83845442612559196</v>
      </c>
      <c r="E128" s="1">
        <v>4.7891900000000001E-5</v>
      </c>
      <c r="F128">
        <f t="shared" si="3"/>
        <v>-1.4093421255919614E-3</v>
      </c>
      <c r="G128" s="2">
        <f t="shared" si="4"/>
        <v>4.1473510697384475E-2</v>
      </c>
      <c r="M128">
        <v>5.4495219899681402</v>
      </c>
      <c r="N128">
        <v>5.4497974947764201</v>
      </c>
      <c r="O128" s="1">
        <v>1.59776655915975E-7</v>
      </c>
      <c r="P128" s="2">
        <f t="shared" si="5"/>
        <v>0.47505625243054422</v>
      </c>
    </row>
    <row r="129" spans="1:16" x14ac:dyDescent="0.25">
      <c r="B129">
        <v>128</v>
      </c>
      <c r="C129">
        <v>0.83704508399999999</v>
      </c>
      <c r="D129">
        <v>0.83786641255167804</v>
      </c>
      <c r="E129" s="1">
        <v>4.7891900000000001E-5</v>
      </c>
      <c r="F129">
        <f t="shared" si="3"/>
        <v>-8.2132855167804664E-4</v>
      </c>
      <c r="G129" s="2">
        <f t="shared" si="4"/>
        <v>1.4085483971225984E-2</v>
      </c>
      <c r="M129">
        <v>2.5492094696352998</v>
      </c>
      <c r="N129">
        <v>2.5491728083793599</v>
      </c>
      <c r="O129" s="1">
        <v>5.6506066042553199E-8</v>
      </c>
      <c r="P129" s="2">
        <f t="shared" si="5"/>
        <v>2.3785900899220901E-2</v>
      </c>
    </row>
    <row r="130" spans="1:16" x14ac:dyDescent="0.25">
      <c r="B130">
        <v>129</v>
      </c>
      <c r="C130">
        <v>0.83704508399999999</v>
      </c>
      <c r="D130">
        <v>0.83741594008153997</v>
      </c>
      <c r="E130" s="1">
        <v>4.7891900000000001E-5</v>
      </c>
      <c r="F130">
        <f t="shared" si="3"/>
        <v>-3.7085608153997196E-4</v>
      </c>
      <c r="G130" s="2">
        <f t="shared" si="4"/>
        <v>2.8717639771064069E-3</v>
      </c>
      <c r="M130">
        <v>5.4658355375158596</v>
      </c>
      <c r="N130">
        <v>5.4662301774415401</v>
      </c>
      <c r="O130" s="1">
        <v>1.7207741785700299E-7</v>
      </c>
      <c r="P130" s="2">
        <f t="shared" si="5"/>
        <v>0.90506164539552258</v>
      </c>
    </row>
    <row r="131" spans="1:16" x14ac:dyDescent="0.25">
      <c r="B131">
        <v>130</v>
      </c>
      <c r="C131">
        <v>0.83704508399999999</v>
      </c>
      <c r="D131">
        <v>0.83507568306833901</v>
      </c>
      <c r="E131" s="1">
        <v>4.7891900000000001E-5</v>
      </c>
      <c r="F131">
        <f t="shared" ref="F131:F194" si="6">C131-D131</f>
        <v>1.9694009316609806E-3</v>
      </c>
      <c r="G131" s="2">
        <f t="shared" ref="G131:G194" si="7">F131^2/E131</f>
        <v>8.0985302934883319E-2</v>
      </c>
      <c r="M131">
        <v>1.00434618414952</v>
      </c>
      <c r="N131">
        <v>1.00440291455607</v>
      </c>
      <c r="O131" s="1">
        <v>1.03599165933437E-8</v>
      </c>
      <c r="P131" s="2">
        <f t="shared" ref="P131:P194" si="8">(M131-N131)^2/O131</f>
        <v>0.31065298627907229</v>
      </c>
    </row>
    <row r="132" spans="1:16" x14ac:dyDescent="0.25">
      <c r="B132">
        <v>131</v>
      </c>
      <c r="C132">
        <v>0.83704508399999999</v>
      </c>
      <c r="D132">
        <v>0.83695161590549505</v>
      </c>
      <c r="E132" s="1">
        <v>4.7891900000000001E-5</v>
      </c>
      <c r="F132">
        <f t="shared" si="6"/>
        <v>9.3468094504944865E-5</v>
      </c>
      <c r="G132" s="2">
        <f t="shared" si="7"/>
        <v>1.8241674876931808E-4</v>
      </c>
      <c r="M132">
        <v>5.4532022510058402</v>
      </c>
      <c r="N132">
        <v>5.4528669782115404</v>
      </c>
      <c r="O132" s="1">
        <v>1.0405971963166501E-7</v>
      </c>
      <c r="P132" s="2">
        <f t="shared" si="8"/>
        <v>1.0802243845694939</v>
      </c>
    </row>
    <row r="133" spans="1:16" x14ac:dyDescent="0.25">
      <c r="B133">
        <v>132</v>
      </c>
      <c r="C133">
        <v>0.83704508399999999</v>
      </c>
      <c r="D133">
        <v>0.83702472384420801</v>
      </c>
      <c r="E133" s="1">
        <v>4.7891900000000001E-5</v>
      </c>
      <c r="F133">
        <f t="shared" si="6"/>
        <v>2.0360155791987467E-5</v>
      </c>
      <c r="G133" s="2">
        <f t="shared" si="7"/>
        <v>8.6556587622124156E-6</v>
      </c>
      <c r="M133">
        <v>2.5502693643398699</v>
      </c>
      <c r="N133">
        <v>2.55008118866234</v>
      </c>
      <c r="O133" s="1">
        <v>2.3798575023809799E-8</v>
      </c>
      <c r="P133" s="2">
        <f t="shared" si="8"/>
        <v>1.4879078086995883</v>
      </c>
    </row>
    <row r="134" spans="1:16" x14ac:dyDescent="0.25">
      <c r="B134">
        <v>133</v>
      </c>
      <c r="C134">
        <v>0.83704508399999999</v>
      </c>
      <c r="D134">
        <v>0.83707976075518498</v>
      </c>
      <c r="E134" s="1">
        <v>4.7891900000000001E-5</v>
      </c>
      <c r="F134">
        <f t="shared" si="6"/>
        <v>-3.4676755184981367E-5</v>
      </c>
      <c r="G134" s="2">
        <f t="shared" si="7"/>
        <v>2.5108157123837894E-5</v>
      </c>
      <c r="M134">
        <v>5.4676040322094703</v>
      </c>
      <c r="N134">
        <v>5.4673249246354798</v>
      </c>
      <c r="O134" s="1">
        <v>1.06426996827531E-7</v>
      </c>
      <c r="P134" s="2">
        <f t="shared" si="8"/>
        <v>0.73196688980256164</v>
      </c>
    </row>
    <row r="135" spans="1:16" x14ac:dyDescent="0.25">
      <c r="B135">
        <v>134</v>
      </c>
      <c r="C135">
        <v>0.83704508399999999</v>
      </c>
      <c r="D135">
        <v>0.83712387911807096</v>
      </c>
      <c r="E135" s="1">
        <v>4.7891900000000001E-5</v>
      </c>
      <c r="F135">
        <f t="shared" si="6"/>
        <v>-7.8795118070962289E-5</v>
      </c>
      <c r="G135" s="2">
        <f t="shared" si="7"/>
        <v>1.2963926325363764E-4</v>
      </c>
      <c r="M135">
        <v>1.00415458850841</v>
      </c>
      <c r="N135">
        <v>1.0038650048689599</v>
      </c>
      <c r="O135" s="1">
        <v>1.9980836065789799E-8</v>
      </c>
      <c r="P135" s="2">
        <f t="shared" si="8"/>
        <v>4.1969557210239161</v>
      </c>
    </row>
    <row r="136" spans="1:16" x14ac:dyDescent="0.25">
      <c r="B136">
        <v>135</v>
      </c>
      <c r="C136">
        <v>0.83704508399999999</v>
      </c>
      <c r="D136">
        <v>0.82945263602832497</v>
      </c>
      <c r="E136" s="1">
        <v>4.7891900000000001E-5</v>
      </c>
      <c r="F136">
        <f t="shared" si="6"/>
        <v>7.5924479716750204E-3</v>
      </c>
      <c r="G136" s="2">
        <f t="shared" si="7"/>
        <v>1.2036537744919731</v>
      </c>
      <c r="M136">
        <v>5.4539925707921704</v>
      </c>
      <c r="N136">
        <v>5.4540249030025896</v>
      </c>
      <c r="O136" s="1">
        <v>1.73896772907072E-7</v>
      </c>
      <c r="P136" s="2">
        <f t="shared" si="8"/>
        <v>6.0114504318630243E-3</v>
      </c>
    </row>
    <row r="137" spans="1:16" x14ac:dyDescent="0.25">
      <c r="B137">
        <v>136</v>
      </c>
      <c r="C137">
        <v>0.83704508399999999</v>
      </c>
      <c r="D137">
        <v>0.83714310894098498</v>
      </c>
      <c r="E137" s="1">
        <v>4.7891900000000001E-5</v>
      </c>
      <c r="F137">
        <f t="shared" si="6"/>
        <v>-9.8024940984986486E-5</v>
      </c>
      <c r="G137" s="2">
        <f t="shared" si="7"/>
        <v>2.0063703998191937E-4</v>
      </c>
      <c r="M137">
        <v>2.5503971230324098</v>
      </c>
      <c r="N137">
        <v>2.5504238151413299</v>
      </c>
      <c r="O137" s="1">
        <v>3.6478162385385799E-8</v>
      </c>
      <c r="P137" s="2">
        <f t="shared" si="8"/>
        <v>1.9531375266984938E-2</v>
      </c>
    </row>
    <row r="138" spans="1:16" x14ac:dyDescent="0.25">
      <c r="B138">
        <v>137</v>
      </c>
      <c r="C138">
        <v>0.83704508399999999</v>
      </c>
      <c r="D138">
        <v>0.83510339652697896</v>
      </c>
      <c r="E138" s="1">
        <v>4.7891900000000001E-5</v>
      </c>
      <c r="F138">
        <f t="shared" si="6"/>
        <v>1.9416874730210365E-3</v>
      </c>
      <c r="G138" s="2">
        <f t="shared" si="7"/>
        <v>7.8722085423355903E-2</v>
      </c>
      <c r="M138">
        <v>5.46775135496181</v>
      </c>
      <c r="N138">
        <v>5.4677378013686999</v>
      </c>
      <c r="O138" s="1">
        <v>1.9441380769889199E-7</v>
      </c>
      <c r="P138" s="2">
        <f t="shared" si="8"/>
        <v>9.4489114928295124E-4</v>
      </c>
    </row>
    <row r="139" spans="1:16" x14ac:dyDescent="0.25">
      <c r="B139">
        <v>138</v>
      </c>
      <c r="C139">
        <v>0.83704508399999999</v>
      </c>
      <c r="D139">
        <v>0.83491278075881603</v>
      </c>
      <c r="E139" s="1">
        <v>4.7891900000000001E-5</v>
      </c>
      <c r="F139">
        <f t="shared" si="6"/>
        <v>2.1323032411839637E-3</v>
      </c>
      <c r="G139" s="2">
        <f t="shared" si="7"/>
        <v>9.4937079388448517E-2</v>
      </c>
      <c r="M139">
        <v>1.0035793674888001</v>
      </c>
      <c r="N139">
        <v>1.0036622385306</v>
      </c>
      <c r="O139" s="1">
        <v>1.17042020436399E-8</v>
      </c>
      <c r="P139" s="2">
        <f t="shared" si="8"/>
        <v>0.58676444095894142</v>
      </c>
    </row>
    <row r="140" spans="1:16" x14ac:dyDescent="0.25">
      <c r="B140">
        <v>139</v>
      </c>
      <c r="C140">
        <v>0.83704508399999999</v>
      </c>
      <c r="D140">
        <v>0.83246317003679704</v>
      </c>
      <c r="E140" s="1">
        <v>4.7891900000000001E-5</v>
      </c>
      <c r="F140">
        <f t="shared" si="6"/>
        <v>4.5819139632029549E-3</v>
      </c>
      <c r="G140" s="2">
        <f t="shared" si="7"/>
        <v>0.43836088286733682</v>
      </c>
      <c r="M140">
        <v>5.4564367120862096</v>
      </c>
      <c r="N140">
        <v>5.4561635335429903</v>
      </c>
      <c r="O140" s="1">
        <v>1.3395025890148699E-7</v>
      </c>
      <c r="P140" s="2">
        <f t="shared" si="8"/>
        <v>0.55712110665120873</v>
      </c>
    </row>
    <row r="141" spans="1:16" x14ac:dyDescent="0.25">
      <c r="B141" s="57">
        <v>140</v>
      </c>
      <c r="C141">
        <v>0.83704508399999999</v>
      </c>
      <c r="D141">
        <v>0.83352663594379595</v>
      </c>
      <c r="E141" s="1">
        <v>4.7891900000000001E-5</v>
      </c>
      <c r="F141">
        <f t="shared" si="6"/>
        <v>3.5184480562040488E-3</v>
      </c>
      <c r="G141" s="2">
        <f t="shared" si="7"/>
        <v>0.25848790138219718</v>
      </c>
      <c r="M141">
        <v>2.5511661999377102</v>
      </c>
      <c r="N141">
        <v>2.5510565592882402</v>
      </c>
      <c r="O141" s="1">
        <v>2.2659113869360899E-8</v>
      </c>
      <c r="P141" s="2">
        <f t="shared" si="8"/>
        <v>0.53051818731844258</v>
      </c>
    </row>
    <row r="142" spans="1:16" x14ac:dyDescent="0.25">
      <c r="A142" t="s">
        <v>121</v>
      </c>
      <c r="B142">
        <v>141</v>
      </c>
      <c r="C142">
        <v>2.0429114610000001</v>
      </c>
      <c r="D142">
        <v>2.0387259403384101</v>
      </c>
      <c r="E142">
        <v>4.5946160000000003E-4</v>
      </c>
      <c r="F142">
        <f t="shared" si="6"/>
        <v>4.1855206615899476E-3</v>
      </c>
      <c r="G142" s="2">
        <f t="shared" si="7"/>
        <v>3.8128503467093552E-2</v>
      </c>
      <c r="M142">
        <v>5.4687570085397299</v>
      </c>
      <c r="N142">
        <v>5.46850021606115</v>
      </c>
      <c r="O142" s="1">
        <v>1.2554322151085299E-7</v>
      </c>
      <c r="P142" s="2">
        <f t="shared" si="8"/>
        <v>0.52525637196198327</v>
      </c>
    </row>
    <row r="143" spans="1:16" x14ac:dyDescent="0.25">
      <c r="B143">
        <v>142</v>
      </c>
      <c r="C143">
        <v>2.0429114610000001</v>
      </c>
      <c r="D143">
        <v>2.0482462937270101</v>
      </c>
      <c r="E143">
        <v>4.5946160000000003E-4</v>
      </c>
      <c r="F143">
        <f t="shared" si="6"/>
        <v>-5.3348327270099638E-3</v>
      </c>
      <c r="G143" s="2">
        <f t="shared" si="7"/>
        <v>6.1943022496714774E-2</v>
      </c>
      <c r="M143">
        <v>1.0035920148572399</v>
      </c>
      <c r="N143">
        <v>1.00328795977603</v>
      </c>
      <c r="O143" s="1">
        <v>6.6508158972747703E-9</v>
      </c>
      <c r="P143" s="2">
        <f t="shared" si="8"/>
        <v>13.900473842230291</v>
      </c>
    </row>
    <row r="144" spans="1:16" x14ac:dyDescent="0.25">
      <c r="B144">
        <v>143</v>
      </c>
      <c r="C144">
        <v>2.0429114610000001</v>
      </c>
      <c r="D144">
        <v>2.0501235933490101</v>
      </c>
      <c r="E144">
        <v>4.5946160000000003E-4</v>
      </c>
      <c r="F144">
        <f t="shared" si="6"/>
        <v>-7.2121323490099698E-3</v>
      </c>
      <c r="G144" s="2">
        <f t="shared" si="7"/>
        <v>0.11320827033126613</v>
      </c>
      <c r="M144">
        <v>5.4592602066765101</v>
      </c>
      <c r="N144">
        <v>5.4582782867106197</v>
      </c>
      <c r="O144" s="1">
        <v>1.9294072766996499E-7</v>
      </c>
      <c r="P144" s="2">
        <f t="shared" si="8"/>
        <v>4.997217700264982</v>
      </c>
    </row>
    <row r="145" spans="2:16" x14ac:dyDescent="0.25">
      <c r="B145">
        <v>144</v>
      </c>
      <c r="C145">
        <v>2.0429114610000001</v>
      </c>
      <c r="D145">
        <v>2.0477192432037201</v>
      </c>
      <c r="E145">
        <v>4.5946160000000003E-4</v>
      </c>
      <c r="F145">
        <f t="shared" si="6"/>
        <v>-4.8077822037200235E-3</v>
      </c>
      <c r="G145" s="2">
        <f t="shared" si="7"/>
        <v>5.0308382068070465E-2</v>
      </c>
      <c r="M145">
        <v>2.55196229100939</v>
      </c>
      <c r="N145">
        <v>2.5516821494175299</v>
      </c>
      <c r="O145" s="1">
        <v>4.9886072912123198E-8</v>
      </c>
      <c r="P145" s="2">
        <f t="shared" si="8"/>
        <v>1.5731707650778735</v>
      </c>
    </row>
    <row r="146" spans="2:16" x14ac:dyDescent="0.25">
      <c r="B146">
        <v>145</v>
      </c>
      <c r="C146">
        <v>2.0429114610000001</v>
      </c>
      <c r="D146">
        <v>2.0458176584669201</v>
      </c>
      <c r="E146">
        <v>4.5946160000000003E-4</v>
      </c>
      <c r="F146">
        <f t="shared" si="6"/>
        <v>-2.9061974669200019E-3</v>
      </c>
      <c r="G146" s="2">
        <f t="shared" si="7"/>
        <v>1.838234950805951E-2</v>
      </c>
      <c r="M146">
        <v>5.4705918416697701</v>
      </c>
      <c r="N146">
        <v>5.4692539292269799</v>
      </c>
      <c r="O146" s="1">
        <v>1.8981725119459001E-7</v>
      </c>
      <c r="P146" s="2">
        <f t="shared" si="8"/>
        <v>9.4301739873877288</v>
      </c>
    </row>
    <row r="147" spans="2:16" x14ac:dyDescent="0.25">
      <c r="B147">
        <v>146</v>
      </c>
      <c r="C147">
        <v>2.0429114610000001</v>
      </c>
      <c r="D147">
        <v>2.0421166897236902</v>
      </c>
      <c r="E147">
        <v>4.5946160000000003E-4</v>
      </c>
      <c r="F147">
        <f t="shared" si="6"/>
        <v>7.9477127630989131E-4</v>
      </c>
      <c r="G147" s="2">
        <f t="shared" si="7"/>
        <v>1.3747860139938866E-3</v>
      </c>
      <c r="M147">
        <v>1.0027892983587099</v>
      </c>
      <c r="N147">
        <v>1.002918141161</v>
      </c>
      <c r="O147" s="1">
        <v>8.8443198018450998E-9</v>
      </c>
      <c r="P147" s="2">
        <f t="shared" si="8"/>
        <v>1.8769637545782663</v>
      </c>
    </row>
    <row r="148" spans="2:16" x14ac:dyDescent="0.25">
      <c r="B148">
        <v>147</v>
      </c>
      <c r="C148">
        <v>2.0429114610000001</v>
      </c>
      <c r="D148">
        <v>2.0253552167687601</v>
      </c>
      <c r="E148">
        <v>4.5946160000000003E-4</v>
      </c>
      <c r="F148">
        <f t="shared" si="6"/>
        <v>1.7556244231240026E-2</v>
      </c>
      <c r="G148" s="2">
        <f t="shared" si="7"/>
        <v>0.67083236446081385</v>
      </c>
      <c r="M148">
        <v>5.4599756437652402</v>
      </c>
      <c r="N148">
        <v>5.4600711503550796</v>
      </c>
      <c r="O148" s="1">
        <v>1.03860822203694E-7</v>
      </c>
      <c r="P148" s="2">
        <f t="shared" si="8"/>
        <v>8.7824345207433333E-2</v>
      </c>
    </row>
    <row r="149" spans="2:16" x14ac:dyDescent="0.25">
      <c r="B149">
        <v>148</v>
      </c>
      <c r="C149">
        <v>2.0429114610000001</v>
      </c>
      <c r="D149">
        <v>2.0430150972289498</v>
      </c>
      <c r="E149">
        <v>4.5946160000000003E-4</v>
      </c>
      <c r="F149">
        <f t="shared" si="6"/>
        <v>-1.0363622894971058E-4</v>
      </c>
      <c r="G149" s="2">
        <f t="shared" si="7"/>
        <v>2.337620369344648E-5</v>
      </c>
      <c r="M149">
        <v>2.5523904911745299</v>
      </c>
      <c r="N149">
        <v>2.5522124478832202</v>
      </c>
      <c r="O149" s="1">
        <v>3.2530920497907999E-8</v>
      </c>
      <c r="P149" s="2">
        <f t="shared" si="8"/>
        <v>0.97443949003579111</v>
      </c>
    </row>
    <row r="150" spans="2:16" x14ac:dyDescent="0.25">
      <c r="B150">
        <v>149</v>
      </c>
      <c r="C150">
        <v>2.0429114610000001</v>
      </c>
      <c r="D150">
        <v>2.0429645389137598</v>
      </c>
      <c r="E150">
        <v>4.5946160000000003E-4</v>
      </c>
      <c r="F150">
        <f t="shared" si="6"/>
        <v>-5.307791375974702E-5</v>
      </c>
      <c r="G150" s="2">
        <f t="shared" si="7"/>
        <v>6.1316656910765602E-6</v>
      </c>
      <c r="M150">
        <v>5.46982363505054</v>
      </c>
      <c r="N150">
        <v>5.4698927712947096</v>
      </c>
      <c r="O150" s="1">
        <v>1.04519275423274E-7</v>
      </c>
      <c r="P150" s="2">
        <f t="shared" si="8"/>
        <v>4.5731471429757024E-2</v>
      </c>
    </row>
    <row r="151" spans="2:16" x14ac:dyDescent="0.25">
      <c r="B151">
        <v>150</v>
      </c>
      <c r="C151">
        <v>2.0429114610000001</v>
      </c>
      <c r="D151">
        <v>2.0428752148804699</v>
      </c>
      <c r="E151">
        <v>4.5946160000000003E-4</v>
      </c>
      <c r="F151">
        <f t="shared" si="6"/>
        <v>3.6246119530236598E-5</v>
      </c>
      <c r="G151" s="2">
        <f t="shared" si="7"/>
        <v>2.8593927784176063E-6</v>
      </c>
      <c r="M151">
        <v>1.0024840136556199</v>
      </c>
      <c r="N151">
        <v>1.0026048320825001</v>
      </c>
      <c r="O151" s="1">
        <v>3.1748769972060798E-8</v>
      </c>
      <c r="P151" s="2">
        <f t="shared" si="8"/>
        <v>0.45976874967576115</v>
      </c>
    </row>
    <row r="152" spans="2:16" x14ac:dyDescent="0.25">
      <c r="B152">
        <v>151</v>
      </c>
      <c r="C152">
        <v>2.0429114610000001</v>
      </c>
      <c r="D152">
        <v>2.0426930840875501</v>
      </c>
      <c r="E152">
        <v>4.5946160000000003E-4</v>
      </c>
      <c r="F152">
        <f t="shared" si="6"/>
        <v>2.1837691244996904E-4</v>
      </c>
      <c r="G152" s="2">
        <f t="shared" si="7"/>
        <v>1.0379208162593226E-4</v>
      </c>
      <c r="M152">
        <v>5.4616029653335501</v>
      </c>
      <c r="N152">
        <v>5.46161850431763</v>
      </c>
      <c r="O152" s="1">
        <v>1.8571904240182199E-7</v>
      </c>
      <c r="P152" s="2">
        <f t="shared" si="8"/>
        <v>1.3001360717404616E-3</v>
      </c>
    </row>
    <row r="153" spans="2:16" x14ac:dyDescent="0.25">
      <c r="B153">
        <v>152</v>
      </c>
      <c r="C153">
        <v>2.0429114610000001</v>
      </c>
      <c r="D153">
        <v>2.0413348031907002</v>
      </c>
      <c r="E153">
        <v>4.5946160000000003E-4</v>
      </c>
      <c r="F153">
        <f t="shared" si="6"/>
        <v>1.5766578092999417E-3</v>
      </c>
      <c r="G153" s="2">
        <f t="shared" si="7"/>
        <v>5.4103538742443138E-3</v>
      </c>
      <c r="M153">
        <v>2.5527529957641302</v>
      </c>
      <c r="N153">
        <v>2.5526700773638198</v>
      </c>
      <c r="O153" s="1">
        <v>4.0187216167952999E-8</v>
      </c>
      <c r="P153" s="2">
        <f t="shared" si="8"/>
        <v>0.1710857771610407</v>
      </c>
    </row>
    <row r="154" spans="2:16" x14ac:dyDescent="0.25">
      <c r="B154">
        <v>153</v>
      </c>
      <c r="C154">
        <v>2.0429114610000001</v>
      </c>
      <c r="D154">
        <v>2.0405543050136399</v>
      </c>
      <c r="E154">
        <v>4.5946160000000003E-4</v>
      </c>
      <c r="F154">
        <f t="shared" si="6"/>
        <v>2.3571559863602154E-3</v>
      </c>
      <c r="G154" s="2">
        <f t="shared" si="7"/>
        <v>1.2092815469309732E-2</v>
      </c>
      <c r="M154">
        <v>5.4705972301714896</v>
      </c>
      <c r="N154">
        <v>5.47044402347443</v>
      </c>
      <c r="O154" s="1">
        <v>2.3463033559000101E-7</v>
      </c>
      <c r="P154" s="2">
        <f t="shared" si="8"/>
        <v>0.10003945979478604</v>
      </c>
    </row>
    <row r="155" spans="2:16" x14ac:dyDescent="0.25">
      <c r="B155">
        <v>154</v>
      </c>
      <c r="C155">
        <v>2.0429114610000001</v>
      </c>
      <c r="D155">
        <v>2.04343997652748</v>
      </c>
      <c r="E155">
        <v>4.5946160000000003E-4</v>
      </c>
      <c r="F155">
        <f t="shared" si="6"/>
        <v>-5.2851552747990027E-4</v>
      </c>
      <c r="G155" s="2">
        <f t="shared" si="7"/>
        <v>6.0794778668632422E-4</v>
      </c>
      <c r="M155">
        <v>1.0022589028120401</v>
      </c>
      <c r="N155">
        <v>1.0023345880196799</v>
      </c>
      <c r="O155" s="1">
        <v>7.7409084315389593E-9</v>
      </c>
      <c r="P155" s="2">
        <f t="shared" si="8"/>
        <v>0.73999721171468946</v>
      </c>
    </row>
    <row r="156" spans="2:16" x14ac:dyDescent="0.25">
      <c r="B156">
        <v>155</v>
      </c>
      <c r="C156">
        <v>2.0429114610000001</v>
      </c>
      <c r="D156">
        <v>2.0425896892670599</v>
      </c>
      <c r="E156">
        <v>4.5946160000000003E-4</v>
      </c>
      <c r="F156">
        <f t="shared" si="6"/>
        <v>3.2177173294023476E-4</v>
      </c>
      <c r="G156" s="2">
        <f t="shared" si="7"/>
        <v>2.2534429018521187E-4</v>
      </c>
      <c r="M156">
        <v>5.4627986559672204</v>
      </c>
      <c r="N156">
        <v>5.4629829769780498</v>
      </c>
      <c r="O156" s="1">
        <v>2.1790704528009201E-7</v>
      </c>
      <c r="P156" s="2">
        <f t="shared" si="8"/>
        <v>0.15591159519195619</v>
      </c>
    </row>
    <row r="157" spans="2:16" x14ac:dyDescent="0.25">
      <c r="B157">
        <v>156</v>
      </c>
      <c r="C157">
        <v>2.0429114610000001</v>
      </c>
      <c r="D157">
        <v>2.0436935495110302</v>
      </c>
      <c r="E157">
        <v>4.5946160000000003E-4</v>
      </c>
      <c r="F157">
        <f t="shared" si="6"/>
        <v>-7.8208851103012123E-4</v>
      </c>
      <c r="G157" s="2">
        <f t="shared" si="7"/>
        <v>1.3312591064961947E-3</v>
      </c>
      <c r="M157">
        <v>2.5527990745519</v>
      </c>
      <c r="N157">
        <v>2.5530735802476401</v>
      </c>
      <c r="O157" s="1">
        <v>5.2172025850848199E-8</v>
      </c>
      <c r="P157" s="2">
        <f t="shared" si="8"/>
        <v>1.4443253020144653</v>
      </c>
    </row>
    <row r="158" spans="2:16" x14ac:dyDescent="0.25">
      <c r="B158">
        <v>157</v>
      </c>
      <c r="C158">
        <v>2.0429114610000001</v>
      </c>
      <c r="D158">
        <v>2.0526712912204901</v>
      </c>
      <c r="E158">
        <v>4.5946160000000003E-4</v>
      </c>
      <c r="F158">
        <f t="shared" si="6"/>
        <v>-9.7598302204899845E-3</v>
      </c>
      <c r="G158" s="2">
        <f t="shared" si="7"/>
        <v>0.20731718588188777</v>
      </c>
      <c r="M158">
        <v>5.4707033292563496</v>
      </c>
      <c r="N158">
        <v>5.4709300398344398</v>
      </c>
      <c r="O158" s="1">
        <v>2.3953297576274498E-7</v>
      </c>
      <c r="P158" s="2">
        <f t="shared" si="8"/>
        <v>0.21457457393634244</v>
      </c>
    </row>
    <row r="159" spans="2:16" x14ac:dyDescent="0.25">
      <c r="B159">
        <v>158</v>
      </c>
      <c r="C159">
        <v>2.0429114610000001</v>
      </c>
      <c r="D159">
        <v>2.0429654882320998</v>
      </c>
      <c r="E159">
        <v>4.5946160000000003E-4</v>
      </c>
      <c r="F159">
        <f t="shared" si="6"/>
        <v>-5.4027232099684852E-5</v>
      </c>
      <c r="G159" s="2">
        <f t="shared" si="7"/>
        <v>6.3529613973250798E-6</v>
      </c>
      <c r="M159">
        <v>1.0021953812456701</v>
      </c>
      <c r="N159">
        <v>1.00209640795345</v>
      </c>
      <c r="O159" s="1">
        <v>6.8778830074720304E-9</v>
      </c>
      <c r="P159" s="2">
        <f t="shared" si="8"/>
        <v>1.4242336722273636</v>
      </c>
    </row>
    <row r="160" spans="2:16" x14ac:dyDescent="0.25">
      <c r="B160">
        <v>159</v>
      </c>
      <c r="C160">
        <v>2.0429114610000001</v>
      </c>
      <c r="D160">
        <v>2.0452000505210699</v>
      </c>
      <c r="E160">
        <v>4.5946160000000003E-4</v>
      </c>
      <c r="F160">
        <f t="shared" si="6"/>
        <v>-2.288589521069806E-3</v>
      </c>
      <c r="G160" s="2">
        <f t="shared" si="7"/>
        <v>1.13995206475373E-2</v>
      </c>
      <c r="M160">
        <v>5.4648220291774603</v>
      </c>
      <c r="N160">
        <v>5.4647578298388604</v>
      </c>
      <c r="O160" s="1">
        <v>1.2528441074761601E-7</v>
      </c>
      <c r="P160" s="2">
        <f t="shared" si="8"/>
        <v>3.2897589189840155E-2</v>
      </c>
    </row>
    <row r="161" spans="2:16" x14ac:dyDescent="0.25">
      <c r="B161">
        <v>160</v>
      </c>
      <c r="C161">
        <v>2.0429114610000001</v>
      </c>
      <c r="D161">
        <v>2.0397516944909202</v>
      </c>
      <c r="E161">
        <v>4.5946160000000003E-4</v>
      </c>
      <c r="F161">
        <f t="shared" si="6"/>
        <v>3.1597665090798976E-3</v>
      </c>
      <c r="G161" s="2">
        <f t="shared" si="7"/>
        <v>2.1730051851782527E-2</v>
      </c>
      <c r="M161">
        <v>2.5536579394333101</v>
      </c>
      <c r="N161">
        <v>2.55359838569355</v>
      </c>
      <c r="O161" s="1">
        <v>3.0200171945166602E-8</v>
      </c>
      <c r="P161" s="2">
        <f t="shared" si="8"/>
        <v>0.11743800418919603</v>
      </c>
    </row>
    <row r="162" spans="2:16" x14ac:dyDescent="0.25">
      <c r="B162">
        <v>161</v>
      </c>
      <c r="C162">
        <v>2.0429114610000001</v>
      </c>
      <c r="D162">
        <v>2.0400716837293098</v>
      </c>
      <c r="E162">
        <v>4.5946160000000003E-4</v>
      </c>
      <c r="F162">
        <f t="shared" si="6"/>
        <v>2.8397772706902913E-3</v>
      </c>
      <c r="G162" s="2">
        <f t="shared" si="7"/>
        <v>1.7551706055803574E-2</v>
      </c>
      <c r="M162">
        <v>5.4716081118785898</v>
      </c>
      <c r="N162">
        <v>5.4715621139450699</v>
      </c>
      <c r="O162" s="1">
        <v>1.35411744915041E-7</v>
      </c>
      <c r="P162" s="2">
        <f t="shared" si="8"/>
        <v>1.5625010145374915E-2</v>
      </c>
    </row>
    <row r="163" spans="2:16" x14ac:dyDescent="0.25">
      <c r="B163">
        <v>162</v>
      </c>
      <c r="C163">
        <v>2.0429114610000001</v>
      </c>
      <c r="D163">
        <v>2.0421748792818302</v>
      </c>
      <c r="E163">
        <v>4.5946160000000003E-4</v>
      </c>
      <c r="F163">
        <f t="shared" si="6"/>
        <v>7.3658171816992635E-4</v>
      </c>
      <c r="G163" s="2">
        <f t="shared" si="7"/>
        <v>1.1808443350699183E-3</v>
      </c>
      <c r="M163">
        <v>1.0019708640609299</v>
      </c>
      <c r="N163">
        <v>1.0017867662592299</v>
      </c>
      <c r="O163" s="1">
        <v>1.41915269719544E-8</v>
      </c>
      <c r="P163" s="2">
        <f t="shared" si="8"/>
        <v>2.3881856165135078</v>
      </c>
    </row>
    <row r="164" spans="2:16" x14ac:dyDescent="0.25">
      <c r="B164">
        <v>163</v>
      </c>
      <c r="C164">
        <v>2.0429114610000001</v>
      </c>
      <c r="D164">
        <v>2.05567505225003</v>
      </c>
      <c r="E164">
        <v>4.5946160000000003E-4</v>
      </c>
      <c r="F164">
        <f t="shared" si="6"/>
        <v>-1.2763591250029904E-2</v>
      </c>
      <c r="G164" s="2">
        <f t="shared" si="7"/>
        <v>0.3545655645604332</v>
      </c>
      <c r="M164">
        <v>5.4665809850944802</v>
      </c>
      <c r="N164">
        <v>5.4664810162507198</v>
      </c>
      <c r="O164" s="1">
        <v>2.7941080216481502E-7</v>
      </c>
      <c r="P164" s="2">
        <f t="shared" si="8"/>
        <v>3.5767299064180136E-2</v>
      </c>
    </row>
    <row r="165" spans="2:16" x14ac:dyDescent="0.25">
      <c r="B165">
        <v>164</v>
      </c>
      <c r="C165">
        <v>2.0429114610000001</v>
      </c>
      <c r="D165">
        <v>2.0438006910074402</v>
      </c>
      <c r="E165">
        <v>4.5946160000000003E-4</v>
      </c>
      <c r="F165">
        <f t="shared" si="6"/>
        <v>-8.8923000744012271E-4</v>
      </c>
      <c r="G165" s="2">
        <f t="shared" si="7"/>
        <v>1.7209925837805829E-3</v>
      </c>
      <c r="M165">
        <v>2.55391554974408</v>
      </c>
      <c r="N165">
        <v>2.5541078540228401</v>
      </c>
      <c r="O165" s="1">
        <v>7.3613067277811802E-8</v>
      </c>
      <c r="P165" s="2">
        <f t="shared" si="8"/>
        <v>0.5023691716295493</v>
      </c>
    </row>
    <row r="166" spans="2:16" x14ac:dyDescent="0.25">
      <c r="B166">
        <v>165</v>
      </c>
      <c r="C166">
        <v>2.0429114610000001</v>
      </c>
      <c r="D166">
        <v>2.0383560047816101</v>
      </c>
      <c r="E166">
        <v>4.5946160000000003E-4</v>
      </c>
      <c r="F166">
        <f t="shared" si="6"/>
        <v>4.5554562183900416E-3</v>
      </c>
      <c r="G166" s="2">
        <f t="shared" si="7"/>
        <v>4.5166301944860016E-2</v>
      </c>
      <c r="M166">
        <v>5.4723988461822097</v>
      </c>
      <c r="N166">
        <v>5.4721756616625097</v>
      </c>
      <c r="O166" s="1">
        <v>2.2277906008178499E-7</v>
      </c>
      <c r="P166" s="2">
        <f t="shared" si="8"/>
        <v>0.2235907172579632</v>
      </c>
    </row>
    <row r="167" spans="2:16" x14ac:dyDescent="0.25">
      <c r="B167">
        <v>166</v>
      </c>
      <c r="C167">
        <v>2.0429114610000001</v>
      </c>
      <c r="D167">
        <v>2.0429543128604899</v>
      </c>
      <c r="E167">
        <v>4.5946160000000003E-4</v>
      </c>
      <c r="F167">
        <f t="shared" si="6"/>
        <v>-4.2851860489800941E-5</v>
      </c>
      <c r="G167" s="2">
        <f t="shared" si="7"/>
        <v>3.9965950308738813E-6</v>
      </c>
      <c r="M167">
        <v>1.0013441074792599</v>
      </c>
      <c r="N167">
        <v>1.0014863260178299</v>
      </c>
      <c r="O167" s="1">
        <v>1.3600694352062001E-8</v>
      </c>
      <c r="P167" s="2">
        <f t="shared" si="8"/>
        <v>1.4871382437852003</v>
      </c>
    </row>
    <row r="168" spans="2:16" x14ac:dyDescent="0.25">
      <c r="B168">
        <v>167</v>
      </c>
      <c r="C168">
        <v>2.0429114610000001</v>
      </c>
      <c r="D168">
        <v>2.0413256536143001</v>
      </c>
      <c r="E168">
        <v>4.5946160000000003E-4</v>
      </c>
      <c r="F168">
        <f t="shared" si="6"/>
        <v>1.5858073857000221E-3</v>
      </c>
      <c r="G168" s="2">
        <f t="shared" si="7"/>
        <v>5.4733302294266558E-3</v>
      </c>
      <c r="M168">
        <v>5.4667989885394199</v>
      </c>
      <c r="N168">
        <v>5.4670623810088497</v>
      </c>
      <c r="O168" s="1">
        <v>1.07719498163835E-7</v>
      </c>
      <c r="P168" s="2">
        <f t="shared" si="8"/>
        <v>0.64403932560829091</v>
      </c>
    </row>
    <row r="169" spans="2:16" x14ac:dyDescent="0.25">
      <c r="B169">
        <v>168</v>
      </c>
      <c r="C169">
        <v>2.0429114610000001</v>
      </c>
      <c r="D169">
        <v>2.03935580313901</v>
      </c>
      <c r="E169">
        <v>4.5946160000000003E-4</v>
      </c>
      <c r="F169">
        <f t="shared" si="6"/>
        <v>3.5556578609901024E-3</v>
      </c>
      <c r="G169" s="2">
        <f t="shared" si="7"/>
        <v>2.7516342659366332E-2</v>
      </c>
      <c r="M169">
        <v>2.5539812570470999</v>
      </c>
      <c r="N169">
        <v>2.55427972399597</v>
      </c>
      <c r="O169" s="1">
        <v>2.4423750321458599E-8</v>
      </c>
      <c r="P169" s="2">
        <f t="shared" si="8"/>
        <v>3.6473726759967349</v>
      </c>
    </row>
    <row r="170" spans="2:16" x14ac:dyDescent="0.25">
      <c r="B170">
        <v>169</v>
      </c>
      <c r="C170">
        <v>2.0429114610000001</v>
      </c>
      <c r="D170">
        <v>2.0361397103795502</v>
      </c>
      <c r="E170">
        <v>4.5946160000000003E-4</v>
      </c>
      <c r="F170">
        <f t="shared" si="6"/>
        <v>6.771750620449879E-3</v>
      </c>
      <c r="G170" s="2">
        <f t="shared" si="7"/>
        <v>9.9805090274276059E-2</v>
      </c>
      <c r="M170">
        <v>5.4718576091029698</v>
      </c>
      <c r="N170">
        <v>5.4723826308969601</v>
      </c>
      <c r="O170" s="1">
        <v>8.3676502578379701E-8</v>
      </c>
      <c r="P170" s="2">
        <f t="shared" si="8"/>
        <v>3.2942089555735143</v>
      </c>
    </row>
    <row r="171" spans="2:16" x14ac:dyDescent="0.25">
      <c r="B171">
        <v>170</v>
      </c>
      <c r="C171">
        <v>2.0429114610000001</v>
      </c>
      <c r="D171">
        <v>2.0490201766660401</v>
      </c>
      <c r="E171">
        <v>4.5946160000000003E-4</v>
      </c>
      <c r="F171">
        <f t="shared" si="6"/>
        <v>-6.1087156660399877E-3</v>
      </c>
      <c r="G171" s="2">
        <f t="shared" si="7"/>
        <v>8.121768410792625E-2</v>
      </c>
      <c r="M171">
        <v>1.0015272045094701</v>
      </c>
      <c r="N171">
        <v>1.0013850058535001</v>
      </c>
      <c r="O171" s="1">
        <v>1.07334201658905E-8</v>
      </c>
      <c r="P171" s="2">
        <f t="shared" si="8"/>
        <v>1.8838783395368868</v>
      </c>
    </row>
    <row r="172" spans="2:16" x14ac:dyDescent="0.25">
      <c r="B172">
        <v>171</v>
      </c>
      <c r="C172">
        <v>2.0429114610000001</v>
      </c>
      <c r="D172">
        <v>2.0455570999048902</v>
      </c>
      <c r="E172">
        <v>4.5946160000000003E-4</v>
      </c>
      <c r="F172">
        <f t="shared" si="6"/>
        <v>-2.645638904890113E-3</v>
      </c>
      <c r="G172" s="2">
        <f t="shared" si="7"/>
        <v>1.5233928613551505E-2</v>
      </c>
      <c r="M172">
        <v>5.4693563306213298</v>
      </c>
      <c r="N172">
        <v>5.4694657698923104</v>
      </c>
      <c r="O172" s="1">
        <v>1.53700958981016E-7</v>
      </c>
      <c r="P172" s="2">
        <f t="shared" si="8"/>
        <v>7.7923743040848287E-2</v>
      </c>
    </row>
    <row r="173" spans="2:16" x14ac:dyDescent="0.25">
      <c r="B173">
        <v>172</v>
      </c>
      <c r="C173">
        <v>2.0429114610000001</v>
      </c>
      <c r="D173">
        <v>2.0428684398519099</v>
      </c>
      <c r="E173">
        <v>4.5946160000000003E-4</v>
      </c>
      <c r="F173">
        <f t="shared" si="6"/>
        <v>4.3021148090183203E-5</v>
      </c>
      <c r="G173" s="2">
        <f t="shared" si="7"/>
        <v>4.0282347491008473E-6</v>
      </c>
      <c r="M173">
        <v>2.5548313931531701</v>
      </c>
      <c r="N173">
        <v>2.5549901712204401</v>
      </c>
      <c r="O173" s="1">
        <v>3.4795203005805097E-8</v>
      </c>
      <c r="P173" s="2">
        <f t="shared" si="8"/>
        <v>0.72453880041470575</v>
      </c>
    </row>
    <row r="174" spans="2:16" x14ac:dyDescent="0.25">
      <c r="B174">
        <v>173</v>
      </c>
      <c r="C174">
        <v>2.0429114610000001</v>
      </c>
      <c r="D174">
        <v>2.04611081707306</v>
      </c>
      <c r="E174">
        <v>4.5946160000000003E-4</v>
      </c>
      <c r="F174">
        <f t="shared" si="6"/>
        <v>-3.199356073059878E-3</v>
      </c>
      <c r="G174" s="2">
        <f t="shared" si="7"/>
        <v>2.2277986413282685E-2</v>
      </c>
      <c r="M174">
        <v>5.4731375610702599</v>
      </c>
      <c r="N174">
        <v>5.4732381008500397</v>
      </c>
      <c r="O174" s="1">
        <v>1.4995624758653701E-7</v>
      </c>
      <c r="P174" s="2">
        <f t="shared" si="8"/>
        <v>6.7407977199000116E-2</v>
      </c>
    </row>
    <row r="175" spans="2:16" x14ac:dyDescent="0.25">
      <c r="B175">
        <v>174</v>
      </c>
      <c r="C175">
        <v>2.0429114610000001</v>
      </c>
      <c r="D175">
        <v>2.0514438330640301</v>
      </c>
      <c r="E175">
        <v>4.5946160000000003E-4</v>
      </c>
      <c r="F175">
        <f t="shared" si="6"/>
        <v>-8.5323720640300138E-3</v>
      </c>
      <c r="G175" s="2">
        <f t="shared" si="7"/>
        <v>0.15844930901524695</v>
      </c>
      <c r="M175">
        <v>1.0009541180135899</v>
      </c>
      <c r="N175">
        <v>1.0009663666167501</v>
      </c>
      <c r="O175" s="1">
        <v>7.9938183600860195E-9</v>
      </c>
      <c r="P175" s="2">
        <f t="shared" si="8"/>
        <v>1.8768037077837769E-2</v>
      </c>
    </row>
    <row r="176" spans="2:16" x14ac:dyDescent="0.25">
      <c r="B176">
        <v>175</v>
      </c>
      <c r="C176">
        <v>2.0429114610000001</v>
      </c>
      <c r="D176">
        <v>2.0439016225187898</v>
      </c>
      <c r="E176">
        <v>4.5946160000000003E-4</v>
      </c>
      <c r="F176">
        <f t="shared" si="6"/>
        <v>-9.9016151878972281E-4</v>
      </c>
      <c r="G176" s="2">
        <f t="shared" si="7"/>
        <v>2.1338449900752763E-3</v>
      </c>
      <c r="M176">
        <v>5.4697871823728201</v>
      </c>
      <c r="N176">
        <v>5.4691169820368302</v>
      </c>
      <c r="O176" s="1">
        <v>1.3498200765306699E-7</v>
      </c>
      <c r="P176" s="2">
        <f t="shared" si="8"/>
        <v>3.3276174963668197</v>
      </c>
    </row>
    <row r="177" spans="1:16" x14ac:dyDescent="0.25">
      <c r="B177">
        <v>176</v>
      </c>
      <c r="C177">
        <v>2.0429114610000001</v>
      </c>
      <c r="D177">
        <v>2.0514803038854099</v>
      </c>
      <c r="E177">
        <v>4.5946160000000003E-4</v>
      </c>
      <c r="F177">
        <f t="shared" si="6"/>
        <v>-8.568842885409822E-3</v>
      </c>
      <c r="G177" s="2">
        <f t="shared" si="7"/>
        <v>0.15980675728904986</v>
      </c>
      <c r="M177">
        <v>2.55517153202966</v>
      </c>
      <c r="N177">
        <v>2.5548870758494902</v>
      </c>
      <c r="O177" s="1">
        <v>2.8584105208299901E-8</v>
      </c>
      <c r="P177" s="2">
        <f t="shared" si="8"/>
        <v>2.8307801782546389</v>
      </c>
    </row>
    <row r="178" spans="1:16" x14ac:dyDescent="0.25">
      <c r="B178">
        <v>177</v>
      </c>
      <c r="C178">
        <v>2.0429114610000001</v>
      </c>
      <c r="D178">
        <v>2.0429442825680102</v>
      </c>
      <c r="E178">
        <v>4.5946160000000003E-4</v>
      </c>
      <c r="F178">
        <f t="shared" si="6"/>
        <v>-3.2821568010099611E-5</v>
      </c>
      <c r="G178" s="2">
        <f t="shared" si="7"/>
        <v>2.3446036113607624E-6</v>
      </c>
      <c r="M178">
        <v>5.4737438490560102</v>
      </c>
      <c r="N178">
        <v>5.4731139672084401</v>
      </c>
      <c r="O178" s="1">
        <v>1.1989958120475401E-7</v>
      </c>
      <c r="P178" s="2">
        <f t="shared" si="8"/>
        <v>3.309028588021055</v>
      </c>
    </row>
    <row r="179" spans="1:16" x14ac:dyDescent="0.25">
      <c r="B179">
        <v>178</v>
      </c>
      <c r="C179">
        <v>2.0429114610000001</v>
      </c>
      <c r="D179">
        <v>2.0429157757349401</v>
      </c>
      <c r="E179">
        <v>4.5946160000000003E-4</v>
      </c>
      <c r="F179">
        <f t="shared" si="6"/>
        <v>-4.3147349400030066E-6</v>
      </c>
      <c r="G179" s="2">
        <f t="shared" si="7"/>
        <v>4.0519028363812664E-8</v>
      </c>
      <c r="M179">
        <v>1.0012012784720199</v>
      </c>
      <c r="N179">
        <v>1.00102709867785</v>
      </c>
      <c r="O179" s="1">
        <v>7.3229750202829698E-9</v>
      </c>
      <c r="P179" s="2">
        <f t="shared" si="8"/>
        <v>4.1429337957640584</v>
      </c>
    </row>
    <row r="180" spans="1:16" x14ac:dyDescent="0.25">
      <c r="B180">
        <v>179</v>
      </c>
      <c r="C180">
        <v>2.0429114610000001</v>
      </c>
      <c r="D180">
        <v>2.0429415787628802</v>
      </c>
      <c r="E180">
        <v>4.5946160000000003E-4</v>
      </c>
      <c r="F180">
        <f t="shared" si="6"/>
        <v>-3.0117762880088605E-5</v>
      </c>
      <c r="G180" s="2">
        <f t="shared" si="7"/>
        <v>1.9742229620521998E-6</v>
      </c>
      <c r="M180">
        <v>5.4702424888389398</v>
      </c>
      <c r="N180">
        <v>5.4701750495105097</v>
      </c>
      <c r="O180" s="1">
        <v>2.4233592771223002E-7</v>
      </c>
      <c r="P180" s="2">
        <f t="shared" si="8"/>
        <v>1.8767596955356101E-2</v>
      </c>
    </row>
    <row r="181" spans="1:16" x14ac:dyDescent="0.25">
      <c r="B181">
        <v>180</v>
      </c>
      <c r="C181">
        <v>2.0429114610000001</v>
      </c>
      <c r="D181">
        <v>2.0429794446966998</v>
      </c>
      <c r="E181">
        <v>4.5946160000000003E-4</v>
      </c>
      <c r="F181">
        <f t="shared" si="6"/>
        <v>-6.798369669969162E-5</v>
      </c>
      <c r="G181" s="2">
        <f t="shared" si="7"/>
        <v>1.0059127937907457E-5</v>
      </c>
      <c r="M181">
        <v>2.5551534168757399</v>
      </c>
      <c r="N181">
        <v>2.5551998139782302</v>
      </c>
      <c r="O181" s="1">
        <v>4.4779503761206201E-8</v>
      </c>
      <c r="P181" s="2">
        <f t="shared" si="8"/>
        <v>4.8073134775387869E-2</v>
      </c>
    </row>
    <row r="182" spans="1:16" x14ac:dyDescent="0.25">
      <c r="B182">
        <v>181</v>
      </c>
      <c r="C182">
        <v>2.0429114610000001</v>
      </c>
      <c r="D182">
        <v>2.04273074890749</v>
      </c>
      <c r="E182">
        <v>4.5946160000000003E-4</v>
      </c>
      <c r="F182">
        <f t="shared" si="6"/>
        <v>1.8071209251013798E-4</v>
      </c>
      <c r="G182" s="2">
        <f t="shared" si="7"/>
        <v>7.1076364987613045E-5</v>
      </c>
      <c r="M182">
        <v>5.4736521456228697</v>
      </c>
      <c r="N182">
        <v>5.4734905178233397</v>
      </c>
      <c r="O182" s="1">
        <v>2.2596298338824201E-7</v>
      </c>
      <c r="P182" s="2">
        <f t="shared" si="8"/>
        <v>0.11560984542332646</v>
      </c>
    </row>
    <row r="183" spans="1:16" x14ac:dyDescent="0.25">
      <c r="B183">
        <v>182</v>
      </c>
      <c r="C183">
        <v>2.0429114610000001</v>
      </c>
      <c r="D183">
        <v>2.0421026784801302</v>
      </c>
      <c r="E183">
        <v>4.5946160000000003E-4</v>
      </c>
      <c r="F183">
        <f t="shared" si="6"/>
        <v>8.0878251986993277E-4</v>
      </c>
      <c r="G183" s="2">
        <f t="shared" si="7"/>
        <v>1.4236862546231461E-3</v>
      </c>
      <c r="M183">
        <v>1.0007057250601299</v>
      </c>
      <c r="N183">
        <v>1.0008428878803799</v>
      </c>
      <c r="O183" s="1">
        <v>7.6473721044976805E-9</v>
      </c>
      <c r="P183" s="2">
        <f t="shared" si="8"/>
        <v>2.4601443478694729</v>
      </c>
    </row>
    <row r="184" spans="1:16" x14ac:dyDescent="0.25">
      <c r="B184">
        <v>183</v>
      </c>
      <c r="C184">
        <v>2.0429114610000001</v>
      </c>
      <c r="D184">
        <v>2.0415694120604702</v>
      </c>
      <c r="E184">
        <v>4.5946160000000003E-4</v>
      </c>
      <c r="F184">
        <f t="shared" si="6"/>
        <v>1.3420489395299384E-3</v>
      </c>
      <c r="G184" s="2">
        <f t="shared" si="7"/>
        <v>3.9200128064966304E-3</v>
      </c>
      <c r="M184">
        <v>5.4725622462214103</v>
      </c>
      <c r="N184">
        <v>5.4716281218903502</v>
      </c>
      <c r="O184" s="1">
        <v>1.1441301180430199E-7</v>
      </c>
      <c r="P184" s="2">
        <f t="shared" si="8"/>
        <v>7.6266523546378462</v>
      </c>
    </row>
    <row r="185" spans="1:16" x14ac:dyDescent="0.25">
      <c r="B185">
        <v>184</v>
      </c>
      <c r="C185">
        <v>2.0429114610000001</v>
      </c>
      <c r="D185">
        <v>2.04347438048551</v>
      </c>
      <c r="E185">
        <v>4.5946160000000003E-4</v>
      </c>
      <c r="F185">
        <f t="shared" si="6"/>
        <v>-5.6291948550990512E-4</v>
      </c>
      <c r="G185" s="2">
        <f t="shared" si="7"/>
        <v>6.8967318959133094E-4</v>
      </c>
      <c r="M185">
        <v>2.55586591928222</v>
      </c>
      <c r="N185">
        <v>2.5556292694185601</v>
      </c>
      <c r="O185" s="1">
        <v>4.2710868601319802E-8</v>
      </c>
      <c r="P185" s="2">
        <f t="shared" si="8"/>
        <v>1.3112156180433723</v>
      </c>
    </row>
    <row r="186" spans="1:16" x14ac:dyDescent="0.25">
      <c r="B186">
        <v>185</v>
      </c>
      <c r="C186">
        <v>2.0429114610000001</v>
      </c>
      <c r="D186">
        <v>2.0421360470193499</v>
      </c>
      <c r="E186">
        <v>4.5946160000000003E-4</v>
      </c>
      <c r="F186">
        <f t="shared" si="6"/>
        <v>7.7541398065017475E-4</v>
      </c>
      <c r="G186" s="2">
        <f t="shared" si="7"/>
        <v>1.3086334992690348E-3</v>
      </c>
      <c r="M186">
        <v>5.4751892777556099</v>
      </c>
      <c r="N186">
        <v>5.4740075683863996</v>
      </c>
      <c r="O186" s="1">
        <v>1.3958242692678999E-7</v>
      </c>
      <c r="P186" s="2">
        <f t="shared" si="8"/>
        <v>10.004389979635244</v>
      </c>
    </row>
    <row r="187" spans="1:16" x14ac:dyDescent="0.25">
      <c r="B187" s="57">
        <v>186</v>
      </c>
      <c r="C187">
        <v>2.0429114610000001</v>
      </c>
      <c r="D187">
        <v>2.04618188038337</v>
      </c>
      <c r="E187">
        <v>4.5946160000000003E-4</v>
      </c>
      <c r="F187">
        <f t="shared" si="6"/>
        <v>-3.2704193833699158E-3</v>
      </c>
      <c r="G187" s="2">
        <f t="shared" si="7"/>
        <v>2.3278643836877031E-2</v>
      </c>
      <c r="M187">
        <v>1.0005936583133199</v>
      </c>
      <c r="N187">
        <v>1.00059001954328</v>
      </c>
      <c r="O187" s="1">
        <v>1.09156330350359E-8</v>
      </c>
      <c r="P187" s="2">
        <f t="shared" si="8"/>
        <v>1.2129985829616974E-3</v>
      </c>
    </row>
    <row r="188" spans="1:16" x14ac:dyDescent="0.25">
      <c r="A188" t="s">
        <v>122</v>
      </c>
      <c r="B188">
        <v>187</v>
      </c>
      <c r="C188">
        <v>0.59515259505882501</v>
      </c>
      <c r="D188">
        <v>0.59739386322375299</v>
      </c>
      <c r="E188">
        <v>0.354206611405253</v>
      </c>
      <c r="F188">
        <f t="shared" si="6"/>
        <v>-2.2412681649279786E-3</v>
      </c>
      <c r="G188" s="2">
        <f t="shared" si="7"/>
        <v>1.4181787762771082E-5</v>
      </c>
      <c r="M188">
        <v>5.4718078011210904</v>
      </c>
      <c r="N188">
        <v>5.4720294870797499</v>
      </c>
      <c r="O188" s="1">
        <v>8.46330657627819E-8</v>
      </c>
      <c r="P188" s="2">
        <f t="shared" si="8"/>
        <v>0.58067923953635248</v>
      </c>
    </row>
    <row r="189" spans="1:16" x14ac:dyDescent="0.25">
      <c r="B189">
        <v>188</v>
      </c>
      <c r="C189">
        <v>0.579095778212527</v>
      </c>
      <c r="D189">
        <v>0.58090883869347498</v>
      </c>
      <c r="E189">
        <v>0.33535192034357197</v>
      </c>
      <c r="F189">
        <f t="shared" si="6"/>
        <v>-1.8130604809479811E-3</v>
      </c>
      <c r="G189" s="2">
        <f t="shared" si="7"/>
        <v>9.802205110999698E-6</v>
      </c>
      <c r="M189">
        <v>2.55531943661205</v>
      </c>
      <c r="N189">
        <v>2.5557478854894402</v>
      </c>
      <c r="O189" s="1">
        <v>3.1883866896945799E-8</v>
      </c>
      <c r="P189" s="2">
        <f t="shared" si="8"/>
        <v>5.7574083197086328</v>
      </c>
    </row>
    <row r="190" spans="1:16" x14ac:dyDescent="0.25">
      <c r="B190">
        <v>189</v>
      </c>
      <c r="C190">
        <v>0.58402962678359605</v>
      </c>
      <c r="D190">
        <v>0.58596394830519105</v>
      </c>
      <c r="E190">
        <v>0.34109060496098598</v>
      </c>
      <c r="F190">
        <f t="shared" si="6"/>
        <v>-1.934321521595006E-3</v>
      </c>
      <c r="G190" s="2">
        <f t="shared" si="7"/>
        <v>1.0969518639581365E-5</v>
      </c>
      <c r="M190">
        <v>5.4740844982869801</v>
      </c>
      <c r="N190">
        <v>5.4741503716214703</v>
      </c>
      <c r="O190" s="1">
        <v>1.1541587161584701E-7</v>
      </c>
      <c r="P190" s="2">
        <f t="shared" si="8"/>
        <v>3.759704914163866E-2</v>
      </c>
    </row>
    <row r="191" spans="1:16" x14ac:dyDescent="0.25">
      <c r="B191">
        <v>190</v>
      </c>
      <c r="C191">
        <v>0.65104682473398601</v>
      </c>
      <c r="D191">
        <v>0.65383550799869605</v>
      </c>
      <c r="E191">
        <v>0.42386196799620501</v>
      </c>
      <c r="F191">
        <f t="shared" si="6"/>
        <v>-2.7886832647100457E-3</v>
      </c>
      <c r="G191" s="2">
        <f t="shared" si="7"/>
        <v>1.8347374707002509E-5</v>
      </c>
      <c r="M191">
        <v>1.0005549636670199</v>
      </c>
      <c r="N191">
        <v>1.0005201957752401</v>
      </c>
      <c r="O191" s="1">
        <v>1.34603434583814E-8</v>
      </c>
      <c r="P191" s="2">
        <f t="shared" si="8"/>
        <v>8.9805011480575028E-2</v>
      </c>
    </row>
    <row r="192" spans="1:16" x14ac:dyDescent="0.25">
      <c r="B192">
        <v>191</v>
      </c>
      <c r="C192">
        <v>0.32416735852944401</v>
      </c>
      <c r="D192">
        <v>0.32302728663628399</v>
      </c>
      <c r="E192">
        <v>0.10508447633595699</v>
      </c>
      <c r="F192">
        <f t="shared" si="6"/>
        <v>1.1400718931600107E-3</v>
      </c>
      <c r="G192" s="2">
        <f t="shared" si="7"/>
        <v>1.2368752901409355E-5</v>
      </c>
      <c r="M192">
        <v>5.4726718193338</v>
      </c>
      <c r="N192">
        <v>5.4722808393827904</v>
      </c>
      <c r="O192" s="1">
        <v>1.0977920234114501E-7</v>
      </c>
      <c r="P192" s="2">
        <f t="shared" si="8"/>
        <v>1.3924798033820858</v>
      </c>
    </row>
    <row r="193" spans="2:16" x14ac:dyDescent="0.25">
      <c r="B193">
        <v>192</v>
      </c>
      <c r="C193">
        <v>0.25188983851827601</v>
      </c>
      <c r="D193">
        <v>0.25048948258610199</v>
      </c>
      <c r="E193">
        <v>6.3448490748763006E-2</v>
      </c>
      <c r="F193">
        <f t="shared" si="6"/>
        <v>1.4003559321740244E-3</v>
      </c>
      <c r="G193" s="2">
        <f t="shared" si="7"/>
        <v>3.090690911057191E-5</v>
      </c>
      <c r="M193">
        <v>2.5561421885029501</v>
      </c>
      <c r="N193">
        <v>2.5558221663945599</v>
      </c>
      <c r="O193" s="1">
        <v>2.6844729205847799E-8</v>
      </c>
      <c r="P193" s="2">
        <f t="shared" si="8"/>
        <v>3.8150561725963996</v>
      </c>
    </row>
    <row r="194" spans="2:16" x14ac:dyDescent="0.25">
      <c r="B194">
        <v>193</v>
      </c>
      <c r="C194">
        <v>0.23143405684208301</v>
      </c>
      <c r="D194">
        <v>0.22947643909528201</v>
      </c>
      <c r="E194">
        <v>5.3561722666384599E-2</v>
      </c>
      <c r="F194">
        <f t="shared" si="6"/>
        <v>1.9576177468010048E-3</v>
      </c>
      <c r="G194" s="2">
        <f t="shared" si="7"/>
        <v>7.154861815143557E-5</v>
      </c>
      <c r="M194">
        <v>5.4747832348382302</v>
      </c>
      <c r="N194">
        <v>5.4742397977689503</v>
      </c>
      <c r="O194" s="1">
        <v>1.3507708672728499E-7</v>
      </c>
      <c r="P194" s="2">
        <f t="shared" si="8"/>
        <v>2.1863356356189985</v>
      </c>
    </row>
    <row r="195" spans="2:16" x14ac:dyDescent="0.25">
      <c r="B195">
        <v>194</v>
      </c>
      <c r="C195">
        <v>0.24835064988618399</v>
      </c>
      <c r="D195">
        <v>0.24606440502254701</v>
      </c>
      <c r="E195">
        <v>6.16780452988899E-2</v>
      </c>
      <c r="F195">
        <f t="shared" ref="F195:F258" si="9">C195-D195</f>
        <v>2.2862448636369881E-3</v>
      </c>
      <c r="G195" s="2">
        <f t="shared" ref="G195:G258" si="10">F195^2/E195</f>
        <v>8.4745156095285422E-5</v>
      </c>
      <c r="M195">
        <v>1.0005225005878899</v>
      </c>
      <c r="N195">
        <v>1.00047647418977</v>
      </c>
      <c r="O195" s="1">
        <v>1.38920067603418E-8</v>
      </c>
      <c r="P195" s="2">
        <f t="shared" ref="P195:P258" si="11">(M195-N195)^2/O195</f>
        <v>0.15249267873518246</v>
      </c>
    </row>
    <row r="196" spans="2:16" x14ac:dyDescent="0.25">
      <c r="B196">
        <v>195</v>
      </c>
      <c r="C196">
        <v>0.24821732984535499</v>
      </c>
      <c r="D196">
        <v>0.246112251349274</v>
      </c>
      <c r="E196">
        <v>6.1611842835557699E-2</v>
      </c>
      <c r="F196">
        <f t="shared" si="9"/>
        <v>2.1050784960809921E-3</v>
      </c>
      <c r="G196" s="2">
        <f t="shared" si="10"/>
        <v>7.192376125625589E-5</v>
      </c>
      <c r="M196">
        <v>5.4720589370145296</v>
      </c>
      <c r="N196">
        <v>5.4720823952233602</v>
      </c>
      <c r="O196" s="1">
        <v>1.9975610209267801E-7</v>
      </c>
      <c r="P196" s="2">
        <f t="shared" si="11"/>
        <v>2.7547972541130373E-3</v>
      </c>
    </row>
    <row r="197" spans="2:16" x14ac:dyDescent="0.25">
      <c r="B197">
        <v>196</v>
      </c>
      <c r="C197">
        <v>0.460682857855574</v>
      </c>
      <c r="D197">
        <v>0.45973811299879402</v>
      </c>
      <c r="E197">
        <v>0.21222869552197901</v>
      </c>
      <c r="F197">
        <f t="shared" si="9"/>
        <v>9.4474485677997766E-4</v>
      </c>
      <c r="G197" s="2">
        <f t="shared" si="10"/>
        <v>4.2055709866048074E-6</v>
      </c>
      <c r="M197">
        <v>2.5556423452535801</v>
      </c>
      <c r="N197">
        <v>2.5557635212760199</v>
      </c>
      <c r="O197" s="1">
        <v>4.9760247437243502E-8</v>
      </c>
      <c r="P197" s="2">
        <f t="shared" si="11"/>
        <v>0.29508752810851674</v>
      </c>
    </row>
    <row r="198" spans="2:16" x14ac:dyDescent="0.25">
      <c r="B198">
        <v>197</v>
      </c>
      <c r="C198">
        <v>0.460746025902665</v>
      </c>
      <c r="D198">
        <v>0.45960210695273102</v>
      </c>
      <c r="E198">
        <v>0.21228690038509901</v>
      </c>
      <c r="F198">
        <f t="shared" si="9"/>
        <v>1.1439189499339864E-3</v>
      </c>
      <c r="G198" s="2">
        <f t="shared" si="10"/>
        <v>6.1640664668629962E-6</v>
      </c>
      <c r="M198">
        <v>5.4740035770238604</v>
      </c>
      <c r="N198">
        <v>5.4741691955060103</v>
      </c>
      <c r="O198" s="1">
        <v>2.08432683652154E-7</v>
      </c>
      <c r="P198" s="2">
        <f t="shared" si="11"/>
        <v>0.1315987548066887</v>
      </c>
    </row>
    <row r="199" spans="2:16" x14ac:dyDescent="0.25">
      <c r="B199">
        <v>198</v>
      </c>
      <c r="C199">
        <v>0.54180270551690601</v>
      </c>
      <c r="D199">
        <v>0.54303136326205703</v>
      </c>
      <c r="E199">
        <v>0.29355017170543901</v>
      </c>
      <c r="F199">
        <f t="shared" si="9"/>
        <v>-1.2286577451510183E-3</v>
      </c>
      <c r="G199" s="2">
        <f t="shared" si="10"/>
        <v>5.1425616478071174E-6</v>
      </c>
      <c r="M199">
        <v>1.0005346544109901</v>
      </c>
      <c r="N199">
        <v>1.0005109923195901</v>
      </c>
      <c r="O199" s="1">
        <v>7.7331475728851101E-9</v>
      </c>
      <c r="P199" s="2">
        <f t="shared" si="11"/>
        <v>7.2401898986996616E-2</v>
      </c>
    </row>
    <row r="200" spans="2:16" x14ac:dyDescent="0.25">
      <c r="B200">
        <v>199</v>
      </c>
      <c r="C200">
        <v>0.43333993735309501</v>
      </c>
      <c r="D200">
        <v>0.43339045646601698</v>
      </c>
      <c r="E200">
        <v>0.18778350130518401</v>
      </c>
      <c r="F200">
        <f t="shared" si="9"/>
        <v>-5.0519112921976195E-5</v>
      </c>
      <c r="G200" s="2">
        <f t="shared" si="10"/>
        <v>1.3591080966562666E-8</v>
      </c>
      <c r="M200">
        <v>5.47256256714366</v>
      </c>
      <c r="N200">
        <v>5.4726981753066699</v>
      </c>
      <c r="O200" s="1">
        <v>1.93502958404881E-7</v>
      </c>
      <c r="P200" s="2">
        <f t="shared" si="11"/>
        <v>9.5035104509641463E-2</v>
      </c>
    </row>
    <row r="201" spans="2:16" x14ac:dyDescent="0.25">
      <c r="B201">
        <v>200</v>
      </c>
      <c r="C201">
        <v>0.37304787113129401</v>
      </c>
      <c r="D201">
        <v>0.37249375796108303</v>
      </c>
      <c r="E201">
        <v>0.13916471415559001</v>
      </c>
      <c r="F201">
        <f t="shared" si="9"/>
        <v>5.5411317021097917E-4</v>
      </c>
      <c r="G201" s="2">
        <f t="shared" si="10"/>
        <v>2.206316502457518E-6</v>
      </c>
      <c r="M201">
        <v>2.5558398710808001</v>
      </c>
      <c r="N201">
        <v>2.5559454968522801</v>
      </c>
      <c r="O201" s="1">
        <v>3.6088444821891998E-8</v>
      </c>
      <c r="P201" s="2">
        <f t="shared" si="11"/>
        <v>0.30915168707893242</v>
      </c>
    </row>
    <row r="202" spans="2:16" x14ac:dyDescent="0.25">
      <c r="B202">
        <v>201</v>
      </c>
      <c r="C202">
        <v>0.411498894461576</v>
      </c>
      <c r="D202">
        <v>0.411437618224267</v>
      </c>
      <c r="E202">
        <v>0.169331340143099</v>
      </c>
      <c r="F202">
        <f t="shared" si="9"/>
        <v>6.1276237309004777E-5</v>
      </c>
      <c r="G202" s="2">
        <f t="shared" si="10"/>
        <v>2.2174142456891742E-8</v>
      </c>
      <c r="M202">
        <v>5.4740522247820103</v>
      </c>
      <c r="N202">
        <v>5.4743882717404002</v>
      </c>
      <c r="O202" s="1">
        <v>2.17915728248548E-7</v>
      </c>
      <c r="P202" s="2">
        <f t="shared" si="11"/>
        <v>0.51821664801697997</v>
      </c>
    </row>
    <row r="203" spans="2:16" x14ac:dyDescent="0.25">
      <c r="B203">
        <v>202</v>
      </c>
      <c r="C203">
        <v>0.2478240484</v>
      </c>
      <c r="D203">
        <v>0.24605738762211801</v>
      </c>
      <c r="E203">
        <v>6.1416758965365498E-2</v>
      </c>
      <c r="F203">
        <f t="shared" si="9"/>
        <v>1.7666607778819843E-3</v>
      </c>
      <c r="G203" s="2">
        <f t="shared" si="10"/>
        <v>5.081821894682918E-5</v>
      </c>
      <c r="M203">
        <v>1.0005213050781701</v>
      </c>
      <c r="N203">
        <v>1.0004038891656499</v>
      </c>
      <c r="O203" s="1">
        <v>1.01002827241441E-8</v>
      </c>
      <c r="P203" s="2">
        <f t="shared" si="11"/>
        <v>1.3649614460769293</v>
      </c>
    </row>
    <row r="204" spans="2:16" x14ac:dyDescent="0.25">
      <c r="B204">
        <v>203</v>
      </c>
      <c r="C204">
        <v>0.24765472193999999</v>
      </c>
      <c r="D204">
        <v>0.24612037528354699</v>
      </c>
      <c r="E204">
        <v>6.1332861299178698E-2</v>
      </c>
      <c r="F204">
        <f t="shared" si="9"/>
        <v>1.5343466564529951E-3</v>
      </c>
      <c r="G204" s="2">
        <f t="shared" si="10"/>
        <v>3.8384311644694301E-5</v>
      </c>
      <c r="M204">
        <v>5.4731797092015304</v>
      </c>
      <c r="N204">
        <v>5.47358784362474</v>
      </c>
      <c r="O204" s="1">
        <v>3.2922662761294601E-7</v>
      </c>
      <c r="P204" s="2">
        <f t="shared" si="11"/>
        <v>0.50595454145493968</v>
      </c>
    </row>
    <row r="205" spans="2:16" x14ac:dyDescent="0.25">
      <c r="B205">
        <v>204</v>
      </c>
      <c r="C205">
        <v>0.45918124346</v>
      </c>
      <c r="D205">
        <v>0.45960778628383198</v>
      </c>
      <c r="E205">
        <v>0.210847414345472</v>
      </c>
      <c r="F205">
        <f t="shared" si="9"/>
        <v>-4.2654282383197684E-4</v>
      </c>
      <c r="G205" s="2">
        <f t="shared" si="10"/>
        <v>8.6289310745092383E-7</v>
      </c>
      <c r="M205">
        <v>2.5556794651563801</v>
      </c>
      <c r="N205">
        <v>2.5562083987090798</v>
      </c>
      <c r="O205" s="1">
        <v>7.9501478377551296E-8</v>
      </c>
      <c r="P205" s="2">
        <f t="shared" si="11"/>
        <v>3.5190629014830521</v>
      </c>
    </row>
    <row r="206" spans="2:16" x14ac:dyDescent="0.25">
      <c r="B206">
        <v>205</v>
      </c>
      <c r="C206">
        <v>0.45934101132999999</v>
      </c>
      <c r="D206">
        <v>0.459632638141108</v>
      </c>
      <c r="E206">
        <v>0.210994164689667</v>
      </c>
      <c r="F206">
        <f t="shared" si="9"/>
        <v>-2.9162681110800337E-4</v>
      </c>
      <c r="G206" s="2">
        <f t="shared" si="10"/>
        <v>4.0307369202418535E-7</v>
      </c>
      <c r="M206">
        <v>5.4741347017254496</v>
      </c>
      <c r="N206">
        <v>5.4747047612109503</v>
      </c>
      <c r="O206" s="1">
        <v>3.0782143070695298E-7</v>
      </c>
      <c r="P206" s="2">
        <f t="shared" si="11"/>
        <v>1.0557023799902387</v>
      </c>
    </row>
    <row r="207" spans="2:16" x14ac:dyDescent="0.25">
      <c r="B207">
        <v>206</v>
      </c>
      <c r="C207">
        <v>6.0508057319079098</v>
      </c>
      <c r="D207">
        <v>6.3525642668855102</v>
      </c>
      <c r="E207">
        <v>36.612250005289603</v>
      </c>
      <c r="F207">
        <f t="shared" si="9"/>
        <v>-0.30175853497760041</v>
      </c>
      <c r="G207" s="2">
        <f t="shared" si="10"/>
        <v>2.4870968984061878E-3</v>
      </c>
      <c r="M207">
        <v>1.00006546337103</v>
      </c>
      <c r="N207">
        <v>1.00024918992322</v>
      </c>
      <c r="O207" s="1">
        <v>1.39129334719096E-8</v>
      </c>
      <c r="P207" s="2">
        <f t="shared" si="11"/>
        <v>2.4261918629727925</v>
      </c>
    </row>
    <row r="208" spans="2:16" x14ac:dyDescent="0.25">
      <c r="B208">
        <v>207</v>
      </c>
      <c r="C208">
        <v>6.0381627609370296</v>
      </c>
      <c r="D208">
        <v>6.3358585387073996</v>
      </c>
      <c r="E208">
        <v>36.459409527566699</v>
      </c>
      <c r="F208">
        <f t="shared" si="9"/>
        <v>-0.29769577777036993</v>
      </c>
      <c r="G208" s="2">
        <f t="shared" si="10"/>
        <v>2.4307243932543241E-3</v>
      </c>
      <c r="M208">
        <v>5.4754314665652997</v>
      </c>
      <c r="N208">
        <v>5.4753526181370198</v>
      </c>
      <c r="O208" s="1">
        <v>3.4297134134989401E-7</v>
      </c>
      <c r="P208" s="2">
        <f t="shared" si="11"/>
        <v>1.8127096619026915E-2</v>
      </c>
    </row>
    <row r="209" spans="2:16" x14ac:dyDescent="0.25">
      <c r="B209">
        <v>208</v>
      </c>
      <c r="C209">
        <v>1.0520577928274299</v>
      </c>
      <c r="D209">
        <v>1.0612938109980401</v>
      </c>
      <c r="E209">
        <v>1.10682559944891</v>
      </c>
      <c r="F209">
        <f t="shared" si="9"/>
        <v>-9.2360181706101496E-3</v>
      </c>
      <c r="G209" s="2">
        <f t="shared" si="10"/>
        <v>7.7070887852895566E-5</v>
      </c>
      <c r="M209">
        <v>2.5565649252195302</v>
      </c>
      <c r="N209">
        <v>2.5567298527999101</v>
      </c>
      <c r="O209" s="1">
        <v>8.9284727813357297E-8</v>
      </c>
      <c r="P209" s="2">
        <f t="shared" si="11"/>
        <v>0.30465576180987608</v>
      </c>
    </row>
    <row r="210" spans="2:16" x14ac:dyDescent="0.25">
      <c r="B210">
        <v>209</v>
      </c>
      <c r="C210">
        <v>0.63436941887651099</v>
      </c>
      <c r="D210">
        <v>0.63715885202838196</v>
      </c>
      <c r="E210">
        <v>0.40242455960572199</v>
      </c>
      <c r="F210">
        <f t="shared" si="9"/>
        <v>-2.7894331518709681E-3</v>
      </c>
      <c r="G210" s="2">
        <f t="shared" si="10"/>
        <v>1.9335145241583229E-5</v>
      </c>
      <c r="M210">
        <v>5.4754652133411099</v>
      </c>
      <c r="N210">
        <v>5.4753324617665999</v>
      </c>
      <c r="O210" s="1">
        <v>3.1364111573255699E-7</v>
      </c>
      <c r="P210" s="2">
        <f t="shared" si="11"/>
        <v>5.6188361955408911E-2</v>
      </c>
    </row>
    <row r="211" spans="2:16" x14ac:dyDescent="0.25">
      <c r="B211">
        <v>210</v>
      </c>
      <c r="C211">
        <v>1.6596577592569</v>
      </c>
      <c r="D211">
        <v>1.68318516882958</v>
      </c>
      <c r="E211">
        <v>2.7544638778616202</v>
      </c>
      <c r="F211">
        <f t="shared" si="9"/>
        <v>-2.3527409572680069E-2</v>
      </c>
      <c r="G211" s="2">
        <f t="shared" si="10"/>
        <v>2.0096070442222246E-4</v>
      </c>
      <c r="M211">
        <v>0.99987962500341798</v>
      </c>
      <c r="N211">
        <v>0.99994246871418702</v>
      </c>
      <c r="O211" s="1">
        <v>1.2032628779813301E-8</v>
      </c>
      <c r="P211" s="2">
        <f t="shared" si="11"/>
        <v>0.32821855103247499</v>
      </c>
    </row>
    <row r="212" spans="2:16" x14ac:dyDescent="0.25">
      <c r="B212">
        <v>211</v>
      </c>
      <c r="C212">
        <v>1.2815883161536501</v>
      </c>
      <c r="D212">
        <v>1.2953584644886</v>
      </c>
      <c r="E212">
        <v>1.6424686121015499</v>
      </c>
      <c r="F212">
        <f t="shared" si="9"/>
        <v>-1.3770148334949939E-2</v>
      </c>
      <c r="G212" s="2">
        <f t="shared" si="10"/>
        <v>1.154463371594714E-4</v>
      </c>
      <c r="M212">
        <v>5.4735220734578798</v>
      </c>
      <c r="N212">
        <v>5.4740137680151602</v>
      </c>
      <c r="O212" s="1">
        <v>2.5557322355252398E-7</v>
      </c>
      <c r="P212" s="2">
        <f t="shared" si="11"/>
        <v>0.94596583436471993</v>
      </c>
    </row>
    <row r="213" spans="2:16" x14ac:dyDescent="0.25">
      <c r="B213">
        <v>212</v>
      </c>
      <c r="C213">
        <v>1.2162465777773801</v>
      </c>
      <c r="D213">
        <v>1.2290333135426299</v>
      </c>
      <c r="E213">
        <v>1.4792557379551801</v>
      </c>
      <c r="F213">
        <f t="shared" si="9"/>
        <v>-1.2786735765249801E-2</v>
      </c>
      <c r="G213" s="2">
        <f t="shared" si="10"/>
        <v>1.1052896895051444E-4</v>
      </c>
      <c r="M213">
        <v>2.5562999381069398</v>
      </c>
      <c r="N213">
        <v>2.5563342561422902</v>
      </c>
      <c r="O213" s="1">
        <v>5.1611602018742303E-8</v>
      </c>
      <c r="P213" s="2">
        <f t="shared" si="11"/>
        <v>2.2819046575639188E-2</v>
      </c>
    </row>
    <row r="214" spans="2:16" x14ac:dyDescent="0.25">
      <c r="B214">
        <v>213</v>
      </c>
      <c r="C214">
        <v>1.14225944634106</v>
      </c>
      <c r="D214">
        <v>1.15317217867219</v>
      </c>
      <c r="E214">
        <v>1.3047566427554</v>
      </c>
      <c r="F214">
        <f t="shared" si="9"/>
        <v>-1.0912732331129993E-2</v>
      </c>
      <c r="G214" s="2">
        <f t="shared" si="10"/>
        <v>9.1271983624010544E-5</v>
      </c>
      <c r="M214">
        <v>5.4742877233885698</v>
      </c>
      <c r="N214">
        <v>5.47485626727644</v>
      </c>
      <c r="O214" s="1">
        <v>1.7341684354859199E-7</v>
      </c>
      <c r="P214" s="2">
        <f t="shared" si="11"/>
        <v>1.86396053474464</v>
      </c>
    </row>
    <row r="215" spans="2:16" x14ac:dyDescent="0.25">
      <c r="B215">
        <v>214</v>
      </c>
      <c r="C215">
        <v>1.2789901640583701</v>
      </c>
      <c r="D215">
        <v>1.2934229209085699</v>
      </c>
      <c r="E215">
        <v>1.63581583975807</v>
      </c>
      <c r="F215">
        <f t="shared" si="9"/>
        <v>-1.4432756850199846E-2</v>
      </c>
      <c r="G215" s="2">
        <f t="shared" si="10"/>
        <v>1.2733980515055896E-4</v>
      </c>
      <c r="M215">
        <v>1.00022595143477</v>
      </c>
      <c r="N215">
        <v>1.00017514577841</v>
      </c>
      <c r="O215" s="1">
        <v>2.08757881073084E-8</v>
      </c>
      <c r="P215" s="2">
        <f t="shared" si="11"/>
        <v>0.12364633636332155</v>
      </c>
    </row>
    <row r="216" spans="2:16" x14ac:dyDescent="0.25">
      <c r="B216">
        <v>215</v>
      </c>
      <c r="C216">
        <v>0.64273250093350898</v>
      </c>
      <c r="D216">
        <v>0.64505767213466703</v>
      </c>
      <c r="E216">
        <v>0.41310506775624301</v>
      </c>
      <c r="F216">
        <f t="shared" si="9"/>
        <v>-2.3251712011580494E-3</v>
      </c>
      <c r="G216" s="2">
        <f t="shared" si="10"/>
        <v>1.3087278604591901E-5</v>
      </c>
      <c r="M216">
        <v>5.4744825643466504</v>
      </c>
      <c r="N216">
        <v>5.4751188539964</v>
      </c>
      <c r="O216" s="1">
        <v>2.12166503197306E-7</v>
      </c>
      <c r="P216" s="2">
        <f t="shared" si="11"/>
        <v>1.9082395773001029</v>
      </c>
    </row>
    <row r="217" spans="2:16" x14ac:dyDescent="0.25">
      <c r="B217">
        <v>216</v>
      </c>
      <c r="C217">
        <v>0.63041716828051497</v>
      </c>
      <c r="D217">
        <v>0.63257098267270895</v>
      </c>
      <c r="E217">
        <v>0.39742580606282402</v>
      </c>
      <c r="F217">
        <f t="shared" si="9"/>
        <v>-2.1538143921939756E-3</v>
      </c>
      <c r="G217" s="2">
        <f t="shared" si="10"/>
        <v>1.1672408699319836E-5</v>
      </c>
      <c r="M217">
        <v>2.5559717221920799</v>
      </c>
      <c r="N217">
        <v>2.5566607839149098</v>
      </c>
      <c r="O217" s="1">
        <v>7.3576420478622199E-8</v>
      </c>
      <c r="P217" s="2">
        <f t="shared" si="11"/>
        <v>6.453236713347084</v>
      </c>
    </row>
    <row r="218" spans="2:16" x14ac:dyDescent="0.25">
      <c r="B218">
        <v>217</v>
      </c>
      <c r="C218">
        <v>0.64283150701653902</v>
      </c>
      <c r="D218">
        <v>0.645194142579677</v>
      </c>
      <c r="E218">
        <v>0.41323234641315398</v>
      </c>
      <c r="F218">
        <f t="shared" si="9"/>
        <v>-2.3626355631379825E-3</v>
      </c>
      <c r="G218" s="2">
        <f t="shared" si="10"/>
        <v>1.3508252325008806E-5</v>
      </c>
      <c r="M218">
        <v>5.4743859763620897</v>
      </c>
      <c r="N218">
        <v>5.4752493232920099</v>
      </c>
      <c r="O218" s="1">
        <v>1.96524180663577E-7</v>
      </c>
      <c r="P218" s="2">
        <f t="shared" si="11"/>
        <v>3.7927542498120164</v>
      </c>
    </row>
    <row r="219" spans="2:16" x14ac:dyDescent="0.25">
      <c r="B219">
        <v>218</v>
      </c>
      <c r="C219">
        <v>0.63037337475397204</v>
      </c>
      <c r="D219">
        <v>0.63260988583723299</v>
      </c>
      <c r="E219">
        <v>0.39737059159871102</v>
      </c>
      <c r="F219">
        <f t="shared" si="9"/>
        <v>-2.2365110832609503E-3</v>
      </c>
      <c r="G219" s="2">
        <f t="shared" si="10"/>
        <v>1.2587700074695951E-5</v>
      </c>
      <c r="M219">
        <v>1.0001522254084401</v>
      </c>
      <c r="N219">
        <v>0.99998308628717403</v>
      </c>
      <c r="O219" s="1">
        <v>2.0185688436838299E-8</v>
      </c>
      <c r="P219" s="2">
        <f t="shared" si="11"/>
        <v>1.4172438275842261</v>
      </c>
    </row>
    <row r="220" spans="2:16" x14ac:dyDescent="0.25">
      <c r="B220">
        <v>219</v>
      </c>
      <c r="C220">
        <v>0.62999473021589003</v>
      </c>
      <c r="D220">
        <v>0.63259413227901795</v>
      </c>
      <c r="E220">
        <v>0.39689336009979098</v>
      </c>
      <c r="F220">
        <f t="shared" si="9"/>
        <v>-2.5994020631279202E-3</v>
      </c>
      <c r="G220" s="2">
        <f t="shared" si="10"/>
        <v>1.7024449802069758E-5</v>
      </c>
      <c r="M220">
        <v>5.4742985212508097</v>
      </c>
      <c r="N220">
        <v>5.4749959603621301</v>
      </c>
      <c r="O220" s="1">
        <v>4.0568539845654198E-7</v>
      </c>
      <c r="P220" s="2">
        <f t="shared" si="11"/>
        <v>1.1990111447194356</v>
      </c>
    </row>
    <row r="221" spans="2:16" x14ac:dyDescent="0.25">
      <c r="B221">
        <v>220</v>
      </c>
      <c r="C221">
        <v>0.60911896087800699</v>
      </c>
      <c r="D221">
        <v>0.60915337575917405</v>
      </c>
      <c r="E221">
        <v>0.37102590850110301</v>
      </c>
      <c r="F221">
        <f t="shared" si="9"/>
        <v>-3.4414881167066369E-5</v>
      </c>
      <c r="G221" s="2">
        <f t="shared" si="10"/>
        <v>3.1921869028717128E-9</v>
      </c>
      <c r="M221">
        <v>2.5563161623480601</v>
      </c>
      <c r="N221">
        <v>2.5566244728374201</v>
      </c>
      <c r="O221" s="1">
        <v>1.26999621718889E-7</v>
      </c>
      <c r="P221" s="2">
        <f t="shared" si="11"/>
        <v>0.7484696140260203</v>
      </c>
    </row>
    <row r="222" spans="2:16" x14ac:dyDescent="0.25">
      <c r="B222">
        <v>221</v>
      </c>
      <c r="C222">
        <v>0.61773566981639705</v>
      </c>
      <c r="D222">
        <v>0.61787341379545102</v>
      </c>
      <c r="E222">
        <v>0.381597357763513</v>
      </c>
      <c r="F222">
        <f t="shared" si="9"/>
        <v>-1.3774397905397251E-4</v>
      </c>
      <c r="G222" s="2">
        <f t="shared" si="10"/>
        <v>4.9721004036352861E-8</v>
      </c>
      <c r="M222">
        <v>5.4743413058475099</v>
      </c>
      <c r="N222">
        <v>5.4752056151180701</v>
      </c>
      <c r="O222" s="1">
        <v>2.6736286205566101E-7</v>
      </c>
      <c r="P222" s="2">
        <f t="shared" si="11"/>
        <v>2.794069862331396</v>
      </c>
    </row>
    <row r="223" spans="2:16" x14ac:dyDescent="0.25">
      <c r="B223">
        <v>222</v>
      </c>
      <c r="C223">
        <v>0.634529101710258</v>
      </c>
      <c r="D223">
        <v>0.63462244973870696</v>
      </c>
      <c r="E223">
        <v>0.40262718091722699</v>
      </c>
      <c r="F223">
        <f t="shared" si="9"/>
        <v>-9.3348028448958509E-5</v>
      </c>
      <c r="G223" s="2">
        <f t="shared" si="10"/>
        <v>2.1642489201688997E-8</v>
      </c>
      <c r="M223">
        <v>1.0003412646041501</v>
      </c>
      <c r="N223">
        <v>1.00000444096721</v>
      </c>
      <c r="O223" s="1">
        <v>1.7905243311310299E-8</v>
      </c>
      <c r="P223" s="2">
        <f t="shared" si="11"/>
        <v>6.3361419015116764</v>
      </c>
    </row>
    <row r="224" spans="2:16" x14ac:dyDescent="0.25">
      <c r="B224">
        <v>223</v>
      </c>
      <c r="C224">
        <v>0.56916266810472904</v>
      </c>
      <c r="D224">
        <v>0.56795377966845095</v>
      </c>
      <c r="E224">
        <v>0.323946142764094</v>
      </c>
      <c r="F224">
        <f t="shared" si="9"/>
        <v>1.2088884362780883E-3</v>
      </c>
      <c r="G224" s="2">
        <f t="shared" si="10"/>
        <v>4.5112784455381496E-6</v>
      </c>
      <c r="M224">
        <v>0.579797664122917</v>
      </c>
      <c r="N224">
        <v>0.57989073339785902</v>
      </c>
      <c r="O224" s="1">
        <v>1.49987165674807E-9</v>
      </c>
      <c r="P224" s="2">
        <f t="shared" si="11"/>
        <v>5.775087421154768</v>
      </c>
    </row>
    <row r="225" spans="1:16" x14ac:dyDescent="0.25">
      <c r="B225">
        <v>224</v>
      </c>
      <c r="C225">
        <v>0.56914548118153097</v>
      </c>
      <c r="D225">
        <v>0.56794081147686104</v>
      </c>
      <c r="E225">
        <v>0.32392657874935599</v>
      </c>
      <c r="F225">
        <f t="shared" si="9"/>
        <v>1.2046697046699251E-3</v>
      </c>
      <c r="G225" s="2">
        <f t="shared" si="10"/>
        <v>4.480117386330435E-6</v>
      </c>
      <c r="M225">
        <v>0.99266151601865205</v>
      </c>
      <c r="N225">
        <v>0.99278475743763905</v>
      </c>
      <c r="O225" s="1">
        <v>2.4042663026399702E-9</v>
      </c>
      <c r="P225" s="2">
        <f t="shared" si="11"/>
        <v>6.3172899513060505</v>
      </c>
    </row>
    <row r="226" spans="1:16" x14ac:dyDescent="0.25">
      <c r="B226">
        <v>225</v>
      </c>
      <c r="C226">
        <v>0.83882575440497897</v>
      </c>
      <c r="D226">
        <v>0.84082439379637997</v>
      </c>
      <c r="E226">
        <v>0.70362864625308197</v>
      </c>
      <c r="F226">
        <f t="shared" si="9"/>
        <v>-1.9986393914009914E-3</v>
      </c>
      <c r="G226" s="2">
        <f t="shared" si="10"/>
        <v>5.6770846925168504E-6</v>
      </c>
      <c r="M226">
        <v>0.57986446862928298</v>
      </c>
      <c r="N226">
        <v>0.57984818208354605</v>
      </c>
      <c r="O226" s="1">
        <v>1.3950908911286799E-9</v>
      </c>
      <c r="P226" s="2">
        <f t="shared" si="11"/>
        <v>0.19013210804249697</v>
      </c>
    </row>
    <row r="227" spans="1:16" x14ac:dyDescent="0.25">
      <c r="B227">
        <v>226</v>
      </c>
      <c r="C227">
        <v>0.60929667403885501</v>
      </c>
      <c r="D227">
        <v>0.60967250514728399</v>
      </c>
      <c r="E227">
        <v>0.37124243699481102</v>
      </c>
      <c r="F227">
        <f t="shared" si="9"/>
        <v>-3.7583110842898115E-4</v>
      </c>
      <c r="G227" s="2">
        <f t="shared" si="10"/>
        <v>3.8047649726243683E-7</v>
      </c>
      <c r="M227">
        <v>0.99287366295566204</v>
      </c>
      <c r="N227">
        <v>0.99283383903713796</v>
      </c>
      <c r="O227" s="1">
        <v>4.0797543739981799E-9</v>
      </c>
      <c r="P227" s="2">
        <f t="shared" si="11"/>
        <v>0.38873528679097608</v>
      </c>
    </row>
    <row r="228" spans="1:16" x14ac:dyDescent="0.25">
      <c r="B228">
        <v>227</v>
      </c>
      <c r="C228">
        <v>0.779308600732187</v>
      </c>
      <c r="D228">
        <v>0.78031882943158504</v>
      </c>
      <c r="E228">
        <v>0.607321895175159</v>
      </c>
      <c r="F228">
        <f t="shared" si="9"/>
        <v>-1.0102286993980414E-3</v>
      </c>
      <c r="G228" s="2">
        <f t="shared" si="10"/>
        <v>1.6804301527662128E-6</v>
      </c>
      <c r="M228">
        <v>0.57988449963878996</v>
      </c>
      <c r="N228">
        <v>0.57985347608105398</v>
      </c>
      <c r="O228" s="1">
        <v>1.8251873357314101E-9</v>
      </c>
      <c r="P228" s="2">
        <f t="shared" si="11"/>
        <v>0.52732183472687544</v>
      </c>
    </row>
    <row r="229" spans="1:16" x14ac:dyDescent="0.25">
      <c r="B229">
        <v>228</v>
      </c>
      <c r="C229">
        <v>0.68318975308843799</v>
      </c>
      <c r="D229">
        <v>0.68399449335160301</v>
      </c>
      <c r="E229">
        <v>0.46674823872504101</v>
      </c>
      <c r="F229">
        <f t="shared" si="9"/>
        <v>-8.0474026316501579E-4</v>
      </c>
      <c r="G229" s="2">
        <f t="shared" si="10"/>
        <v>1.3874865236297137E-6</v>
      </c>
      <c r="M229">
        <v>0.99287567840428703</v>
      </c>
      <c r="N229">
        <v>0.99282773224957599</v>
      </c>
      <c r="O229" s="1">
        <v>4.0013921530340197E-9</v>
      </c>
      <c r="P229" s="2">
        <f t="shared" si="11"/>
        <v>0.57450848696051215</v>
      </c>
    </row>
    <row r="230" spans="1:16" x14ac:dyDescent="0.25">
      <c r="B230">
        <v>229</v>
      </c>
      <c r="C230">
        <v>0.56810153698999999</v>
      </c>
      <c r="D230">
        <v>0.56788384762390098</v>
      </c>
      <c r="E230">
        <v>0.32273935633040002</v>
      </c>
      <c r="F230">
        <f t="shared" si="9"/>
        <v>2.1768936609900535E-4</v>
      </c>
      <c r="G230" s="2">
        <f t="shared" si="10"/>
        <v>1.4683260402884763E-7</v>
      </c>
      <c r="M230">
        <v>0.57988775629174005</v>
      </c>
      <c r="N230">
        <v>0.57985320059290701</v>
      </c>
      <c r="O230" s="1">
        <v>2.1739777882648098E-9</v>
      </c>
      <c r="P230" s="2">
        <f t="shared" si="11"/>
        <v>0.54926794941762214</v>
      </c>
    </row>
    <row r="231" spans="1:16" x14ac:dyDescent="0.25">
      <c r="B231">
        <v>230</v>
      </c>
      <c r="C231">
        <v>0.56798038462</v>
      </c>
      <c r="D231">
        <v>0.56783175905957595</v>
      </c>
      <c r="E231">
        <v>0.32260171731308301</v>
      </c>
      <c r="F231">
        <f t="shared" si="9"/>
        <v>1.4862556042405384E-4</v>
      </c>
      <c r="G231" s="2">
        <f t="shared" si="10"/>
        <v>6.8473154437446152E-8</v>
      </c>
      <c r="M231">
        <v>0.99286214790387195</v>
      </c>
      <c r="N231">
        <v>0.99282805003125296</v>
      </c>
      <c r="O231" s="1">
        <v>2.2774463490986299E-9</v>
      </c>
      <c r="P231" s="2">
        <f t="shared" si="11"/>
        <v>0.51051253857236956</v>
      </c>
    </row>
    <row r="232" spans="1:16" x14ac:dyDescent="0.25">
      <c r="B232">
        <v>231</v>
      </c>
      <c r="C232">
        <v>0.83882032416999996</v>
      </c>
      <c r="D232">
        <v>0.84066207207788501</v>
      </c>
      <c r="E232">
        <v>0.70361953624066398</v>
      </c>
      <c r="F232">
        <f t="shared" si="9"/>
        <v>-1.8417479078850496E-3</v>
      </c>
      <c r="G232" s="2">
        <f t="shared" si="10"/>
        <v>4.8208373723136014E-6</v>
      </c>
      <c r="M232">
        <v>0.57989518803169304</v>
      </c>
      <c r="N232">
        <v>0.57988243354235303</v>
      </c>
      <c r="O232" s="1">
        <v>1.2402558960987E-9</v>
      </c>
      <c r="P232" s="2">
        <f t="shared" si="11"/>
        <v>0.13116405963987673</v>
      </c>
    </row>
    <row r="233" spans="1:16" x14ac:dyDescent="0.25">
      <c r="B233" s="57">
        <v>232</v>
      </c>
      <c r="C233">
        <v>0.83913242767999996</v>
      </c>
      <c r="D233">
        <v>0.84060390246750605</v>
      </c>
      <c r="E233">
        <v>0.70414323118413003</v>
      </c>
      <c r="F233">
        <f t="shared" si="9"/>
        <v>-1.4714747875060885E-3</v>
      </c>
      <c r="G233" s="2">
        <f t="shared" si="10"/>
        <v>3.0749966120172632E-6</v>
      </c>
      <c r="M233">
        <v>0.99281723931161803</v>
      </c>
      <c r="N233">
        <v>0.99279433058606403</v>
      </c>
      <c r="O233" s="1">
        <v>3.2183977596804898E-9</v>
      </c>
      <c r="P233" s="2">
        <f t="shared" si="11"/>
        <v>0.16306552070192695</v>
      </c>
    </row>
    <row r="234" spans="1:16" x14ac:dyDescent="0.25">
      <c r="A234" t="s">
        <v>123</v>
      </c>
      <c r="B234">
        <v>233</v>
      </c>
      <c r="C234">
        <v>2.3793100000000001E-4</v>
      </c>
      <c r="D234">
        <v>6.7493511646454904E-4</v>
      </c>
      <c r="E234" s="1">
        <v>1.33084594242207E-8</v>
      </c>
      <c r="F234">
        <f t="shared" si="9"/>
        <v>-4.37004116464549E-4</v>
      </c>
      <c r="G234" s="2">
        <f t="shared" si="10"/>
        <v>14.349714848241636</v>
      </c>
      <c r="M234">
        <v>0.57981656410249804</v>
      </c>
      <c r="N234">
        <v>0.57982957803395296</v>
      </c>
      <c r="O234" s="1">
        <v>1.6406057007573801E-9</v>
      </c>
      <c r="P234" s="2">
        <f t="shared" si="11"/>
        <v>0.10323163684921606</v>
      </c>
    </row>
    <row r="235" spans="1:16" x14ac:dyDescent="0.25">
      <c r="B235">
        <v>234</v>
      </c>
      <c r="C235">
        <v>2.3793100000000001E-4</v>
      </c>
      <c r="D235">
        <v>6.7493511646454904E-4</v>
      </c>
      <c r="E235" s="1">
        <v>1.33084594242207E-8</v>
      </c>
      <c r="F235">
        <f t="shared" si="9"/>
        <v>-4.37004116464549E-4</v>
      </c>
      <c r="G235" s="2">
        <f t="shared" si="10"/>
        <v>14.349714848241636</v>
      </c>
      <c r="M235">
        <v>0.99283947614104295</v>
      </c>
      <c r="N235">
        <v>0.99285530011585099</v>
      </c>
      <c r="O235" s="1">
        <v>2.36898172024755E-9</v>
      </c>
      <c r="P235" s="2">
        <f t="shared" si="11"/>
        <v>0.10569865380778676</v>
      </c>
    </row>
    <row r="236" spans="1:16" x14ac:dyDescent="0.25">
      <c r="B236">
        <v>235</v>
      </c>
      <c r="C236">
        <v>2.3793100000000001E-4</v>
      </c>
      <c r="D236">
        <v>6.7493511646454904E-4</v>
      </c>
      <c r="E236" s="1">
        <v>1.33084594242207E-8</v>
      </c>
      <c r="F236">
        <f t="shared" si="9"/>
        <v>-4.37004116464549E-4</v>
      </c>
      <c r="G236" s="2">
        <f t="shared" si="10"/>
        <v>14.349714848241636</v>
      </c>
      <c r="M236">
        <v>0.57985910716764799</v>
      </c>
      <c r="N236">
        <v>0.57982193389601799</v>
      </c>
      <c r="O236" s="1">
        <v>1.1661337757781099E-9</v>
      </c>
      <c r="P236" s="2">
        <f t="shared" si="11"/>
        <v>1.1849859359022035</v>
      </c>
    </row>
    <row r="237" spans="1:16" x14ac:dyDescent="0.25">
      <c r="B237">
        <v>236</v>
      </c>
      <c r="C237">
        <v>1.18966E-4</v>
      </c>
      <c r="D237">
        <v>5.5597011646454897E-4</v>
      </c>
      <c r="E237" s="1">
        <v>1.33084594242207E-8</v>
      </c>
      <c r="F237">
        <f t="shared" si="9"/>
        <v>-4.37004116464549E-4</v>
      </c>
      <c r="G237" s="2">
        <f t="shared" si="10"/>
        <v>14.349714848241636</v>
      </c>
      <c r="M237">
        <v>0.992898294945459</v>
      </c>
      <c r="N237">
        <v>0.99286411850025502</v>
      </c>
      <c r="O237" s="1">
        <v>1.1371418650103199E-9</v>
      </c>
      <c r="P237" s="2">
        <f t="shared" si="11"/>
        <v>1.0271624348032962</v>
      </c>
    </row>
    <row r="238" spans="1:16" x14ac:dyDescent="0.25">
      <c r="B238">
        <v>237</v>
      </c>
      <c r="C238">
        <v>1.18966E-4</v>
      </c>
      <c r="D238">
        <v>5.5597011646454897E-4</v>
      </c>
      <c r="E238" s="1">
        <v>1.33084594242207E-8</v>
      </c>
      <c r="F238">
        <f t="shared" si="9"/>
        <v>-4.37004116464549E-4</v>
      </c>
      <c r="G238" s="2">
        <f t="shared" si="10"/>
        <v>14.349714848241636</v>
      </c>
      <c r="M238">
        <v>0.57988201925743998</v>
      </c>
      <c r="N238">
        <v>0.57985481728117405</v>
      </c>
      <c r="O238" s="1">
        <v>9.6631440532033792E-10</v>
      </c>
      <c r="P238" s="2">
        <f t="shared" si="11"/>
        <v>0.76574198697485329</v>
      </c>
    </row>
    <row r="239" spans="1:16" x14ac:dyDescent="0.25">
      <c r="B239">
        <v>238</v>
      </c>
      <c r="C239">
        <v>1.7291499999999999E-4</v>
      </c>
      <c r="D239">
        <v>6.0991911646454905E-4</v>
      </c>
      <c r="E239" s="1">
        <v>1.33084594242207E-8</v>
      </c>
      <c r="F239">
        <f t="shared" si="9"/>
        <v>-4.3700411646454906E-4</v>
      </c>
      <c r="G239" s="2">
        <f t="shared" si="10"/>
        <v>14.349714848241639</v>
      </c>
      <c r="M239">
        <v>0.99286401324815499</v>
      </c>
      <c r="N239">
        <v>0.99282618514915499</v>
      </c>
      <c r="O239" s="1">
        <v>1.5961805796156599E-9</v>
      </c>
      <c r="P239" s="2">
        <f t="shared" si="11"/>
        <v>0.89649322402969223</v>
      </c>
    </row>
    <row r="240" spans="1:16" x14ac:dyDescent="0.25">
      <c r="B240">
        <v>239</v>
      </c>
      <c r="C240">
        <v>1.72664E-4</v>
      </c>
      <c r="D240">
        <v>6.09668116464549E-4</v>
      </c>
      <c r="E240" s="1">
        <v>1.33084594242207E-8</v>
      </c>
      <c r="F240">
        <f t="shared" si="9"/>
        <v>-4.37004116464549E-4</v>
      </c>
      <c r="G240" s="2">
        <f t="shared" si="10"/>
        <v>14.349714848241636</v>
      </c>
      <c r="M240">
        <v>0.57985277356637499</v>
      </c>
      <c r="N240">
        <v>0.57984289771795094</v>
      </c>
      <c r="O240" s="1">
        <v>1.1099815802398099E-9</v>
      </c>
      <c r="P240" s="2">
        <f t="shared" si="11"/>
        <v>8.7868469018788087E-2</v>
      </c>
    </row>
    <row r="241" spans="2:16" x14ac:dyDescent="0.25">
      <c r="B241">
        <v>240</v>
      </c>
      <c r="C241">
        <v>1.6475999999999999E-4</v>
      </c>
      <c r="D241">
        <v>6.0176411646454902E-4</v>
      </c>
      <c r="E241" s="1">
        <v>1.33084594242207E-8</v>
      </c>
      <c r="F241">
        <f t="shared" si="9"/>
        <v>-4.37004116464549E-4</v>
      </c>
      <c r="G241" s="2">
        <f t="shared" si="10"/>
        <v>14.349714848241636</v>
      </c>
      <c r="M241">
        <v>0.99285878030964303</v>
      </c>
      <c r="N241">
        <v>0.99283993480705701</v>
      </c>
      <c r="O241" s="1">
        <v>3.3713312151011099E-9</v>
      </c>
      <c r="P241" s="2">
        <f t="shared" si="11"/>
        <v>0.10534502398600919</v>
      </c>
    </row>
    <row r="242" spans="2:16" x14ac:dyDescent="0.25">
      <c r="B242">
        <v>241</v>
      </c>
      <c r="C242">
        <v>1.6475999999999999E-4</v>
      </c>
      <c r="D242">
        <v>6.0176411646454902E-4</v>
      </c>
      <c r="E242" s="1">
        <v>1.33084594242207E-8</v>
      </c>
      <c r="F242">
        <f t="shared" si="9"/>
        <v>-4.37004116464549E-4</v>
      </c>
      <c r="G242" s="2">
        <f t="shared" si="10"/>
        <v>14.349714848241636</v>
      </c>
      <c r="M242">
        <v>0.57988655001385203</v>
      </c>
      <c r="N242">
        <v>0.57986703323191502</v>
      </c>
      <c r="O242" s="1">
        <v>6.7630849041138898E-10</v>
      </c>
      <c r="P242" s="2">
        <f t="shared" si="11"/>
        <v>0.56321158550766104</v>
      </c>
    </row>
    <row r="243" spans="2:16" x14ac:dyDescent="0.25">
      <c r="B243">
        <v>242</v>
      </c>
      <c r="C243">
        <v>1.5965E-4</v>
      </c>
      <c r="D243">
        <v>5.9665411646454901E-4</v>
      </c>
      <c r="E243" s="1">
        <v>1.33084594242207E-8</v>
      </c>
      <c r="F243">
        <f t="shared" si="9"/>
        <v>-4.37004116464549E-4</v>
      </c>
      <c r="G243" s="2">
        <f t="shared" si="10"/>
        <v>14.349714848241636</v>
      </c>
      <c r="M243">
        <v>0.99285255084912305</v>
      </c>
      <c r="N243">
        <v>0.992812094088104</v>
      </c>
      <c r="O243" s="1">
        <v>2.1518259659377901E-9</v>
      </c>
      <c r="P243" s="2">
        <f t="shared" si="11"/>
        <v>0.76063284766573391</v>
      </c>
    </row>
    <row r="244" spans="2:16" x14ac:dyDescent="0.25">
      <c r="B244">
        <v>243</v>
      </c>
      <c r="C244">
        <v>1.5965E-4</v>
      </c>
      <c r="D244">
        <v>5.9665411646454901E-4</v>
      </c>
      <c r="E244" s="1">
        <v>1.33084594242207E-8</v>
      </c>
      <c r="F244">
        <f t="shared" si="9"/>
        <v>-4.37004116464549E-4</v>
      </c>
      <c r="G244" s="2">
        <f t="shared" si="10"/>
        <v>14.349714848241636</v>
      </c>
      <c r="M244">
        <v>0.57985820621802098</v>
      </c>
      <c r="N244">
        <v>0.57979692268052496</v>
      </c>
      <c r="O244" s="1">
        <v>9.4949030907046006E-10</v>
      </c>
      <c r="P244" s="2">
        <f t="shared" si="11"/>
        <v>3.9554610849080314</v>
      </c>
    </row>
    <row r="245" spans="2:16" x14ac:dyDescent="0.25">
      <c r="B245">
        <v>244</v>
      </c>
      <c r="C245" s="1">
        <v>9.8040499999999998E-5</v>
      </c>
      <c r="D245">
        <v>5.3504461646454904E-4</v>
      </c>
      <c r="E245" s="1">
        <v>1.33084594242207E-8</v>
      </c>
      <c r="F245">
        <f t="shared" si="9"/>
        <v>-4.3700411646454906E-4</v>
      </c>
      <c r="G245" s="2">
        <f t="shared" si="10"/>
        <v>14.349714848241639</v>
      </c>
      <c r="M245">
        <v>0.99298383192995798</v>
      </c>
      <c r="N245">
        <v>0.99289297314810498</v>
      </c>
      <c r="O245" s="1">
        <v>1.82706783546779E-9</v>
      </c>
      <c r="P245" s="2">
        <f t="shared" si="11"/>
        <v>4.5183424936694179</v>
      </c>
    </row>
    <row r="246" spans="2:16" x14ac:dyDescent="0.25">
      <c r="B246">
        <v>245</v>
      </c>
      <c r="C246" s="1">
        <v>9.8345799999999996E-5</v>
      </c>
      <c r="D246">
        <v>5.3534991646454896E-4</v>
      </c>
      <c r="E246" s="1">
        <v>1.33084594242207E-8</v>
      </c>
      <c r="F246">
        <f t="shared" si="9"/>
        <v>-4.3700411646454895E-4</v>
      </c>
      <c r="G246" s="2">
        <f t="shared" si="10"/>
        <v>14.349714848241632</v>
      </c>
      <c r="M246">
        <v>0.579858352788022</v>
      </c>
      <c r="N246">
        <v>0.57982913659576096</v>
      </c>
      <c r="O246" s="1">
        <v>1.3650322966625201E-9</v>
      </c>
      <c r="P246" s="2">
        <f t="shared" si="11"/>
        <v>0.62532285303505086</v>
      </c>
    </row>
    <row r="247" spans="2:16" x14ac:dyDescent="0.25">
      <c r="B247">
        <v>246</v>
      </c>
      <c r="C247" s="1">
        <v>9.8408199999999997E-5</v>
      </c>
      <c r="D247">
        <v>5.3541231646454899E-4</v>
      </c>
      <c r="E247" s="1">
        <v>1.33084594242207E-8</v>
      </c>
      <c r="F247">
        <f t="shared" si="9"/>
        <v>-4.37004116464549E-4</v>
      </c>
      <c r="G247" s="2">
        <f t="shared" si="10"/>
        <v>14.349714848241636</v>
      </c>
      <c r="M247">
        <v>0.992879183165854</v>
      </c>
      <c r="N247">
        <v>0.99285580935982798</v>
      </c>
      <c r="O247" s="1">
        <v>1.0368834944067401E-9</v>
      </c>
      <c r="P247" s="2">
        <f t="shared" si="11"/>
        <v>0.52690086310463791</v>
      </c>
    </row>
    <row r="248" spans="2:16" x14ac:dyDescent="0.25">
      <c r="B248">
        <v>247</v>
      </c>
      <c r="C248" s="1">
        <v>9.8800499999999997E-5</v>
      </c>
      <c r="D248">
        <v>5.3580461646454897E-4</v>
      </c>
      <c r="E248" s="1">
        <v>1.33084594242207E-8</v>
      </c>
      <c r="F248">
        <f t="shared" si="9"/>
        <v>-4.37004116464549E-4</v>
      </c>
      <c r="G248" s="2">
        <f t="shared" si="10"/>
        <v>14.349714848241636</v>
      </c>
      <c r="M248">
        <v>0.57984382285797598</v>
      </c>
      <c r="N248">
        <v>0.57985922139440804</v>
      </c>
      <c r="O248" s="1">
        <v>6.3208740443157798E-10</v>
      </c>
      <c r="P248" s="2">
        <f t="shared" si="11"/>
        <v>0.37512996238688301</v>
      </c>
    </row>
    <row r="249" spans="2:16" x14ac:dyDescent="0.25">
      <c r="B249">
        <v>248</v>
      </c>
      <c r="C249">
        <v>1.6475999999999999E-4</v>
      </c>
      <c r="D249">
        <v>6.0176411646454902E-4</v>
      </c>
      <c r="E249" s="1">
        <v>1.33084594242207E-8</v>
      </c>
      <c r="F249">
        <f t="shared" si="9"/>
        <v>-4.37004116464549E-4</v>
      </c>
      <c r="G249" s="2">
        <f t="shared" si="10"/>
        <v>14.349714848241636</v>
      </c>
      <c r="M249">
        <v>0.99279143856614904</v>
      </c>
      <c r="N249">
        <v>0.99282110496101195</v>
      </c>
      <c r="O249" s="1">
        <v>1.8142798266025799E-9</v>
      </c>
      <c r="P249" s="2">
        <f t="shared" si="11"/>
        <v>0.48509329776862292</v>
      </c>
    </row>
    <row r="250" spans="2:16" x14ac:dyDescent="0.25">
      <c r="B250">
        <v>249</v>
      </c>
      <c r="C250">
        <v>1.6475999999999999E-4</v>
      </c>
      <c r="D250">
        <v>6.0176411646454902E-4</v>
      </c>
      <c r="E250" s="1">
        <v>1.33084594242207E-8</v>
      </c>
      <c r="F250">
        <f t="shared" si="9"/>
        <v>-4.37004116464549E-4</v>
      </c>
      <c r="G250" s="2">
        <f t="shared" si="10"/>
        <v>14.349714848241636</v>
      </c>
      <c r="M250">
        <v>0.57980634736687398</v>
      </c>
      <c r="N250">
        <v>0.57982486405030897</v>
      </c>
      <c r="O250" s="1">
        <v>7.3114458517229497E-10</v>
      </c>
      <c r="P250" s="2">
        <f t="shared" si="11"/>
        <v>0.46894632386722535</v>
      </c>
    </row>
    <row r="251" spans="2:16" x14ac:dyDescent="0.25">
      <c r="B251">
        <v>250</v>
      </c>
      <c r="C251">
        <v>1.5965E-4</v>
      </c>
      <c r="D251">
        <v>5.9665411646454901E-4</v>
      </c>
      <c r="E251" s="1">
        <v>1.33084594242207E-8</v>
      </c>
      <c r="F251">
        <f t="shared" si="9"/>
        <v>-4.37004116464549E-4</v>
      </c>
      <c r="G251" s="2">
        <f t="shared" si="10"/>
        <v>14.349714848241636</v>
      </c>
      <c r="M251">
        <v>0.992836773807793</v>
      </c>
      <c r="N251">
        <v>0.99286073821029697</v>
      </c>
      <c r="O251" s="1">
        <v>1.1332567326451501E-9</v>
      </c>
      <c r="P251" s="2">
        <f t="shared" si="11"/>
        <v>0.50676300508838601</v>
      </c>
    </row>
    <row r="252" spans="2:16" x14ac:dyDescent="0.25">
      <c r="B252">
        <v>251</v>
      </c>
      <c r="C252">
        <v>1.5965E-4</v>
      </c>
      <c r="D252">
        <v>5.9665411646454901E-4</v>
      </c>
      <c r="E252" s="1">
        <v>1.33084594242207E-8</v>
      </c>
      <c r="F252">
        <f t="shared" si="9"/>
        <v>-4.37004116464549E-4</v>
      </c>
      <c r="G252" s="2">
        <f t="shared" si="10"/>
        <v>14.349714848241636</v>
      </c>
      <c r="M252">
        <v>0.57983584292020296</v>
      </c>
      <c r="N252">
        <v>0.57979501076433204</v>
      </c>
      <c r="O252" s="1">
        <v>8.5838609137270997E-10</v>
      </c>
      <c r="P252" s="2">
        <f t="shared" si="11"/>
        <v>1.942325219180437</v>
      </c>
    </row>
    <row r="253" spans="2:16" x14ac:dyDescent="0.25">
      <c r="B253">
        <v>252</v>
      </c>
      <c r="C253">
        <v>1.7830600000000001E-4</v>
      </c>
      <c r="D253">
        <v>6.1531011646454904E-4</v>
      </c>
      <c r="E253" s="1">
        <v>1.33084594242207E-8</v>
      </c>
      <c r="F253">
        <f t="shared" si="9"/>
        <v>-4.37004116464549E-4</v>
      </c>
      <c r="G253" s="2">
        <f t="shared" si="10"/>
        <v>14.349714848241636</v>
      </c>
      <c r="M253">
        <v>0.99297467896800595</v>
      </c>
      <c r="N253">
        <v>0.99289517895102997</v>
      </c>
      <c r="O253" s="1">
        <v>2.5444967883778302E-9</v>
      </c>
      <c r="P253" s="2">
        <f t="shared" si="11"/>
        <v>2.48389101061173</v>
      </c>
    </row>
    <row r="254" spans="2:16" x14ac:dyDescent="0.25">
      <c r="B254">
        <v>253</v>
      </c>
      <c r="C254">
        <v>1.78591E-4</v>
      </c>
      <c r="D254">
        <v>6.1559511646454897E-4</v>
      </c>
      <c r="E254" s="1">
        <v>1.33084594242207E-8</v>
      </c>
      <c r="F254">
        <f t="shared" si="9"/>
        <v>-4.37004116464549E-4</v>
      </c>
      <c r="G254" s="2">
        <f t="shared" si="10"/>
        <v>14.349714848241636</v>
      </c>
      <c r="M254">
        <v>0.57980937882243</v>
      </c>
      <c r="N254">
        <v>0.57982097533471699</v>
      </c>
      <c r="O254" s="1">
        <v>1.0629161775831499E-9</v>
      </c>
      <c r="P254" s="2">
        <f t="shared" si="11"/>
        <v>0.12651900503402061</v>
      </c>
    </row>
    <row r="255" spans="2:16" x14ac:dyDescent="0.25">
      <c r="B255">
        <v>254</v>
      </c>
      <c r="C255">
        <v>2.2376000000000001E-4</v>
      </c>
      <c r="D255">
        <v>6.6076411646454904E-4</v>
      </c>
      <c r="E255" s="1">
        <v>1.33084594242207E-8</v>
      </c>
      <c r="F255">
        <f t="shared" si="9"/>
        <v>-4.37004116464549E-4</v>
      </c>
      <c r="G255" s="2">
        <f t="shared" si="10"/>
        <v>14.349714848241636</v>
      </c>
      <c r="M255">
        <v>0.992846856436294</v>
      </c>
      <c r="N255">
        <v>0.99286522432370505</v>
      </c>
      <c r="O255" s="1">
        <v>2.41235695197455E-9</v>
      </c>
      <c r="P255" s="2">
        <f t="shared" si="11"/>
        <v>0.13985462958496128</v>
      </c>
    </row>
    <row r="256" spans="2:16" x14ac:dyDescent="0.25">
      <c r="B256">
        <v>255</v>
      </c>
      <c r="C256">
        <v>2.2784500000000001E-4</v>
      </c>
      <c r="D256">
        <v>6.6484911646454896E-4</v>
      </c>
      <c r="E256" s="1">
        <v>1.33084594242207E-8</v>
      </c>
      <c r="F256">
        <f t="shared" si="9"/>
        <v>-4.3700411646454895E-4</v>
      </c>
      <c r="G256" s="2">
        <f t="shared" si="10"/>
        <v>14.349714848241632</v>
      </c>
      <c r="M256">
        <v>0.57977421598309398</v>
      </c>
      <c r="N256">
        <v>0.57977039552197396</v>
      </c>
      <c r="O256" s="1">
        <v>9.6377697668679707E-10</v>
      </c>
      <c r="P256" s="2">
        <f t="shared" si="11"/>
        <v>1.5144502849354096E-2</v>
      </c>
    </row>
    <row r="257" spans="2:16" x14ac:dyDescent="0.25">
      <c r="B257">
        <v>256</v>
      </c>
      <c r="C257" s="1">
        <v>6.9492000000000005E-5</v>
      </c>
      <c r="D257">
        <v>5.0649611646454899E-4</v>
      </c>
      <c r="E257" s="1">
        <v>1.33084594242207E-8</v>
      </c>
      <c r="F257">
        <f t="shared" si="9"/>
        <v>-4.37004116464549E-4</v>
      </c>
      <c r="G257" s="2">
        <f t="shared" si="10"/>
        <v>14.349714848241636</v>
      </c>
      <c r="M257">
        <v>0.99292784606921503</v>
      </c>
      <c r="N257">
        <v>0.992923578968118</v>
      </c>
      <c r="O257" s="1">
        <v>1.21605209566183E-9</v>
      </c>
      <c r="P257" s="2">
        <f t="shared" si="11"/>
        <v>1.4973167545339158E-2</v>
      </c>
    </row>
    <row r="258" spans="2:16" x14ac:dyDescent="0.25">
      <c r="B258">
        <v>257</v>
      </c>
      <c r="C258">
        <v>2.1135699999999999E-4</v>
      </c>
      <c r="D258">
        <v>6.4836111646454902E-4</v>
      </c>
      <c r="E258" s="1">
        <v>1.33084594242207E-8</v>
      </c>
      <c r="F258">
        <f t="shared" si="9"/>
        <v>-4.37004116464549E-4</v>
      </c>
      <c r="G258" s="2">
        <f t="shared" si="10"/>
        <v>14.349714848241636</v>
      </c>
      <c r="M258">
        <v>0.57981748991035098</v>
      </c>
      <c r="N258">
        <v>0.57977911386445502</v>
      </c>
      <c r="O258" s="1">
        <v>1.70985146881232E-9</v>
      </c>
      <c r="P258" s="2">
        <f t="shared" si="11"/>
        <v>0.8613151057102173</v>
      </c>
    </row>
    <row r="259" spans="2:16" x14ac:dyDescent="0.25">
      <c r="B259">
        <v>258</v>
      </c>
      <c r="C259">
        <v>1.8204399999999999E-4</v>
      </c>
      <c r="D259">
        <v>6.1904811646454902E-4</v>
      </c>
      <c r="E259" s="1">
        <v>1.33084594242207E-8</v>
      </c>
      <c r="F259">
        <f t="shared" ref="F259:F322" si="12">C259-D259</f>
        <v>-4.37004116464549E-4</v>
      </c>
      <c r="G259" s="2">
        <f t="shared" ref="G259:G322" si="13">F259^2/E259</f>
        <v>14.349714848241636</v>
      </c>
      <c r="M259">
        <v>0.992948258403069</v>
      </c>
      <c r="N259">
        <v>0.99291351988549004</v>
      </c>
      <c r="O259" s="1">
        <v>1.7553730134596301E-9</v>
      </c>
      <c r="P259" s="2">
        <f t="shared" ref="P259:P322" si="14">(M259-N259)^2/O259</f>
        <v>0.68746904181078061</v>
      </c>
    </row>
    <row r="260" spans="2:16" x14ac:dyDescent="0.25">
      <c r="B260">
        <v>259</v>
      </c>
      <c r="C260">
        <v>2.46646E-4</v>
      </c>
      <c r="D260">
        <v>6.83650116464549E-4</v>
      </c>
      <c r="E260" s="1">
        <v>1.33084594242207E-8</v>
      </c>
      <c r="F260">
        <f t="shared" si="12"/>
        <v>-4.37004116464549E-4</v>
      </c>
      <c r="G260" s="2">
        <f t="shared" si="13"/>
        <v>14.349714848241636</v>
      </c>
      <c r="M260">
        <v>0.57979255875352498</v>
      </c>
      <c r="N260">
        <v>0.57979501323692995</v>
      </c>
      <c r="O260" s="1">
        <v>1.08304064322424E-9</v>
      </c>
      <c r="P260" s="2">
        <f t="shared" si="14"/>
        <v>5.5625694409096333E-3</v>
      </c>
    </row>
    <row r="261" spans="2:16" x14ac:dyDescent="0.25">
      <c r="B261">
        <v>260</v>
      </c>
      <c r="C261">
        <v>2.2725100000000001E-4</v>
      </c>
      <c r="D261">
        <v>6.6425511646454904E-4</v>
      </c>
      <c r="E261" s="1">
        <v>1.33084594242207E-8</v>
      </c>
      <c r="F261">
        <f t="shared" si="12"/>
        <v>-4.37004116464549E-4</v>
      </c>
      <c r="G261" s="2">
        <f t="shared" si="13"/>
        <v>14.349714848241636</v>
      </c>
      <c r="M261">
        <v>0.99289202246125796</v>
      </c>
      <c r="N261">
        <v>0.99289517609835198</v>
      </c>
      <c r="O261" s="1">
        <v>1.7183760415484101E-9</v>
      </c>
      <c r="P261" s="2">
        <f t="shared" si="14"/>
        <v>5.7876894697803478E-3</v>
      </c>
    </row>
    <row r="262" spans="2:16" x14ac:dyDescent="0.25">
      <c r="B262">
        <v>261</v>
      </c>
      <c r="C262">
        <v>1.5970200000000001E-4</v>
      </c>
      <c r="D262">
        <v>5.9670611646454896E-4</v>
      </c>
      <c r="E262" s="1">
        <v>1.33084594242207E-8</v>
      </c>
      <c r="F262">
        <f t="shared" si="12"/>
        <v>-4.3700411646454895E-4</v>
      </c>
      <c r="G262" s="2">
        <f t="shared" si="13"/>
        <v>14.349714848241632</v>
      </c>
      <c r="M262">
        <v>0.57982986359596</v>
      </c>
      <c r="N262">
        <v>0.57980120141790403</v>
      </c>
      <c r="O262" s="1">
        <v>6.1014060333246699E-10</v>
      </c>
      <c r="P262" s="2">
        <f t="shared" si="14"/>
        <v>1.346444485787754</v>
      </c>
    </row>
    <row r="263" spans="2:16" x14ac:dyDescent="0.25">
      <c r="B263">
        <v>262</v>
      </c>
      <c r="C263">
        <v>1.8268099999999999E-4</v>
      </c>
      <c r="D263">
        <v>6.1968511646454897E-4</v>
      </c>
      <c r="E263" s="1">
        <v>1.33084594242207E-8</v>
      </c>
      <c r="F263">
        <f t="shared" si="12"/>
        <v>-4.37004116464549E-4</v>
      </c>
      <c r="G263" s="2">
        <f t="shared" si="13"/>
        <v>14.349714848241636</v>
      </c>
      <c r="M263">
        <v>0.99295754276424297</v>
      </c>
      <c r="N263">
        <v>0.99288803675647597</v>
      </c>
      <c r="O263" s="1">
        <v>2.3535301833082599E-9</v>
      </c>
      <c r="P263" s="2">
        <f t="shared" si="14"/>
        <v>2.0526973267520505</v>
      </c>
    </row>
    <row r="264" spans="2:16" x14ac:dyDescent="0.25">
      <c r="B264">
        <v>263</v>
      </c>
      <c r="C264">
        <v>1.8268099999999999E-4</v>
      </c>
      <c r="D264">
        <v>6.1968511646454897E-4</v>
      </c>
      <c r="E264" s="1">
        <v>1.33084594242207E-8</v>
      </c>
      <c r="F264">
        <f t="shared" si="12"/>
        <v>-4.37004116464549E-4</v>
      </c>
      <c r="G264" s="2">
        <f t="shared" si="13"/>
        <v>14.349714848241636</v>
      </c>
      <c r="M264">
        <v>0.57978138070942198</v>
      </c>
      <c r="N264">
        <v>0.57977279647215296</v>
      </c>
      <c r="O264" s="1">
        <v>6.9630880017068797E-10</v>
      </c>
      <c r="P264" s="2">
        <f t="shared" si="14"/>
        <v>0.10582823234848993</v>
      </c>
    </row>
    <row r="265" spans="2:16" x14ac:dyDescent="0.25">
      <c r="B265">
        <v>264</v>
      </c>
      <c r="C265">
        <v>1.5970200000000001E-4</v>
      </c>
      <c r="D265">
        <v>5.9670611646454896E-4</v>
      </c>
      <c r="E265" s="1">
        <v>1.33084594242207E-8</v>
      </c>
      <c r="F265">
        <f t="shared" si="12"/>
        <v>-4.3700411646454895E-4</v>
      </c>
      <c r="G265" s="2">
        <f t="shared" si="13"/>
        <v>14.349714848241632</v>
      </c>
      <c r="M265">
        <v>0.99294553056340695</v>
      </c>
      <c r="N265">
        <v>0.99292080876535205</v>
      </c>
      <c r="O265" s="1">
        <v>4.0122108452820604E-9</v>
      </c>
      <c r="P265" s="2">
        <f t="shared" si="14"/>
        <v>0.1523268149743891</v>
      </c>
    </row>
    <row r="266" spans="2:16" x14ac:dyDescent="0.25">
      <c r="B266">
        <v>265</v>
      </c>
      <c r="C266">
        <v>1.5970200000000001E-4</v>
      </c>
      <c r="D266">
        <v>5.9670611646454896E-4</v>
      </c>
      <c r="E266" s="1">
        <v>1.33084594242207E-8</v>
      </c>
      <c r="F266">
        <f t="shared" si="12"/>
        <v>-4.3700411646454895E-4</v>
      </c>
      <c r="G266" s="2">
        <f t="shared" si="13"/>
        <v>14.349714848241632</v>
      </c>
      <c r="M266">
        <v>0.57976448366794997</v>
      </c>
      <c r="N266">
        <v>0.57978076117507904</v>
      </c>
      <c r="O266" s="1">
        <v>1.04228642340502E-9</v>
      </c>
      <c r="P266" s="2">
        <f t="shared" si="14"/>
        <v>0.25420770374360302</v>
      </c>
    </row>
    <row r="267" spans="2:16" x14ac:dyDescent="0.25">
      <c r="B267">
        <v>266</v>
      </c>
      <c r="C267">
        <v>2.3793100000000001E-4</v>
      </c>
      <c r="D267">
        <v>6.7493511646454904E-4</v>
      </c>
      <c r="E267" s="1">
        <v>1.33084594242207E-8</v>
      </c>
      <c r="F267">
        <f t="shared" si="12"/>
        <v>-4.37004116464549E-4</v>
      </c>
      <c r="G267" s="2">
        <f t="shared" si="13"/>
        <v>14.349714848241636</v>
      </c>
      <c r="M267">
        <v>0.99289034264126297</v>
      </c>
      <c r="N267">
        <v>0.99291161927355698</v>
      </c>
      <c r="O267" s="1">
        <v>1.69198206138318E-9</v>
      </c>
      <c r="P267" s="2">
        <f t="shared" si="14"/>
        <v>0.26755312134007586</v>
      </c>
    </row>
    <row r="268" spans="2:16" x14ac:dyDescent="0.25">
      <c r="B268">
        <v>267</v>
      </c>
      <c r="C268">
        <v>1.18966E-4</v>
      </c>
      <c r="D268">
        <v>5.5597011646454897E-4</v>
      </c>
      <c r="E268" s="1">
        <v>1.33084594242207E-8</v>
      </c>
      <c r="F268">
        <f t="shared" si="12"/>
        <v>-4.37004116464549E-4</v>
      </c>
      <c r="G268" s="2">
        <f t="shared" si="13"/>
        <v>14.349714848241636</v>
      </c>
      <c r="M268">
        <v>0.57976760465617805</v>
      </c>
      <c r="N268">
        <v>0.57977160071394296</v>
      </c>
      <c r="O268" s="1">
        <v>7.2287253928374498E-10</v>
      </c>
      <c r="P268" s="2">
        <f t="shared" si="14"/>
        <v>2.2090308861809047E-2</v>
      </c>
    </row>
    <row r="269" spans="2:16" x14ac:dyDescent="0.25">
      <c r="B269">
        <v>268</v>
      </c>
      <c r="C269">
        <v>1.18966E-4</v>
      </c>
      <c r="D269">
        <v>5.5597011646454897E-4</v>
      </c>
      <c r="E269" s="1">
        <v>1.33084594242207E-8</v>
      </c>
      <c r="F269">
        <f t="shared" si="12"/>
        <v>-4.37004116464549E-4</v>
      </c>
      <c r="G269" s="2">
        <f t="shared" si="13"/>
        <v>14.349714848241636</v>
      </c>
      <c r="M269">
        <v>0.992914062122774</v>
      </c>
      <c r="N269">
        <v>0.99292218842202695</v>
      </c>
      <c r="O269" s="1">
        <v>2.4115933263816598E-9</v>
      </c>
      <c r="P269" s="2">
        <f t="shared" si="14"/>
        <v>2.7383032962537114E-2</v>
      </c>
    </row>
    <row r="270" spans="2:16" x14ac:dyDescent="0.25">
      <c r="B270">
        <v>269</v>
      </c>
      <c r="C270">
        <v>1.6011500000000001E-4</v>
      </c>
      <c r="D270">
        <v>5.9711911646454896E-4</v>
      </c>
      <c r="E270" s="1">
        <v>1.33084594242207E-8</v>
      </c>
      <c r="F270">
        <f t="shared" si="12"/>
        <v>-4.3700411646454895E-4</v>
      </c>
      <c r="G270" s="2">
        <f t="shared" si="13"/>
        <v>14.349714848241632</v>
      </c>
      <c r="M270">
        <v>0.57977477391987597</v>
      </c>
      <c r="N270">
        <v>0.57978744443886399</v>
      </c>
      <c r="O270" s="1">
        <v>1.11211550133412E-9</v>
      </c>
      <c r="P270" s="2">
        <f t="shared" si="14"/>
        <v>0.14435735427927532</v>
      </c>
    </row>
    <row r="271" spans="2:16" x14ac:dyDescent="0.25">
      <c r="B271">
        <v>270</v>
      </c>
      <c r="C271">
        <v>1.6011500000000001E-4</v>
      </c>
      <c r="D271">
        <v>5.9711911646454896E-4</v>
      </c>
      <c r="E271" s="1">
        <v>1.33084594242207E-8</v>
      </c>
      <c r="F271">
        <f t="shared" si="12"/>
        <v>-4.3700411646454895E-4</v>
      </c>
      <c r="G271" s="2">
        <f t="shared" si="13"/>
        <v>14.349714848241632</v>
      </c>
      <c r="M271">
        <v>0.99288311224067205</v>
      </c>
      <c r="N271">
        <v>0.99290390843992105</v>
      </c>
      <c r="O271" s="1">
        <v>2.6634591954357898E-9</v>
      </c>
      <c r="P271" s="2">
        <f t="shared" si="14"/>
        <v>0.16237601985607705</v>
      </c>
    </row>
    <row r="272" spans="2:16" x14ac:dyDescent="0.25">
      <c r="B272">
        <v>271</v>
      </c>
      <c r="C272">
        <v>1.60994E-4</v>
      </c>
      <c r="D272">
        <v>5.9799811646454903E-4</v>
      </c>
      <c r="E272" s="1">
        <v>1.33084594242207E-8</v>
      </c>
      <c r="F272">
        <f t="shared" si="12"/>
        <v>-4.37004116464549E-4</v>
      </c>
      <c r="G272" s="2">
        <f t="shared" si="13"/>
        <v>14.349714848241636</v>
      </c>
      <c r="M272">
        <v>0.57980555620462204</v>
      </c>
      <c r="N272">
        <v>0.57979605316254201</v>
      </c>
      <c r="O272" s="1">
        <v>8.4285519066449797E-10</v>
      </c>
      <c r="P272" s="2">
        <f t="shared" si="14"/>
        <v>0.10714510603367604</v>
      </c>
    </row>
    <row r="273" spans="1:16" x14ac:dyDescent="0.25">
      <c r="B273">
        <v>272</v>
      </c>
      <c r="C273">
        <v>1.78448E-4</v>
      </c>
      <c r="D273">
        <v>6.15452116464549E-4</v>
      </c>
      <c r="E273" s="1">
        <v>1.33084594242207E-8</v>
      </c>
      <c r="F273">
        <f t="shared" si="12"/>
        <v>-4.37004116464549E-4</v>
      </c>
      <c r="G273" s="2">
        <f t="shared" si="13"/>
        <v>14.349714848241636</v>
      </c>
      <c r="M273">
        <v>0.99291079459764797</v>
      </c>
      <c r="N273">
        <v>0.99289397632095899</v>
      </c>
      <c r="O273" s="1">
        <v>2.26506429879806E-9</v>
      </c>
      <c r="P273" s="2">
        <f t="shared" si="14"/>
        <v>0.12487699838682335</v>
      </c>
    </row>
    <row r="274" spans="1:16" x14ac:dyDescent="0.25">
      <c r="B274">
        <v>273</v>
      </c>
      <c r="C274">
        <v>1.13398E-4</v>
      </c>
      <c r="D274">
        <v>5.5040211646454902E-4</v>
      </c>
      <c r="E274" s="1">
        <v>1.33084594242207E-8</v>
      </c>
      <c r="F274">
        <f t="shared" si="12"/>
        <v>-4.37004116464549E-4</v>
      </c>
      <c r="G274" s="2">
        <f t="shared" si="13"/>
        <v>14.349714848241636</v>
      </c>
      <c r="M274">
        <v>0.57975481532461304</v>
      </c>
      <c r="N274">
        <v>0.57977897077417595</v>
      </c>
      <c r="O274" s="1">
        <v>8.6804626107167897E-10</v>
      </c>
      <c r="P274" s="2">
        <f t="shared" si="14"/>
        <v>0.67218277383748015</v>
      </c>
    </row>
    <row r="275" spans="1:16" x14ac:dyDescent="0.25">
      <c r="B275">
        <v>274</v>
      </c>
      <c r="C275" s="1">
        <v>9.8781299999999996E-5</v>
      </c>
      <c r="D275">
        <v>5.3578541646454904E-4</v>
      </c>
      <c r="E275" s="1">
        <v>1.33084594242207E-8</v>
      </c>
      <c r="F275">
        <f t="shared" si="12"/>
        <v>-4.3700411646454906E-4</v>
      </c>
      <c r="G275" s="2">
        <f t="shared" si="13"/>
        <v>14.349714848241639</v>
      </c>
      <c r="M275">
        <v>0.992872592714514</v>
      </c>
      <c r="N275">
        <v>0.99291368497869803</v>
      </c>
      <c r="O275" s="1">
        <v>2.1233385583716598E-9</v>
      </c>
      <c r="P275" s="2">
        <f t="shared" si="14"/>
        <v>0.79524490765377864</v>
      </c>
    </row>
    <row r="276" spans="1:16" x14ac:dyDescent="0.25">
      <c r="B276">
        <v>275</v>
      </c>
      <c r="C276">
        <v>1.6011500000000001E-4</v>
      </c>
      <c r="D276">
        <v>5.9711911646454896E-4</v>
      </c>
      <c r="E276" s="1">
        <v>1.33084594242207E-8</v>
      </c>
      <c r="F276">
        <f t="shared" si="12"/>
        <v>-4.3700411646454895E-4</v>
      </c>
      <c r="G276" s="2">
        <f t="shared" si="13"/>
        <v>14.349714848241632</v>
      </c>
      <c r="M276">
        <v>0.57975564691237202</v>
      </c>
      <c r="N276">
        <v>0.57975213619799504</v>
      </c>
      <c r="O276" s="1">
        <v>1.5657303173965099E-9</v>
      </c>
      <c r="P276" s="2">
        <f t="shared" si="14"/>
        <v>7.8717996961781105E-3</v>
      </c>
    </row>
    <row r="277" spans="1:16" x14ac:dyDescent="0.25">
      <c r="B277">
        <v>276</v>
      </c>
      <c r="C277">
        <v>1.6011500000000001E-4</v>
      </c>
      <c r="D277">
        <v>5.9711911646454896E-4</v>
      </c>
      <c r="E277" s="1">
        <v>1.33084594242207E-8</v>
      </c>
      <c r="F277">
        <f t="shared" si="12"/>
        <v>-4.3700411646454895E-4</v>
      </c>
      <c r="G277" s="2">
        <f t="shared" si="13"/>
        <v>14.349714848241632</v>
      </c>
      <c r="M277">
        <v>0.99294778073347001</v>
      </c>
      <c r="N277">
        <v>0.99294464710136299</v>
      </c>
      <c r="O277" s="1">
        <v>1.45116153164747E-9</v>
      </c>
      <c r="P277" s="2">
        <f t="shared" si="14"/>
        <v>6.7667519900492541E-3</v>
      </c>
    </row>
    <row r="278" spans="1:16" x14ac:dyDescent="0.25">
      <c r="B278">
        <v>277</v>
      </c>
      <c r="C278">
        <v>1.60994E-4</v>
      </c>
      <c r="D278">
        <v>5.9799811646454903E-4</v>
      </c>
      <c r="E278" s="1">
        <v>1.33084594242207E-8</v>
      </c>
      <c r="F278">
        <f t="shared" si="12"/>
        <v>-4.37004116464549E-4</v>
      </c>
      <c r="G278" s="2">
        <f t="shared" si="13"/>
        <v>14.349714848241636</v>
      </c>
      <c r="M278">
        <v>0.579747393306835</v>
      </c>
      <c r="N278">
        <v>0.57976543617134402</v>
      </c>
      <c r="O278" s="1">
        <v>1.4351498441629501E-9</v>
      </c>
      <c r="P278" s="2">
        <f t="shared" si="14"/>
        <v>0.22683691254593458</v>
      </c>
    </row>
    <row r="279" spans="1:16" x14ac:dyDescent="0.25">
      <c r="B279" s="57">
        <v>278</v>
      </c>
      <c r="C279">
        <v>1.60994E-4</v>
      </c>
      <c r="D279">
        <v>5.9799811646454903E-4</v>
      </c>
      <c r="E279" s="1">
        <v>1.33084594242207E-8</v>
      </c>
      <c r="F279">
        <f t="shared" si="12"/>
        <v>-4.37004116464549E-4</v>
      </c>
      <c r="G279" s="2">
        <f t="shared" si="13"/>
        <v>14.349714848241636</v>
      </c>
      <c r="M279">
        <v>0.99290747422678005</v>
      </c>
      <c r="N279">
        <v>0.99292930109968003</v>
      </c>
      <c r="O279" s="1">
        <v>2.03825678712933E-9</v>
      </c>
      <c r="P279" s="2">
        <f t="shared" si="14"/>
        <v>0.23373521118638393</v>
      </c>
    </row>
    <row r="280" spans="1:16" x14ac:dyDescent="0.25">
      <c r="A280" t="s">
        <v>124</v>
      </c>
      <c r="B280">
        <v>279</v>
      </c>
      <c r="C280" s="1">
        <v>2.6912050000000001E-6</v>
      </c>
      <c r="D280" s="1">
        <v>2.7243139518867501E-6</v>
      </c>
      <c r="E280" s="1">
        <v>6.8104854600082402E-12</v>
      </c>
      <c r="F280">
        <f t="shared" si="12"/>
        <v>-3.3108951886750021E-8</v>
      </c>
      <c r="G280" s="2">
        <f t="shared" si="13"/>
        <v>1.6095808462937404E-4</v>
      </c>
      <c r="M280">
        <v>0.57967258815456801</v>
      </c>
      <c r="N280">
        <v>0.57972530920996102</v>
      </c>
      <c r="O280" s="1">
        <v>1.35919213322286E-9</v>
      </c>
      <c r="P280" s="2">
        <f t="shared" si="14"/>
        <v>2.0449718724910912</v>
      </c>
    </row>
    <row r="281" spans="1:16" x14ac:dyDescent="0.25">
      <c r="B281">
        <v>280</v>
      </c>
      <c r="C281" s="1">
        <v>2.6912050000000001E-6</v>
      </c>
      <c r="D281" s="1">
        <v>2.7243139518867501E-6</v>
      </c>
      <c r="E281" s="1">
        <v>6.8104854600082402E-12</v>
      </c>
      <c r="F281">
        <f t="shared" si="12"/>
        <v>-3.3108951886750021E-8</v>
      </c>
      <c r="G281" s="2">
        <f t="shared" si="13"/>
        <v>1.6095808462937404E-4</v>
      </c>
      <c r="M281">
        <v>0.99289169278947498</v>
      </c>
      <c r="N281">
        <v>0.99297560286641395</v>
      </c>
      <c r="O281" s="1">
        <v>2.9254683582090199E-9</v>
      </c>
      <c r="P281" s="2">
        <f t="shared" si="14"/>
        <v>2.406760268709677</v>
      </c>
    </row>
    <row r="282" spans="1:16" x14ac:dyDescent="0.25">
      <c r="B282">
        <v>281</v>
      </c>
      <c r="C282" s="1">
        <v>2.6912050000000001E-6</v>
      </c>
      <c r="D282" s="1">
        <v>2.7243139518867501E-6</v>
      </c>
      <c r="E282" s="1">
        <v>6.8104854600082402E-12</v>
      </c>
      <c r="F282">
        <f t="shared" si="12"/>
        <v>-3.3108951886750021E-8</v>
      </c>
      <c r="G282" s="2">
        <f t="shared" si="13"/>
        <v>1.6095808462937404E-4</v>
      </c>
      <c r="M282">
        <v>0.57971837034189599</v>
      </c>
      <c r="N282">
        <v>0.57970157818775803</v>
      </c>
      <c r="O282" s="1">
        <v>1.37590663407572E-9</v>
      </c>
      <c r="P282" s="2">
        <f t="shared" si="14"/>
        <v>0.20493864453433056</v>
      </c>
    </row>
    <row r="283" spans="1:16" x14ac:dyDescent="0.25">
      <c r="B283">
        <v>282</v>
      </c>
      <c r="C283" s="1">
        <v>1.3456019999999999E-6</v>
      </c>
      <c r="D283" s="1">
        <v>1.3787109518867499E-6</v>
      </c>
      <c r="E283" s="1">
        <v>6.8104854600082402E-12</v>
      </c>
      <c r="F283">
        <f t="shared" si="12"/>
        <v>-3.3108951886750021E-8</v>
      </c>
      <c r="G283" s="2">
        <f t="shared" si="13"/>
        <v>1.6095808462937404E-4</v>
      </c>
      <c r="M283">
        <v>0.99302991061198198</v>
      </c>
      <c r="N283">
        <v>0.99300298818310195</v>
      </c>
      <c r="O283" s="1">
        <v>3.1416355535975799E-9</v>
      </c>
      <c r="P283" s="2">
        <f t="shared" si="14"/>
        <v>0.23071332254631602</v>
      </c>
    </row>
    <row r="284" spans="1:16" x14ac:dyDescent="0.25">
      <c r="B284">
        <v>283</v>
      </c>
      <c r="C284" s="1">
        <v>1.3456019999999999E-6</v>
      </c>
      <c r="D284" s="1">
        <v>1.3787109518867499E-6</v>
      </c>
      <c r="E284" s="1">
        <v>6.8104854600082402E-12</v>
      </c>
      <c r="F284">
        <f t="shared" si="12"/>
        <v>-3.3108951886750021E-8</v>
      </c>
      <c r="G284" s="2">
        <f t="shared" si="13"/>
        <v>1.6095808462937404E-4</v>
      </c>
      <c r="M284">
        <v>0.579713449611444</v>
      </c>
      <c r="N284">
        <v>0.57974969721588698</v>
      </c>
      <c r="O284" s="1">
        <v>1.7880243590610999E-9</v>
      </c>
      <c r="P284" s="2">
        <f t="shared" si="14"/>
        <v>0.73482714102677504</v>
      </c>
    </row>
    <row r="285" spans="1:16" x14ac:dyDescent="0.25">
      <c r="B285">
        <v>284</v>
      </c>
      <c r="C285" s="1">
        <v>1.9558169999999998E-6</v>
      </c>
      <c r="D285" s="1">
        <v>1.9889259518867498E-6</v>
      </c>
      <c r="E285" s="1">
        <v>6.8104854600082402E-12</v>
      </c>
      <c r="F285">
        <f t="shared" si="12"/>
        <v>-3.3108951886750021E-8</v>
      </c>
      <c r="G285" s="2">
        <f t="shared" si="13"/>
        <v>1.6095808462937404E-4</v>
      </c>
      <c r="M285">
        <v>0.99289304020121705</v>
      </c>
      <c r="N285">
        <v>0.99294746135315803</v>
      </c>
      <c r="O285" s="1">
        <v>3.4631634062986798E-9</v>
      </c>
      <c r="P285" s="2">
        <f t="shared" si="14"/>
        <v>0.85518973005933641</v>
      </c>
    </row>
    <row r="286" spans="1:16" x14ac:dyDescent="0.25">
      <c r="B286">
        <v>285</v>
      </c>
      <c r="C286" s="1">
        <v>1.9529789999999998E-6</v>
      </c>
      <c r="D286" s="1">
        <v>1.9860879518867498E-6</v>
      </c>
      <c r="E286" s="1">
        <v>6.8104854600082402E-12</v>
      </c>
      <c r="F286">
        <f t="shared" si="12"/>
        <v>-3.3108951886750021E-8</v>
      </c>
      <c r="G286" s="2">
        <f t="shared" si="13"/>
        <v>1.6095808462937404E-4</v>
      </c>
      <c r="M286">
        <v>0.57960456731235799</v>
      </c>
      <c r="N286">
        <v>0.579696579902649</v>
      </c>
      <c r="O286" s="1">
        <v>1.57711715175591E-9</v>
      </c>
      <c r="P286" s="2">
        <f t="shared" si="14"/>
        <v>5.3682231295472835</v>
      </c>
    </row>
    <row r="287" spans="1:16" x14ac:dyDescent="0.25">
      <c r="B287">
        <v>286</v>
      </c>
      <c r="C287" s="1">
        <v>1.8635719999999999E-6</v>
      </c>
      <c r="D287" s="1">
        <v>1.8966809518867499E-6</v>
      </c>
      <c r="E287" s="1">
        <v>6.8104854600082402E-12</v>
      </c>
      <c r="F287">
        <f t="shared" si="12"/>
        <v>-3.3108951886750021E-8</v>
      </c>
      <c r="G287" s="2">
        <f t="shared" si="13"/>
        <v>1.6095808462937404E-4</v>
      </c>
      <c r="M287">
        <v>0.99288407516650901</v>
      </c>
      <c r="N287">
        <v>0.99300875638374497</v>
      </c>
      <c r="O287" s="1">
        <v>2.7032532226212502E-9</v>
      </c>
      <c r="P287" s="2">
        <f t="shared" si="14"/>
        <v>5.7506288354179826</v>
      </c>
    </row>
    <row r="288" spans="1:16" x14ac:dyDescent="0.25">
      <c r="B288">
        <v>287</v>
      </c>
      <c r="C288" s="1">
        <v>1.8635719999999999E-6</v>
      </c>
      <c r="D288" s="1">
        <v>1.8966809518867499E-6</v>
      </c>
      <c r="E288" s="1">
        <v>6.8104854600082402E-12</v>
      </c>
      <c r="F288">
        <f t="shared" si="12"/>
        <v>-3.3108951886750021E-8</v>
      </c>
      <c r="G288" s="2">
        <f t="shared" si="13"/>
        <v>1.6095808462937404E-4</v>
      </c>
      <c r="M288">
        <v>5.4993771819066302</v>
      </c>
      <c r="N288">
        <v>5.4997089399431198</v>
      </c>
      <c r="O288" s="1">
        <v>1.92432068436662E-7</v>
      </c>
      <c r="P288" s="2">
        <f t="shared" si="14"/>
        <v>0.57195973451639803</v>
      </c>
    </row>
    <row r="289" spans="2:16" x14ac:dyDescent="0.25">
      <c r="B289">
        <v>288</v>
      </c>
      <c r="C289" s="1">
        <v>1.8057740000000001E-6</v>
      </c>
      <c r="D289" s="1">
        <v>1.8388829518867501E-6</v>
      </c>
      <c r="E289" s="1">
        <v>6.8104854600082402E-12</v>
      </c>
      <c r="F289">
        <f t="shared" si="12"/>
        <v>-3.3108951886750021E-8</v>
      </c>
      <c r="G289" s="2">
        <f t="shared" si="13"/>
        <v>1.6095808462937404E-4</v>
      </c>
      <c r="M289">
        <v>2.5721226198706599</v>
      </c>
      <c r="N289">
        <v>2.5719072016820301</v>
      </c>
      <c r="O289" s="1">
        <v>5.8430289998005E-8</v>
      </c>
      <c r="P289" s="2">
        <f t="shared" si="14"/>
        <v>0.79419417555738703</v>
      </c>
    </row>
    <row r="290" spans="2:16" x14ac:dyDescent="0.25">
      <c r="B290">
        <v>289</v>
      </c>
      <c r="C290" s="1">
        <v>1.8057740000000001E-6</v>
      </c>
      <c r="D290" s="1">
        <v>1.8388829518867501E-6</v>
      </c>
      <c r="E290" s="1">
        <v>6.8104854600082402E-12</v>
      </c>
      <c r="F290">
        <f t="shared" si="12"/>
        <v>-3.3108951886750021E-8</v>
      </c>
      <c r="G290" s="2">
        <f t="shared" si="13"/>
        <v>1.6095808462937404E-4</v>
      </c>
      <c r="M290">
        <v>5.5140058834857397</v>
      </c>
      <c r="N290">
        <v>5.5145541423557303</v>
      </c>
      <c r="O290" s="1">
        <v>2.0174732313593899E-7</v>
      </c>
      <c r="P290" s="2">
        <f t="shared" si="14"/>
        <v>1.4899220661320689</v>
      </c>
    </row>
    <row r="291" spans="2:16" x14ac:dyDescent="0.25">
      <c r="B291">
        <v>290</v>
      </c>
      <c r="C291" s="1">
        <v>1.1089220000000001E-6</v>
      </c>
      <c r="D291" s="1">
        <v>1.1420309518867501E-6</v>
      </c>
      <c r="E291" s="1">
        <v>6.8104854600082402E-12</v>
      </c>
      <c r="F291">
        <f t="shared" si="12"/>
        <v>-3.3108951886750021E-8</v>
      </c>
      <c r="G291" s="2">
        <f t="shared" si="13"/>
        <v>1.6095808462937404E-4</v>
      </c>
      <c r="M291">
        <v>1.0042021143964399</v>
      </c>
      <c r="N291">
        <v>1.00389706273768</v>
      </c>
      <c r="O291" s="1">
        <v>1.0905505775129499E-8</v>
      </c>
      <c r="P291" s="2">
        <f t="shared" si="14"/>
        <v>8.5329847538486572</v>
      </c>
    </row>
    <row r="292" spans="2:16" x14ac:dyDescent="0.25">
      <c r="B292">
        <v>291</v>
      </c>
      <c r="C292" s="1">
        <v>1.1123750000000001E-6</v>
      </c>
      <c r="D292" s="1">
        <v>1.1454839518867499E-6</v>
      </c>
      <c r="E292" s="1">
        <v>6.8104854600082402E-12</v>
      </c>
      <c r="F292">
        <f t="shared" si="12"/>
        <v>-3.3108951886749809E-8</v>
      </c>
      <c r="G292" s="2">
        <f t="shared" si="13"/>
        <v>1.6095808462937198E-4</v>
      </c>
      <c r="M292">
        <v>5.5030958285412197</v>
      </c>
      <c r="N292">
        <v>5.5024968341190297</v>
      </c>
      <c r="O292" s="1">
        <v>2.0209915395691299E-7</v>
      </c>
      <c r="P292" s="2">
        <f t="shared" si="14"/>
        <v>1.7753380496152664</v>
      </c>
    </row>
    <row r="293" spans="2:16" x14ac:dyDescent="0.25">
      <c r="B293">
        <v>292</v>
      </c>
      <c r="C293" s="1">
        <v>1.1130800000000001E-6</v>
      </c>
      <c r="D293" s="1">
        <v>1.1461889518867501E-6</v>
      </c>
      <c r="E293" s="1">
        <v>6.8104854600082402E-12</v>
      </c>
      <c r="F293">
        <f t="shared" si="12"/>
        <v>-3.3108951886750021E-8</v>
      </c>
      <c r="G293" s="2">
        <f t="shared" si="13"/>
        <v>1.6095808462937404E-4</v>
      </c>
      <c r="M293">
        <v>2.5729008326667699</v>
      </c>
      <c r="N293">
        <v>2.5727508575559801</v>
      </c>
      <c r="O293" s="1">
        <v>4.2024292010242097E-8</v>
      </c>
      <c r="P293" s="2">
        <f t="shared" si="14"/>
        <v>0.53522695518451047</v>
      </c>
    </row>
    <row r="294" spans="2:16" x14ac:dyDescent="0.25">
      <c r="B294">
        <v>293</v>
      </c>
      <c r="C294" s="1">
        <v>1.1175169999999999E-6</v>
      </c>
      <c r="D294" s="1">
        <v>1.15062595188675E-6</v>
      </c>
      <c r="E294" s="1">
        <v>6.8104854600082402E-12</v>
      </c>
      <c r="F294">
        <f t="shared" si="12"/>
        <v>-3.3108951886750021E-8</v>
      </c>
      <c r="G294" s="2">
        <f t="shared" si="13"/>
        <v>1.6095808462937404E-4</v>
      </c>
      <c r="M294">
        <v>5.5162871839813601</v>
      </c>
      <c r="N294">
        <v>5.5155611929888</v>
      </c>
      <c r="O294" s="1">
        <v>2.15101959658232E-7</v>
      </c>
      <c r="P294" s="2">
        <f t="shared" si="14"/>
        <v>2.450293442773976</v>
      </c>
    </row>
    <row r="295" spans="2:16" x14ac:dyDescent="0.25">
      <c r="B295">
        <v>294</v>
      </c>
      <c r="C295" s="1">
        <v>1.8635719999999999E-6</v>
      </c>
      <c r="D295" s="1">
        <v>1.8966809518867499E-6</v>
      </c>
      <c r="E295" s="1">
        <v>6.8104854600082402E-12</v>
      </c>
      <c r="F295">
        <f t="shared" si="12"/>
        <v>-3.3108951886750021E-8</v>
      </c>
      <c r="G295" s="2">
        <f t="shared" si="13"/>
        <v>1.6095808462937404E-4</v>
      </c>
      <c r="M295">
        <v>1.0034194913960299</v>
      </c>
      <c r="N295">
        <v>1.00342032936491</v>
      </c>
      <c r="O295" s="1">
        <v>1.35873049944174E-8</v>
      </c>
      <c r="P295" s="2">
        <f t="shared" si="14"/>
        <v>5.167999424776452E-5</v>
      </c>
    </row>
    <row r="296" spans="2:16" x14ac:dyDescent="0.25">
      <c r="B296">
        <v>295</v>
      </c>
      <c r="C296" s="1">
        <v>1.8635719999999999E-6</v>
      </c>
      <c r="D296" s="1">
        <v>1.8966809518867499E-6</v>
      </c>
      <c r="E296" s="1">
        <v>6.8104854600082402E-12</v>
      </c>
      <c r="F296">
        <f t="shared" si="12"/>
        <v>-3.3108951886750021E-8</v>
      </c>
      <c r="G296" s="2">
        <f t="shared" si="13"/>
        <v>1.6095808462937404E-4</v>
      </c>
      <c r="M296">
        <v>5.5069300006055899</v>
      </c>
      <c r="N296">
        <v>5.50660248353193</v>
      </c>
      <c r="O296" s="1">
        <v>1.2160504570589901E-7</v>
      </c>
      <c r="P296" s="2">
        <f t="shared" si="14"/>
        <v>0.88209689750983455</v>
      </c>
    </row>
    <row r="297" spans="2:16" x14ac:dyDescent="0.25">
      <c r="B297">
        <v>296</v>
      </c>
      <c r="C297" s="1">
        <v>1.8057740000000001E-6</v>
      </c>
      <c r="D297" s="1">
        <v>1.8388829518867501E-6</v>
      </c>
      <c r="E297" s="1">
        <v>6.8104854600082402E-12</v>
      </c>
      <c r="F297">
        <f t="shared" si="12"/>
        <v>-3.3108951886750021E-8</v>
      </c>
      <c r="G297" s="2">
        <f t="shared" si="13"/>
        <v>1.6095808462937404E-4</v>
      </c>
      <c r="M297">
        <v>2.5738341452959599</v>
      </c>
      <c r="N297">
        <v>2.5739930100986301</v>
      </c>
      <c r="O297" s="1">
        <v>3.8624161994522001E-8</v>
      </c>
      <c r="P297" s="2">
        <f t="shared" si="14"/>
        <v>0.65342584082562494</v>
      </c>
    </row>
    <row r="298" spans="2:16" x14ac:dyDescent="0.25">
      <c r="B298">
        <v>297</v>
      </c>
      <c r="C298" s="1">
        <v>1.8057740000000001E-6</v>
      </c>
      <c r="D298" s="1">
        <v>1.8388829518867501E-6</v>
      </c>
      <c r="E298" s="1">
        <v>6.8104854600082402E-12</v>
      </c>
      <c r="F298">
        <f t="shared" si="12"/>
        <v>-3.3108951886750021E-8</v>
      </c>
      <c r="G298" s="2">
        <f t="shared" si="13"/>
        <v>1.6095808462937404E-4</v>
      </c>
      <c r="M298">
        <v>5.5177423006015101</v>
      </c>
      <c r="N298">
        <v>5.51704365262216</v>
      </c>
      <c r="O298" s="1">
        <v>1.5671975463879799E-7</v>
      </c>
      <c r="P298" s="2">
        <f t="shared" si="14"/>
        <v>3.1145339665371026</v>
      </c>
    </row>
    <row r="299" spans="2:16" x14ac:dyDescent="0.25">
      <c r="B299">
        <v>298</v>
      </c>
      <c r="C299" s="1">
        <v>2.01679E-6</v>
      </c>
      <c r="D299" s="1">
        <v>2.0498989518867501E-6</v>
      </c>
      <c r="E299" s="1">
        <v>6.8104854600082402E-12</v>
      </c>
      <c r="F299">
        <f t="shared" si="12"/>
        <v>-3.3108951886750021E-8</v>
      </c>
      <c r="G299" s="2">
        <f t="shared" si="13"/>
        <v>1.6095808462937404E-4</v>
      </c>
      <c r="M299">
        <v>1.00269646430424</v>
      </c>
      <c r="N299">
        <v>1.0027191095574299</v>
      </c>
      <c r="O299" s="1">
        <v>1.73543887585077E-8</v>
      </c>
      <c r="P299" s="2">
        <f t="shared" si="14"/>
        <v>2.9549153195375637E-2</v>
      </c>
    </row>
    <row r="300" spans="2:16" x14ac:dyDescent="0.25">
      <c r="B300">
        <v>299</v>
      </c>
      <c r="C300" s="1">
        <v>2.0200199999999998E-6</v>
      </c>
      <c r="D300" s="1">
        <v>2.0531289518867499E-6</v>
      </c>
      <c r="E300" s="1">
        <v>6.8104854600082402E-12</v>
      </c>
      <c r="F300">
        <f t="shared" si="12"/>
        <v>-3.3108951886750021E-8</v>
      </c>
      <c r="G300" s="2">
        <f t="shared" si="13"/>
        <v>1.6095808462937404E-4</v>
      </c>
      <c r="M300">
        <v>5.5081933426901699</v>
      </c>
      <c r="N300">
        <v>5.5095653230310804</v>
      </c>
      <c r="O300" s="1">
        <v>2.6379243218739602E-7</v>
      </c>
      <c r="P300" s="2">
        <f t="shared" si="14"/>
        <v>7.1356484347799398</v>
      </c>
    </row>
    <row r="301" spans="2:16" x14ac:dyDescent="0.25">
      <c r="B301">
        <v>300</v>
      </c>
      <c r="C301" s="1">
        <v>2.5309140000000002E-6</v>
      </c>
      <c r="D301" s="1">
        <v>2.5640229518867502E-6</v>
      </c>
      <c r="E301" s="1">
        <v>6.8104854600082402E-12</v>
      </c>
      <c r="F301">
        <f t="shared" si="12"/>
        <v>-3.3108951886750021E-8</v>
      </c>
      <c r="G301" s="2">
        <f t="shared" si="13"/>
        <v>1.6095808462937404E-4</v>
      </c>
      <c r="M301">
        <v>2.57426186199327</v>
      </c>
      <c r="N301">
        <v>2.57488920576519</v>
      </c>
      <c r="O301" s="1">
        <v>6.4710174453213102E-8</v>
      </c>
      <c r="P301" s="2">
        <f t="shared" si="14"/>
        <v>6.0818906994499633</v>
      </c>
    </row>
    <row r="302" spans="2:16" x14ac:dyDescent="0.25">
      <c r="B302">
        <v>301</v>
      </c>
      <c r="C302" s="1">
        <v>2.5771240000000001E-6</v>
      </c>
      <c r="D302" s="1">
        <v>2.6102329518867501E-6</v>
      </c>
      <c r="E302" s="1">
        <v>6.8104854600082402E-12</v>
      </c>
      <c r="F302">
        <f t="shared" si="12"/>
        <v>-3.3108951886750021E-8</v>
      </c>
      <c r="G302" s="2">
        <f t="shared" si="13"/>
        <v>1.6095808462937404E-4</v>
      </c>
      <c r="M302">
        <v>5.5166229206585804</v>
      </c>
      <c r="N302">
        <v>5.5181130295745202</v>
      </c>
      <c r="O302" s="1">
        <v>2.6822054741095998E-7</v>
      </c>
      <c r="P302" s="2">
        <f t="shared" si="14"/>
        <v>8.2783537756384327</v>
      </c>
    </row>
    <row r="303" spans="2:16" x14ac:dyDescent="0.25">
      <c r="B303">
        <v>302</v>
      </c>
      <c r="C303" s="1">
        <v>7.8601330000000004E-7</v>
      </c>
      <c r="D303" s="1">
        <v>8.1912225188674996E-7</v>
      </c>
      <c r="E303" s="1">
        <v>6.8104854600082402E-12</v>
      </c>
      <c r="F303">
        <f t="shared" si="12"/>
        <v>-3.3108951886749915E-8</v>
      </c>
      <c r="G303" s="2">
        <f t="shared" si="13"/>
        <v>1.6095808462937303E-4</v>
      </c>
      <c r="M303">
        <v>1.00204042119561</v>
      </c>
      <c r="N303">
        <v>1.0022137035580001</v>
      </c>
      <c r="O303" s="1">
        <v>1.7120582853986198E-8</v>
      </c>
      <c r="P303" s="2">
        <f t="shared" si="14"/>
        <v>1.7538408225691857</v>
      </c>
    </row>
    <row r="304" spans="2:16" x14ac:dyDescent="0.25">
      <c r="B304">
        <v>303</v>
      </c>
      <c r="C304" s="1">
        <v>2.3906239999999998E-6</v>
      </c>
      <c r="D304" s="1">
        <v>2.4237329518867499E-6</v>
      </c>
      <c r="E304" s="1">
        <v>6.8104854600082402E-12</v>
      </c>
      <c r="F304">
        <f t="shared" si="12"/>
        <v>-3.3108951886750021E-8</v>
      </c>
      <c r="G304" s="2">
        <f t="shared" si="13"/>
        <v>1.6095808462937404E-4</v>
      </c>
      <c r="M304">
        <v>5.5115772716510296</v>
      </c>
      <c r="N304">
        <v>5.5117730854596001</v>
      </c>
      <c r="O304" s="1">
        <v>1.0803171374454499E-7</v>
      </c>
      <c r="P304" s="2">
        <f t="shared" si="14"/>
        <v>0.35492399683247372</v>
      </c>
    </row>
    <row r="305" spans="2:16" x14ac:dyDescent="0.25">
      <c r="B305">
        <v>304</v>
      </c>
      <c r="C305" s="1">
        <v>2.0590699999999999E-6</v>
      </c>
      <c r="D305" s="1">
        <v>2.0921789518867499E-6</v>
      </c>
      <c r="E305" s="1">
        <v>6.8104854600082402E-12</v>
      </c>
      <c r="F305">
        <f t="shared" si="12"/>
        <v>-3.3108951886750021E-8</v>
      </c>
      <c r="G305" s="2">
        <f t="shared" si="13"/>
        <v>1.6095808462937404E-4</v>
      </c>
      <c r="M305">
        <v>2.5754941149907702</v>
      </c>
      <c r="N305">
        <v>2.5755568961839299</v>
      </c>
      <c r="O305" s="1">
        <v>2.2087544342540901E-8</v>
      </c>
      <c r="P305" s="2">
        <f t="shared" si="14"/>
        <v>0.17844800460533813</v>
      </c>
    </row>
    <row r="306" spans="2:16" x14ac:dyDescent="0.25">
      <c r="B306">
        <v>305</v>
      </c>
      <c r="C306" s="1">
        <v>2.789777E-6</v>
      </c>
      <c r="D306" s="1">
        <v>2.82288595188675E-6</v>
      </c>
      <c r="E306" s="1">
        <v>6.8104854600082402E-12</v>
      </c>
      <c r="F306">
        <f t="shared" si="12"/>
        <v>-3.3108951886750021E-8</v>
      </c>
      <c r="G306" s="2">
        <f t="shared" si="13"/>
        <v>1.6095808462937404E-4</v>
      </c>
      <c r="M306">
        <v>5.5185377212329998</v>
      </c>
      <c r="N306">
        <v>5.5189096375755096</v>
      </c>
      <c r="O306" s="1">
        <v>1.12692836924726E-7</v>
      </c>
      <c r="P306" s="2">
        <f t="shared" si="14"/>
        <v>1.2274228744302349</v>
      </c>
    </row>
    <row r="307" spans="2:16" x14ac:dyDescent="0.25">
      <c r="B307">
        <v>306</v>
      </c>
      <c r="C307" s="1">
        <v>2.5703959999999999E-6</v>
      </c>
      <c r="D307" s="1">
        <v>2.6035049518867499E-6</v>
      </c>
      <c r="E307" s="1">
        <v>6.8104854600082402E-12</v>
      </c>
      <c r="F307">
        <f t="shared" si="12"/>
        <v>-3.3108951886750021E-8</v>
      </c>
      <c r="G307" s="2">
        <f t="shared" si="13"/>
        <v>1.6095808462937404E-4</v>
      </c>
      <c r="M307">
        <v>1.00194716461188</v>
      </c>
      <c r="N307">
        <v>1.0018374420537299</v>
      </c>
      <c r="O307" s="1">
        <v>8.1407279497078796E-9</v>
      </c>
      <c r="P307" s="2">
        <f t="shared" si="14"/>
        <v>1.4788652613600231</v>
      </c>
    </row>
    <row r="308" spans="2:16" x14ac:dyDescent="0.25">
      <c r="B308">
        <v>307</v>
      </c>
      <c r="C308" s="1">
        <v>1.8063660000000001E-6</v>
      </c>
      <c r="D308" s="1">
        <v>1.8394749518867499E-6</v>
      </c>
      <c r="E308" s="1">
        <v>6.8104854600082402E-12</v>
      </c>
      <c r="F308">
        <f t="shared" si="12"/>
        <v>-3.3108951886749809E-8</v>
      </c>
      <c r="G308" s="2">
        <f t="shared" si="13"/>
        <v>1.6095808462937198E-4</v>
      </c>
      <c r="M308">
        <v>5.5140276118255498</v>
      </c>
      <c r="N308">
        <v>5.5143235041424798</v>
      </c>
      <c r="O308" s="1">
        <v>1.9885227801024001E-7</v>
      </c>
      <c r="P308" s="2">
        <f t="shared" si="14"/>
        <v>0.44028795694122791</v>
      </c>
    </row>
    <row r="309" spans="2:16" x14ac:dyDescent="0.25">
      <c r="B309">
        <v>308</v>
      </c>
      <c r="C309" s="1">
        <v>2.0662720000000001E-6</v>
      </c>
      <c r="D309" s="1">
        <v>2.0993809518867501E-6</v>
      </c>
      <c r="E309" s="1">
        <v>6.8104854600082402E-12</v>
      </c>
      <c r="F309">
        <f t="shared" si="12"/>
        <v>-3.3108951886750021E-8</v>
      </c>
      <c r="G309" s="2">
        <f t="shared" si="13"/>
        <v>1.6095808462937404E-4</v>
      </c>
      <c r="M309">
        <v>2.57613048365738</v>
      </c>
      <c r="N309">
        <v>2.5763280981819001</v>
      </c>
      <c r="O309" s="1">
        <v>4.0871471093261203E-8</v>
      </c>
      <c r="P309" s="2">
        <f t="shared" si="14"/>
        <v>0.95547087630443739</v>
      </c>
    </row>
    <row r="310" spans="2:16" x14ac:dyDescent="0.25">
      <c r="B310">
        <v>309</v>
      </c>
      <c r="C310" s="1">
        <v>2.0662720000000001E-6</v>
      </c>
      <c r="D310" s="1">
        <v>2.0993809518867501E-6</v>
      </c>
      <c r="E310" s="1">
        <v>6.8104854600082402E-12</v>
      </c>
      <c r="F310">
        <f t="shared" si="12"/>
        <v>-3.3108951886750021E-8</v>
      </c>
      <c r="G310" s="2">
        <f t="shared" si="13"/>
        <v>1.6095808462937404E-4</v>
      </c>
      <c r="M310">
        <v>5.5194891804580397</v>
      </c>
      <c r="N310">
        <v>5.5198296292443496</v>
      </c>
      <c r="O310" s="1">
        <v>2.0341708209171999E-7</v>
      </c>
      <c r="P310" s="2">
        <f t="shared" si="14"/>
        <v>0.56979175449789499</v>
      </c>
    </row>
    <row r="311" spans="2:16" x14ac:dyDescent="0.25">
      <c r="B311">
        <v>310</v>
      </c>
      <c r="C311" s="1">
        <v>1.8063660000000001E-6</v>
      </c>
      <c r="D311" s="1">
        <v>1.8394749518867499E-6</v>
      </c>
      <c r="E311" s="1">
        <v>6.8104854600082402E-12</v>
      </c>
      <c r="F311">
        <f t="shared" si="12"/>
        <v>-3.3108951886749809E-8</v>
      </c>
      <c r="G311" s="2">
        <f t="shared" si="13"/>
        <v>1.6095808462937198E-4</v>
      </c>
      <c r="M311">
        <v>1.0014010625337499</v>
      </c>
      <c r="N311">
        <v>1.0014031460977499</v>
      </c>
      <c r="O311" s="1">
        <v>1.3974587822702201E-8</v>
      </c>
      <c r="P311" s="2">
        <f t="shared" si="14"/>
        <v>3.1065237824339409E-4</v>
      </c>
    </row>
    <row r="312" spans="2:16" x14ac:dyDescent="0.25">
      <c r="B312">
        <v>311</v>
      </c>
      <c r="C312" s="1">
        <v>1.8063660000000001E-6</v>
      </c>
      <c r="D312" s="1">
        <v>1.8394749518867499E-6</v>
      </c>
      <c r="E312" s="1">
        <v>6.8104854600082402E-12</v>
      </c>
      <c r="F312">
        <f t="shared" si="12"/>
        <v>-3.3108951886749809E-8</v>
      </c>
      <c r="G312" s="2">
        <f t="shared" si="13"/>
        <v>1.6095808462937198E-4</v>
      </c>
      <c r="M312">
        <v>5.5155149825126797</v>
      </c>
      <c r="N312">
        <v>5.5158125526309902</v>
      </c>
      <c r="O312" s="1">
        <v>7.71284539538651E-8</v>
      </c>
      <c r="P312" s="2">
        <f t="shared" si="14"/>
        <v>1.1480584761146899</v>
      </c>
    </row>
    <row r="313" spans="2:16" x14ac:dyDescent="0.25">
      <c r="B313">
        <v>312</v>
      </c>
      <c r="C313" s="1">
        <v>2.6912050000000001E-6</v>
      </c>
      <c r="D313" s="1">
        <v>2.7243139518867501E-6</v>
      </c>
      <c r="E313" s="1">
        <v>6.8104854600082402E-12</v>
      </c>
      <c r="F313">
        <f t="shared" si="12"/>
        <v>-3.3108951886750021E-8</v>
      </c>
      <c r="G313" s="2">
        <f t="shared" si="13"/>
        <v>1.6095808462937404E-4</v>
      </c>
      <c r="M313">
        <v>2.5766229647296499</v>
      </c>
      <c r="N313">
        <v>2.57677830220877</v>
      </c>
      <c r="O313" s="1">
        <v>2.4340635934075901E-8</v>
      </c>
      <c r="P313" s="2">
        <f t="shared" si="14"/>
        <v>0.99133533259950668</v>
      </c>
    </row>
    <row r="314" spans="2:16" x14ac:dyDescent="0.25">
      <c r="B314">
        <v>313</v>
      </c>
      <c r="C314" s="1">
        <v>1.3456019999999999E-6</v>
      </c>
      <c r="D314" s="1">
        <v>1.3787109518867499E-6</v>
      </c>
      <c r="E314" s="1">
        <v>6.8104854600082402E-12</v>
      </c>
      <c r="F314">
        <f t="shared" si="12"/>
        <v>-3.3108951886750021E-8</v>
      </c>
      <c r="G314" s="2">
        <f t="shared" si="13"/>
        <v>1.6095808462937404E-4</v>
      </c>
      <c r="M314">
        <v>5.5199296429203502</v>
      </c>
      <c r="N314">
        <v>5.5203666356803396</v>
      </c>
      <c r="O314" s="1">
        <v>7.3578468478902703E-8</v>
      </c>
      <c r="P314" s="2">
        <f t="shared" si="14"/>
        <v>2.5953607927832092</v>
      </c>
    </row>
    <row r="315" spans="2:16" x14ac:dyDescent="0.25">
      <c r="B315">
        <v>314</v>
      </c>
      <c r="C315" s="1">
        <v>1.3456019999999999E-6</v>
      </c>
      <c r="D315" s="1">
        <v>1.3787109518867499E-6</v>
      </c>
      <c r="E315" s="1">
        <v>6.8104854600082402E-12</v>
      </c>
      <c r="F315">
        <f t="shared" si="12"/>
        <v>-3.3108951886750021E-8</v>
      </c>
      <c r="G315" s="2">
        <f t="shared" si="13"/>
        <v>1.6095808462937404E-4</v>
      </c>
      <c r="M315">
        <v>1.00125979251807</v>
      </c>
      <c r="N315">
        <v>1.00114976456697</v>
      </c>
      <c r="O315" s="1">
        <v>1.20261407214223E-8</v>
      </c>
      <c r="P315" s="2">
        <f t="shared" si="14"/>
        <v>1.0066529490782152</v>
      </c>
    </row>
    <row r="316" spans="2:16" x14ac:dyDescent="0.25">
      <c r="B316">
        <v>315</v>
      </c>
      <c r="C316" s="1">
        <v>1.8110399999999999E-6</v>
      </c>
      <c r="D316" s="1">
        <v>1.84414895188675E-6</v>
      </c>
      <c r="E316" s="1">
        <v>6.8104854600082402E-12</v>
      </c>
      <c r="F316">
        <f t="shared" si="12"/>
        <v>-3.3108951886750021E-8</v>
      </c>
      <c r="G316" s="2">
        <f t="shared" si="13"/>
        <v>1.6095808462937404E-4</v>
      </c>
      <c r="M316">
        <v>5.5166306240173597</v>
      </c>
      <c r="N316">
        <v>5.5172695292510303</v>
      </c>
      <c r="O316" s="1">
        <v>3.7455148609246002E-7</v>
      </c>
      <c r="P316" s="2">
        <f t="shared" si="14"/>
        <v>1.0898365452244532</v>
      </c>
    </row>
    <row r="317" spans="2:16" x14ac:dyDescent="0.25">
      <c r="B317">
        <v>316</v>
      </c>
      <c r="C317" s="1">
        <v>1.8110399999999999E-6</v>
      </c>
      <c r="D317" s="1">
        <v>1.84414895188675E-6</v>
      </c>
      <c r="E317" s="1">
        <v>6.8104854600082402E-12</v>
      </c>
      <c r="F317">
        <f t="shared" si="12"/>
        <v>-3.3108951886750021E-8</v>
      </c>
      <c r="G317" s="2">
        <f t="shared" si="13"/>
        <v>1.6095808462937404E-4</v>
      </c>
      <c r="M317">
        <v>2.5768035680075498</v>
      </c>
      <c r="N317">
        <v>2.5772187680112899</v>
      </c>
      <c r="O317" s="1">
        <v>8.8313530746095996E-8</v>
      </c>
      <c r="P317" s="2">
        <f t="shared" si="14"/>
        <v>1.9520343219136151</v>
      </c>
    </row>
    <row r="318" spans="2:16" x14ac:dyDescent="0.25">
      <c r="B318">
        <v>317</v>
      </c>
      <c r="C318" s="1">
        <v>1.8209790000000001E-6</v>
      </c>
      <c r="D318" s="1">
        <v>1.8540879518867501E-6</v>
      </c>
      <c r="E318" s="1">
        <v>6.8104854600082402E-12</v>
      </c>
      <c r="F318">
        <f t="shared" si="12"/>
        <v>-3.3108951886750021E-8</v>
      </c>
      <c r="G318" s="2">
        <f t="shared" si="13"/>
        <v>1.6095808462937404E-4</v>
      </c>
      <c r="M318">
        <v>5.5202002567036503</v>
      </c>
      <c r="N318">
        <v>5.5208919860499401</v>
      </c>
      <c r="O318" s="1">
        <v>3.4686245554885002E-7</v>
      </c>
      <c r="P318" s="2">
        <f t="shared" si="14"/>
        <v>1.3794790438226965</v>
      </c>
    </row>
    <row r="319" spans="2:16" x14ac:dyDescent="0.25">
      <c r="B319">
        <v>318</v>
      </c>
      <c r="C319" s="1">
        <v>2.0184040000000001E-6</v>
      </c>
      <c r="D319" s="1">
        <v>2.0515129518867502E-6</v>
      </c>
      <c r="E319" s="1">
        <v>6.8104854600082402E-12</v>
      </c>
      <c r="F319">
        <f t="shared" si="12"/>
        <v>-3.3108951886750021E-8</v>
      </c>
      <c r="G319" s="2">
        <f t="shared" si="13"/>
        <v>1.6095808462937404E-4</v>
      </c>
      <c r="M319">
        <v>1.0008793806537799</v>
      </c>
      <c r="N319">
        <v>1.0009019687251399</v>
      </c>
      <c r="O319" s="1">
        <v>1.0364438654731701E-8</v>
      </c>
      <c r="P319" s="2">
        <f t="shared" si="14"/>
        <v>4.922803682497371E-2</v>
      </c>
    </row>
    <row r="320" spans="2:16" x14ac:dyDescent="0.25">
      <c r="B320">
        <v>319</v>
      </c>
      <c r="C320" s="1">
        <v>1.2826260000000001E-6</v>
      </c>
      <c r="D320" s="1">
        <v>1.3157349518867499E-6</v>
      </c>
      <c r="E320" s="1">
        <v>6.8104854600082402E-12</v>
      </c>
      <c r="F320">
        <f t="shared" si="12"/>
        <v>-3.3108951886749809E-8</v>
      </c>
      <c r="G320" s="2">
        <f t="shared" si="13"/>
        <v>1.6095808462937198E-4</v>
      </c>
      <c r="M320">
        <v>5.5180777210011698</v>
      </c>
      <c r="N320">
        <v>5.5181954394030299</v>
      </c>
      <c r="O320" s="1">
        <v>3.0050126925325303E-7</v>
      </c>
      <c r="P320" s="2">
        <f t="shared" si="14"/>
        <v>4.6115020315697426E-2</v>
      </c>
    </row>
    <row r="321" spans="1:16" x14ac:dyDescent="0.25">
      <c r="B321">
        <v>320</v>
      </c>
      <c r="C321" s="1">
        <v>1.1173009999999999E-6</v>
      </c>
      <c r="D321" s="1">
        <v>1.1504099518867499E-6</v>
      </c>
      <c r="E321" s="1">
        <v>6.8104854600082402E-12</v>
      </c>
      <c r="F321">
        <f t="shared" si="12"/>
        <v>-3.3108951886750021E-8</v>
      </c>
      <c r="G321" s="2">
        <f t="shared" si="13"/>
        <v>1.6095808462937404E-4</v>
      </c>
      <c r="M321">
        <v>2.5774804664189599</v>
      </c>
      <c r="N321">
        <v>2.5774986631571402</v>
      </c>
      <c r="O321" s="1">
        <v>7.8457056839158099E-8</v>
      </c>
      <c r="P321" s="2">
        <f t="shared" si="14"/>
        <v>4.2204142462281494E-3</v>
      </c>
    </row>
    <row r="322" spans="1:16" x14ac:dyDescent="0.25">
      <c r="B322">
        <v>321</v>
      </c>
      <c r="C322" s="1">
        <v>1.8110399999999999E-6</v>
      </c>
      <c r="D322" s="1">
        <v>1.84414895188675E-6</v>
      </c>
      <c r="E322" s="1">
        <v>6.8104854600082402E-12</v>
      </c>
      <c r="F322">
        <f t="shared" si="12"/>
        <v>-3.3108951886750021E-8</v>
      </c>
      <c r="G322" s="2">
        <f t="shared" si="13"/>
        <v>1.6095808462937404E-4</v>
      </c>
      <c r="M322">
        <v>5.52106061745907</v>
      </c>
      <c r="N322">
        <v>5.5212258006362003</v>
      </c>
      <c r="O322" s="1">
        <v>2.9583115560854402E-7</v>
      </c>
      <c r="P322" s="2">
        <f t="shared" si="14"/>
        <v>9.2233294193574178E-2</v>
      </c>
    </row>
    <row r="323" spans="1:16" x14ac:dyDescent="0.25">
      <c r="B323">
        <v>322</v>
      </c>
      <c r="C323" s="1">
        <v>1.8110399999999999E-6</v>
      </c>
      <c r="D323" s="1">
        <v>1.84414895188675E-6</v>
      </c>
      <c r="E323" s="1">
        <v>6.8104854600082402E-12</v>
      </c>
      <c r="F323">
        <f t="shared" ref="F323:F386" si="15">C323-D323</f>
        <v>-3.3108951886750021E-8</v>
      </c>
      <c r="G323" s="2">
        <f t="shared" ref="G323:G386" si="16">F323^2/E323</f>
        <v>1.6095808462937404E-4</v>
      </c>
      <c r="M323">
        <v>1.00089073010427</v>
      </c>
      <c r="N323">
        <v>1.00074456007948</v>
      </c>
      <c r="O323" s="1">
        <v>1.8264215170946201E-8</v>
      </c>
      <c r="P323" s="2">
        <f t="shared" ref="P323:P386" si="17">(M323-N323)^2/O323</f>
        <v>1.1698107992670799</v>
      </c>
    </row>
    <row r="324" spans="1:16" x14ac:dyDescent="0.25">
      <c r="B324">
        <v>323</v>
      </c>
      <c r="C324" s="1">
        <v>1.8209790000000001E-6</v>
      </c>
      <c r="D324" s="1">
        <v>1.8540879518867501E-6</v>
      </c>
      <c r="E324" s="1">
        <v>6.8104854600082402E-12</v>
      </c>
      <c r="F324">
        <f t="shared" si="15"/>
        <v>-3.3108951886750021E-8</v>
      </c>
      <c r="G324" s="2">
        <f t="shared" si="16"/>
        <v>1.6095808462937404E-4</v>
      </c>
      <c r="M324">
        <v>5.5181939423043902</v>
      </c>
      <c r="N324">
        <v>5.5190449216220596</v>
      </c>
      <c r="O324" s="1">
        <v>3.3076387532149703E-7</v>
      </c>
      <c r="P324" s="2">
        <f t="shared" si="17"/>
        <v>2.1893739103075718</v>
      </c>
    </row>
    <row r="325" spans="1:16" x14ac:dyDescent="0.25">
      <c r="B325" s="57">
        <v>324</v>
      </c>
      <c r="C325" s="1">
        <v>1.8209790000000001E-6</v>
      </c>
      <c r="D325" s="1">
        <v>1.8540879518867501E-6</v>
      </c>
      <c r="E325" s="1">
        <v>6.8104854600082402E-12</v>
      </c>
      <c r="F325">
        <f t="shared" si="15"/>
        <v>-3.3108951886750021E-8</v>
      </c>
      <c r="G325" s="2">
        <f t="shared" si="16"/>
        <v>1.6095808462937404E-4</v>
      </c>
      <c r="M325">
        <v>2.5772570086891</v>
      </c>
      <c r="N325">
        <v>2.5777554401821501</v>
      </c>
      <c r="O325" s="1">
        <v>7.7467378642913594E-8</v>
      </c>
      <c r="P325" s="2">
        <f t="shared" si="17"/>
        <v>3.2069492684046605</v>
      </c>
    </row>
    <row r="326" spans="1:16" x14ac:dyDescent="0.25">
      <c r="A326" t="s">
        <v>125</v>
      </c>
      <c r="B326">
        <v>325</v>
      </c>
      <c r="C326">
        <v>-0.35688917688487998</v>
      </c>
      <c r="D326">
        <v>-0.382843574750728</v>
      </c>
      <c r="E326">
        <v>0.50947953831026904</v>
      </c>
      <c r="F326">
        <f t="shared" si="15"/>
        <v>2.5954397865848022E-2</v>
      </c>
      <c r="G326" s="2">
        <f t="shared" si="16"/>
        <v>1.3221939605521519E-3</v>
      </c>
      <c r="M326">
        <v>5.5206705770174196</v>
      </c>
      <c r="N326">
        <v>5.5215320294591601</v>
      </c>
      <c r="O326" s="1">
        <v>3.4096019740737301E-7</v>
      </c>
      <c r="P326" s="2">
        <f t="shared" si="17"/>
        <v>2.176501289662419</v>
      </c>
    </row>
    <row r="327" spans="1:16" x14ac:dyDescent="0.25">
      <c r="B327">
        <v>326</v>
      </c>
      <c r="C327">
        <v>-0.360133584748902</v>
      </c>
      <c r="D327">
        <v>-0.33031925033216503</v>
      </c>
      <c r="E327">
        <v>0.51878479545637801</v>
      </c>
      <c r="F327">
        <f t="shared" si="15"/>
        <v>-2.9814334416736976E-2</v>
      </c>
      <c r="G327" s="2">
        <f t="shared" si="16"/>
        <v>1.7134167086201154E-3</v>
      </c>
      <c r="M327">
        <v>1.00053143754532</v>
      </c>
      <c r="N327">
        <v>1.0006001895053001</v>
      </c>
      <c r="O327" s="1">
        <v>2.05808085158042E-8</v>
      </c>
      <c r="P327" s="2">
        <f t="shared" si="17"/>
        <v>0.22967183225402479</v>
      </c>
    </row>
    <row r="328" spans="1:16" x14ac:dyDescent="0.25">
      <c r="B328">
        <v>327</v>
      </c>
      <c r="C328">
        <v>-0.37102057115194198</v>
      </c>
      <c r="D328">
        <v>-0.30849176908528197</v>
      </c>
      <c r="E328">
        <v>0.55062505687165197</v>
      </c>
      <c r="F328">
        <f t="shared" si="15"/>
        <v>-6.2528802066660005E-2</v>
      </c>
      <c r="G328" s="2">
        <f t="shared" si="16"/>
        <v>7.1007503910286299E-3</v>
      </c>
      <c r="M328">
        <v>5.5198309627146704</v>
      </c>
      <c r="N328">
        <v>5.5196606979651204</v>
      </c>
      <c r="O328" s="1">
        <v>1.5219201442656401E-7</v>
      </c>
      <c r="P328" s="2">
        <f t="shared" si="17"/>
        <v>0.19048361406198774</v>
      </c>
    </row>
    <row r="329" spans="1:16" x14ac:dyDescent="0.25">
      <c r="B329">
        <v>328</v>
      </c>
      <c r="C329">
        <v>-0.42240813145176698</v>
      </c>
      <c r="D329">
        <v>-0.28064852183400701</v>
      </c>
      <c r="E329">
        <v>0.71371451806629205</v>
      </c>
      <c r="F329">
        <f t="shared" si="15"/>
        <v>-0.14175960961775996</v>
      </c>
      <c r="G329" s="2">
        <f t="shared" si="16"/>
        <v>2.8156617821683629E-2</v>
      </c>
      <c r="M329">
        <v>2.5782510358432198</v>
      </c>
      <c r="N329">
        <v>2.5779415651040098</v>
      </c>
      <c r="O329" s="1">
        <v>2.7892512723802399E-8</v>
      </c>
      <c r="P329" s="2">
        <f t="shared" si="17"/>
        <v>3.4336145823615323</v>
      </c>
    </row>
    <row r="330" spans="1:16" x14ac:dyDescent="0.25">
      <c r="B330">
        <v>329</v>
      </c>
      <c r="C330">
        <v>-0.38313961916049599</v>
      </c>
      <c r="D330">
        <v>-0.24679282505948499</v>
      </c>
      <c r="E330">
        <v>0.58718387108179904</v>
      </c>
      <c r="F330">
        <f t="shared" si="15"/>
        <v>-0.136346794101011</v>
      </c>
      <c r="G330" s="2">
        <f t="shared" si="16"/>
        <v>3.1660352365219691E-2</v>
      </c>
      <c r="M330">
        <v>5.5218909671671303</v>
      </c>
      <c r="N330">
        <v>5.5217539910828499</v>
      </c>
      <c r="O330" s="1">
        <v>1.03478437066116E-7</v>
      </c>
      <c r="P330" s="2">
        <f t="shared" si="17"/>
        <v>0.18131746281411862</v>
      </c>
    </row>
    <row r="331" spans="1:16" x14ac:dyDescent="0.25">
      <c r="B331">
        <v>330</v>
      </c>
      <c r="C331">
        <v>-0.372960204329852</v>
      </c>
      <c r="D331">
        <v>-0.24302574442303801</v>
      </c>
      <c r="E331">
        <v>0.55639725605505896</v>
      </c>
      <c r="F331">
        <f t="shared" si="15"/>
        <v>-0.12993445990681399</v>
      </c>
      <c r="G331" s="2">
        <f t="shared" si="16"/>
        <v>3.0343362925579882E-2</v>
      </c>
      <c r="M331">
        <v>1.00060461162251</v>
      </c>
      <c r="N331">
        <v>1.00049556444919</v>
      </c>
      <c r="O331" s="1">
        <v>2.17727051022913E-8</v>
      </c>
      <c r="P331" s="2">
        <f t="shared" si="17"/>
        <v>0.54615565467069305</v>
      </c>
    </row>
    <row r="332" spans="1:16" x14ac:dyDescent="0.25">
      <c r="B332">
        <v>331</v>
      </c>
      <c r="C332">
        <v>-0.37576040172895198</v>
      </c>
      <c r="D332">
        <v>-0.22813162216701199</v>
      </c>
      <c r="E332">
        <v>0.56478351803001303</v>
      </c>
      <c r="F332">
        <f t="shared" si="15"/>
        <v>-0.14762877956193998</v>
      </c>
      <c r="G332" s="2">
        <f t="shared" si="16"/>
        <v>3.8588690815495263E-2</v>
      </c>
      <c r="M332">
        <v>0.58496857041185701</v>
      </c>
      <c r="N332">
        <v>0.58495678314630695</v>
      </c>
      <c r="O332" s="1">
        <v>3.5126482058852098E-9</v>
      </c>
      <c r="P332" s="2">
        <f t="shared" si="17"/>
        <v>3.9554097365918479E-2</v>
      </c>
    </row>
    <row r="333" spans="1:16" x14ac:dyDescent="0.25">
      <c r="B333">
        <v>332</v>
      </c>
      <c r="C333">
        <v>-0.37263072864957197</v>
      </c>
      <c r="D333">
        <v>-0.21522049660689199</v>
      </c>
      <c r="E333">
        <v>0.55541463973564398</v>
      </c>
      <c r="F333">
        <f t="shared" si="15"/>
        <v>-0.15741023204267998</v>
      </c>
      <c r="G333" s="2">
        <f t="shared" si="16"/>
        <v>4.4611681758197304E-2</v>
      </c>
      <c r="M333">
        <v>0.99268437517143504</v>
      </c>
      <c r="N333">
        <v>0.99267098480489202</v>
      </c>
      <c r="O333" s="1">
        <v>4.5711447620869598E-9</v>
      </c>
      <c r="P333" s="2">
        <f t="shared" si="17"/>
        <v>3.9224729359604339E-2</v>
      </c>
    </row>
    <row r="334" spans="1:16" x14ac:dyDescent="0.25">
      <c r="B334">
        <v>333</v>
      </c>
      <c r="C334">
        <v>-0.372902197723669</v>
      </c>
      <c r="D334">
        <v>-0.187706033741672</v>
      </c>
      <c r="E334">
        <v>0.55622419626857</v>
      </c>
      <c r="F334">
        <f t="shared" si="15"/>
        <v>-0.18519616398199701</v>
      </c>
      <c r="G334" s="2">
        <f t="shared" si="16"/>
        <v>6.1661501573883885E-2</v>
      </c>
      <c r="M334">
        <v>0.58496279867352996</v>
      </c>
      <c r="N334">
        <v>0.58485103271871997</v>
      </c>
      <c r="O334" s="1">
        <v>8.7242077790305406E-9</v>
      </c>
      <c r="P334" s="2">
        <f t="shared" si="17"/>
        <v>1.4318352990875112</v>
      </c>
    </row>
    <row r="335" spans="1:16" x14ac:dyDescent="0.25">
      <c r="B335">
        <v>334</v>
      </c>
      <c r="C335">
        <v>-0.39430731386291801</v>
      </c>
      <c r="D335">
        <v>-0.181542124990443</v>
      </c>
      <c r="E335">
        <v>0.62191303106315898</v>
      </c>
      <c r="F335">
        <f t="shared" si="15"/>
        <v>-0.212765188872475</v>
      </c>
      <c r="G335" s="2">
        <f t="shared" si="16"/>
        <v>7.278996151367445E-2</v>
      </c>
      <c r="M335">
        <v>0.99290873143771197</v>
      </c>
      <c r="N335">
        <v>0.99279190518817295</v>
      </c>
      <c r="O335" s="1">
        <v>9.9304901010381606E-9</v>
      </c>
      <c r="P335" s="2">
        <f t="shared" si="17"/>
        <v>1.3743906335423803</v>
      </c>
    </row>
    <row r="336" spans="1:16" x14ac:dyDescent="0.25">
      <c r="B336">
        <v>335</v>
      </c>
      <c r="C336">
        <v>-0.33807702413194202</v>
      </c>
      <c r="D336">
        <v>-0.15186790415569101</v>
      </c>
      <c r="E336">
        <v>0.45718429698363799</v>
      </c>
      <c r="F336">
        <f t="shared" si="15"/>
        <v>-0.186209119976251</v>
      </c>
      <c r="G336" s="2">
        <f t="shared" si="16"/>
        <v>7.5842141978841343E-2</v>
      </c>
      <c r="M336">
        <v>0.58517206149708301</v>
      </c>
      <c r="N336">
        <v>0.58490893241512498</v>
      </c>
      <c r="O336" s="1">
        <v>5.06760779412213E-9</v>
      </c>
      <c r="P336" s="2">
        <f t="shared" si="17"/>
        <v>13.662642529751421</v>
      </c>
    </row>
    <row r="337" spans="2:16" x14ac:dyDescent="0.25">
      <c r="B337">
        <v>336</v>
      </c>
      <c r="C337">
        <v>-0.36289878995764502</v>
      </c>
      <c r="D337">
        <v>-0.14227670264023001</v>
      </c>
      <c r="E337">
        <v>0.526782127010891</v>
      </c>
      <c r="F337">
        <f t="shared" si="15"/>
        <v>-0.22062208731741501</v>
      </c>
      <c r="G337" s="2">
        <f t="shared" si="16"/>
        <v>9.2398931012491956E-2</v>
      </c>
      <c r="M337">
        <v>0.99304150919977296</v>
      </c>
      <c r="N337">
        <v>0.99272569521663001</v>
      </c>
      <c r="O337" s="1">
        <v>7.0773473656033297E-9</v>
      </c>
      <c r="P337" s="2">
        <f t="shared" si="17"/>
        <v>14.092634824363403</v>
      </c>
    </row>
    <row r="338" spans="2:16" x14ac:dyDescent="0.25">
      <c r="B338">
        <v>337</v>
      </c>
      <c r="C338">
        <v>-0.37418596404057802</v>
      </c>
      <c r="D338">
        <v>-0.12317093906476299</v>
      </c>
      <c r="E338">
        <v>0.56006054273990602</v>
      </c>
      <c r="F338">
        <f t="shared" si="15"/>
        <v>-0.25101502497581502</v>
      </c>
      <c r="G338" s="2">
        <f t="shared" si="16"/>
        <v>0.1125030919967351</v>
      </c>
      <c r="M338">
        <v>0.58505473106983497</v>
      </c>
      <c r="N338">
        <v>0.58501755410439504</v>
      </c>
      <c r="O338" s="1">
        <v>3.07639801621353E-9</v>
      </c>
      <c r="P338" s="2">
        <f t="shared" si="17"/>
        <v>0.449267861972658</v>
      </c>
    </row>
    <row r="339" spans="2:16" x14ac:dyDescent="0.25">
      <c r="B339">
        <v>338</v>
      </c>
      <c r="C339">
        <v>-0.390822688251797</v>
      </c>
      <c r="D339">
        <v>-0.100267956425412</v>
      </c>
      <c r="E339">
        <v>0.61096949460944505</v>
      </c>
      <c r="F339">
        <f t="shared" si="15"/>
        <v>-0.29055473182638503</v>
      </c>
      <c r="G339" s="2">
        <f t="shared" si="16"/>
        <v>0.13817719694936376</v>
      </c>
      <c r="M339">
        <v>0.99265701457450295</v>
      </c>
      <c r="N339">
        <v>0.99260151277304398</v>
      </c>
      <c r="O339" s="1">
        <v>5.9788020950472097E-9</v>
      </c>
      <c r="P339" s="2">
        <f t="shared" si="17"/>
        <v>0.51522862209179543</v>
      </c>
    </row>
    <row r="340" spans="2:16" x14ac:dyDescent="0.25">
      <c r="B340">
        <v>339</v>
      </c>
      <c r="C340">
        <v>-0.34241965847553402</v>
      </c>
      <c r="D340">
        <v>-9.1887642889450893E-2</v>
      </c>
      <c r="E340">
        <v>0.46900489004200502</v>
      </c>
      <c r="F340">
        <f t="shared" si="15"/>
        <v>-0.25053201558608312</v>
      </c>
      <c r="G340" s="2">
        <f t="shared" si="16"/>
        <v>0.13382864905311312</v>
      </c>
      <c r="M340">
        <v>0.58506784115716604</v>
      </c>
      <c r="N340">
        <v>0.58499999851922302</v>
      </c>
      <c r="O340" s="1">
        <v>3.36982034462514E-9</v>
      </c>
      <c r="P340" s="2">
        <f t="shared" si="17"/>
        <v>1.3658364697122161</v>
      </c>
    </row>
    <row r="341" spans="2:16" x14ac:dyDescent="0.25">
      <c r="B341">
        <v>340</v>
      </c>
      <c r="C341">
        <v>-0.37235312251732799</v>
      </c>
      <c r="D341">
        <v>-9.9526597392525396E-2</v>
      </c>
      <c r="E341">
        <v>0.55458739139361801</v>
      </c>
      <c r="F341">
        <f t="shared" si="15"/>
        <v>-0.2728265251248026</v>
      </c>
      <c r="G341" s="2">
        <f t="shared" si="16"/>
        <v>0.13421566008673438</v>
      </c>
      <c r="M341">
        <v>0.99275510561547498</v>
      </c>
      <c r="N341">
        <v>0.99262158069385598</v>
      </c>
      <c r="O341" s="1">
        <v>1.0134820492315199E-8</v>
      </c>
      <c r="P341" s="2">
        <f t="shared" si="17"/>
        <v>1.759173209518492</v>
      </c>
    </row>
    <row r="342" spans="2:16" x14ac:dyDescent="0.25">
      <c r="B342">
        <v>341</v>
      </c>
      <c r="C342">
        <v>-0.39664347976396602</v>
      </c>
      <c r="D342">
        <v>-9.79692306134992E-2</v>
      </c>
      <c r="E342">
        <v>0.62930420015707</v>
      </c>
      <c r="F342">
        <f t="shared" si="15"/>
        <v>-0.29867424915046681</v>
      </c>
      <c r="G342" s="2">
        <f t="shared" si="16"/>
        <v>0.14175387210720961</v>
      </c>
      <c r="M342">
        <v>0.58494263025908499</v>
      </c>
      <c r="N342">
        <v>0.58493396943507303</v>
      </c>
      <c r="O342" s="1">
        <v>6.2879110206802304E-9</v>
      </c>
      <c r="P342" s="2">
        <f t="shared" si="17"/>
        <v>1.1929219786905939E-2</v>
      </c>
    </row>
    <row r="343" spans="2:16" x14ac:dyDescent="0.25">
      <c r="B343">
        <v>342</v>
      </c>
      <c r="C343">
        <v>-0.37385651958157901</v>
      </c>
      <c r="D343">
        <v>-9.6035482596806096E-2</v>
      </c>
      <c r="E343">
        <v>0.55907478893460605</v>
      </c>
      <c r="F343">
        <f t="shared" si="15"/>
        <v>-0.2778210369847729</v>
      </c>
      <c r="G343" s="2">
        <f t="shared" si="16"/>
        <v>0.13805760896208588</v>
      </c>
      <c r="M343">
        <v>0.99270788484026395</v>
      </c>
      <c r="N343">
        <v>0.99269706805995395</v>
      </c>
      <c r="O343" s="1">
        <v>9.1037526853997102E-9</v>
      </c>
      <c r="P343" s="2">
        <f t="shared" si="17"/>
        <v>1.2852143541049741E-2</v>
      </c>
    </row>
    <row r="344" spans="2:16" x14ac:dyDescent="0.25">
      <c r="B344">
        <v>343</v>
      </c>
      <c r="C344">
        <v>-0.37017109881319799</v>
      </c>
      <c r="D344">
        <v>-0.36222800243090603</v>
      </c>
      <c r="E344">
        <v>0.54810656958628301</v>
      </c>
      <c r="F344">
        <f t="shared" si="15"/>
        <v>-7.9430963822919587E-3</v>
      </c>
      <c r="G344" s="2">
        <f t="shared" si="16"/>
        <v>1.1511042494163635E-4</v>
      </c>
      <c r="M344">
        <v>0.58492636753216098</v>
      </c>
      <c r="N344">
        <v>0.58495791800979602</v>
      </c>
      <c r="O344" s="1">
        <v>4.5748167834302099E-9</v>
      </c>
      <c r="P344" s="2">
        <f t="shared" si="17"/>
        <v>0.21758961858411269</v>
      </c>
    </row>
    <row r="345" spans="2:16" x14ac:dyDescent="0.25">
      <c r="B345">
        <v>344</v>
      </c>
      <c r="C345">
        <v>-0.364145723933267</v>
      </c>
      <c r="D345">
        <v>-0.36087651433024398</v>
      </c>
      <c r="E345">
        <v>0.53040843303553298</v>
      </c>
      <c r="F345">
        <f t="shared" si="15"/>
        <v>-3.2692096030230156E-3</v>
      </c>
      <c r="G345" s="2">
        <f t="shared" si="16"/>
        <v>2.0150002833348453E-5</v>
      </c>
      <c r="M345">
        <v>0.99263494460897195</v>
      </c>
      <c r="N345">
        <v>0.99266968734305605</v>
      </c>
      <c r="O345" s="1">
        <v>5.7061184631404502E-9</v>
      </c>
      <c r="P345" s="2">
        <f t="shared" si="17"/>
        <v>0.2115374189014633</v>
      </c>
    </row>
    <row r="346" spans="2:16" x14ac:dyDescent="0.25">
      <c r="B346">
        <v>345</v>
      </c>
      <c r="C346">
        <v>-0.39489542930851301</v>
      </c>
      <c r="D346">
        <v>-0.32337081730574702</v>
      </c>
      <c r="E346">
        <v>0.62376960035501805</v>
      </c>
      <c r="F346">
        <f t="shared" si="15"/>
        <v>-7.1524612002765997E-2</v>
      </c>
      <c r="G346" s="2">
        <f t="shared" si="16"/>
        <v>8.2013777510711976E-3</v>
      </c>
      <c r="M346">
        <v>0.58504004998972903</v>
      </c>
      <c r="N346">
        <v>0.58485102784436305</v>
      </c>
      <c r="O346" s="1">
        <v>4.7105449972672803E-9</v>
      </c>
      <c r="P346" s="2">
        <f t="shared" si="17"/>
        <v>7.5849761459630152</v>
      </c>
    </row>
    <row r="347" spans="2:16" x14ac:dyDescent="0.25">
      <c r="B347">
        <v>346</v>
      </c>
      <c r="C347">
        <v>-0.38545358914945699</v>
      </c>
      <c r="D347">
        <v>-0.30922773957322602</v>
      </c>
      <c r="E347">
        <v>0.59429787755279195</v>
      </c>
      <c r="F347">
        <f t="shared" si="15"/>
        <v>-7.6225849576230964E-2</v>
      </c>
      <c r="G347" s="2">
        <f t="shared" si="16"/>
        <v>9.7768818686417899E-3</v>
      </c>
      <c r="M347">
        <v>0.99298361844642302</v>
      </c>
      <c r="N347">
        <v>0.99279191076260298</v>
      </c>
      <c r="O347" s="1">
        <v>5.29196398792151E-9</v>
      </c>
      <c r="P347" s="2">
        <f t="shared" si="17"/>
        <v>6.944838649606873</v>
      </c>
    </row>
    <row r="348" spans="2:16" x14ac:dyDescent="0.25">
      <c r="B348">
        <v>347</v>
      </c>
      <c r="C348">
        <v>-0.35689475808277399</v>
      </c>
      <c r="D348">
        <v>-0.28311405819378399</v>
      </c>
      <c r="E348">
        <v>0.50949547338784595</v>
      </c>
      <c r="F348">
        <f t="shared" si="15"/>
        <v>-7.3780699888989998E-2</v>
      </c>
      <c r="G348" s="2">
        <f t="shared" si="16"/>
        <v>1.0684278782522871E-2</v>
      </c>
      <c r="M348">
        <v>0.58491498473973902</v>
      </c>
      <c r="N348">
        <v>0.58493509806473998</v>
      </c>
      <c r="O348" s="1">
        <v>2.9841731252010299E-9</v>
      </c>
      <c r="P348" s="2">
        <f t="shared" si="17"/>
        <v>0.13556379795054427</v>
      </c>
    </row>
    <row r="349" spans="2:16" x14ac:dyDescent="0.25">
      <c r="B349">
        <v>348</v>
      </c>
      <c r="C349">
        <v>-0.39205231013055197</v>
      </c>
      <c r="D349">
        <v>-0.257301993679043</v>
      </c>
      <c r="E349">
        <v>0.614820055514811</v>
      </c>
      <c r="F349">
        <f t="shared" si="15"/>
        <v>-0.13475031645150898</v>
      </c>
      <c r="G349" s="2">
        <f t="shared" si="16"/>
        <v>2.9533271761243637E-2</v>
      </c>
      <c r="M349">
        <v>0.99266644971306295</v>
      </c>
      <c r="N349">
        <v>0.99269577764085104</v>
      </c>
      <c r="O349" s="1">
        <v>5.5743480442580903E-9</v>
      </c>
      <c r="P349" s="2">
        <f t="shared" si="17"/>
        <v>0.15430097681638696</v>
      </c>
    </row>
    <row r="350" spans="2:16" x14ac:dyDescent="0.25">
      <c r="B350">
        <v>349</v>
      </c>
      <c r="C350">
        <v>-0.35485213773660101</v>
      </c>
      <c r="D350">
        <v>-0.23542665137388399</v>
      </c>
      <c r="E350">
        <v>0.50368015862494198</v>
      </c>
      <c r="F350">
        <f t="shared" si="15"/>
        <v>-0.11942548636271702</v>
      </c>
      <c r="G350" s="2">
        <f t="shared" si="16"/>
        <v>2.8316475344012569E-2</v>
      </c>
      <c r="M350">
        <v>0.58487329692297396</v>
      </c>
      <c r="N350">
        <v>0.58473369060521896</v>
      </c>
      <c r="O350" s="1">
        <v>5.5472856915788101E-9</v>
      </c>
      <c r="P350" s="2">
        <f t="shared" si="17"/>
        <v>3.5134162977576762</v>
      </c>
    </row>
    <row r="351" spans="2:16" x14ac:dyDescent="0.25">
      <c r="B351">
        <v>350</v>
      </c>
      <c r="C351">
        <v>-0.38733740809627198</v>
      </c>
      <c r="D351">
        <v>-0.216552630755937</v>
      </c>
      <c r="E351">
        <v>0.60012107084295097</v>
      </c>
      <c r="F351">
        <f t="shared" si="15"/>
        <v>-0.17078477734033498</v>
      </c>
      <c r="G351" s="2">
        <f t="shared" si="16"/>
        <v>4.8602593023801335E-2</v>
      </c>
      <c r="M351">
        <v>0.99302839546851296</v>
      </c>
      <c r="N351">
        <v>0.99292612292937399</v>
      </c>
      <c r="O351" s="1">
        <v>4.4665366184169604E-9</v>
      </c>
      <c r="P351" s="2">
        <f t="shared" si="17"/>
        <v>2.3417858523321144</v>
      </c>
    </row>
    <row r="352" spans="2:16" x14ac:dyDescent="0.25">
      <c r="B352">
        <v>351</v>
      </c>
      <c r="C352">
        <v>-0.37680562354495301</v>
      </c>
      <c r="D352">
        <v>-0.19991376109522299</v>
      </c>
      <c r="E352">
        <v>0.56792991174040297</v>
      </c>
      <c r="F352">
        <f t="shared" si="15"/>
        <v>-0.17689186244973001</v>
      </c>
      <c r="G352" s="2">
        <f t="shared" si="16"/>
        <v>5.5096113717702885E-2</v>
      </c>
      <c r="M352">
        <v>0.584952974993171</v>
      </c>
      <c r="N352">
        <v>0.58472626762714497</v>
      </c>
      <c r="O352" s="1">
        <v>9.6614576947954705E-9</v>
      </c>
      <c r="P352" s="2">
        <f t="shared" si="17"/>
        <v>5.3197179384379494</v>
      </c>
    </row>
    <row r="353" spans="2:16" x14ac:dyDescent="0.25">
      <c r="B353">
        <v>352</v>
      </c>
      <c r="C353">
        <v>-0.37396441636974698</v>
      </c>
      <c r="D353">
        <v>-0.17827678547428</v>
      </c>
      <c r="E353">
        <v>0.55939753884306098</v>
      </c>
      <c r="F353">
        <f t="shared" si="15"/>
        <v>-0.19568763089546698</v>
      </c>
      <c r="G353" s="2">
        <f t="shared" si="16"/>
        <v>6.8455161538034243E-2</v>
      </c>
      <c r="M353">
        <v>0.99316417671299995</v>
      </c>
      <c r="N353">
        <v>0.99293461496363999</v>
      </c>
      <c r="O353" s="1">
        <v>1.06934355842943E-8</v>
      </c>
      <c r="P353" s="2">
        <f t="shared" si="17"/>
        <v>4.9281258912337949</v>
      </c>
    </row>
    <row r="354" spans="2:16" x14ac:dyDescent="0.25">
      <c r="B354">
        <v>353</v>
      </c>
      <c r="C354">
        <v>-0.35477765808712097</v>
      </c>
      <c r="D354">
        <v>-0.15727639046032099</v>
      </c>
      <c r="E354">
        <v>0.50346874671112696</v>
      </c>
      <c r="F354">
        <f t="shared" si="15"/>
        <v>-0.19750126762679998</v>
      </c>
      <c r="G354" s="2">
        <f t="shared" si="16"/>
        <v>7.7476012104031558E-2</v>
      </c>
      <c r="M354">
        <v>0.58487717593779998</v>
      </c>
      <c r="N354">
        <v>0.58485429808193601</v>
      </c>
      <c r="O354" s="1">
        <v>9.0001865713691807E-9</v>
      </c>
      <c r="P354" s="2">
        <f t="shared" si="17"/>
        <v>5.8153937674744159E-2</v>
      </c>
    </row>
    <row r="355" spans="2:16" x14ac:dyDescent="0.25">
      <c r="B355">
        <v>354</v>
      </c>
      <c r="C355">
        <v>-0.37616315021841801</v>
      </c>
      <c r="D355">
        <v>-0.15019281782698499</v>
      </c>
      <c r="E355">
        <v>0.565994862328975</v>
      </c>
      <c r="F355">
        <f t="shared" si="15"/>
        <v>-0.22597033239143302</v>
      </c>
      <c r="G355" s="2">
        <f t="shared" si="16"/>
        <v>9.0217411004369599E-2</v>
      </c>
      <c r="M355">
        <v>0.99280911934847704</v>
      </c>
      <c r="N355">
        <v>0.99278817085932003</v>
      </c>
      <c r="O355" s="1">
        <v>8.2871857388790799E-9</v>
      </c>
      <c r="P355" s="2">
        <f t="shared" si="17"/>
        <v>5.2953947430272173E-2</v>
      </c>
    </row>
    <row r="356" spans="2:16" x14ac:dyDescent="0.25">
      <c r="B356">
        <v>355</v>
      </c>
      <c r="C356">
        <v>-0.38061450970649002</v>
      </c>
      <c r="D356">
        <v>-0.120916991480715</v>
      </c>
      <c r="E356">
        <v>0.57946961999644697</v>
      </c>
      <c r="F356">
        <f t="shared" si="15"/>
        <v>-0.25969751822577503</v>
      </c>
      <c r="G356" s="2">
        <f t="shared" si="16"/>
        <v>0.11638712133526566</v>
      </c>
      <c r="M356">
        <v>6.1337898508053303</v>
      </c>
      <c r="N356">
        <v>6.1345308912130303</v>
      </c>
      <c r="O356" s="1">
        <v>6.1235197466841499E-8</v>
      </c>
      <c r="P356" s="2">
        <f t="shared" si="17"/>
        <v>8.9677327511105496</v>
      </c>
    </row>
    <row r="357" spans="2:16" x14ac:dyDescent="0.25">
      <c r="B357">
        <v>356</v>
      </c>
      <c r="C357">
        <v>-0.34580207387940398</v>
      </c>
      <c r="D357">
        <v>-0.12516479950486001</v>
      </c>
      <c r="E357">
        <v>0.47831629719718599</v>
      </c>
      <c r="F357">
        <f t="shared" si="15"/>
        <v>-0.22063727437454397</v>
      </c>
      <c r="G357" s="2">
        <f t="shared" si="16"/>
        <v>0.10177534641551034</v>
      </c>
      <c r="M357">
        <v>2.8688566487431602</v>
      </c>
      <c r="N357">
        <v>2.8693448191834099</v>
      </c>
      <c r="O357" s="1">
        <v>2.2528597077271802E-8</v>
      </c>
      <c r="P357" s="2">
        <f t="shared" si="17"/>
        <v>10.578127786485311</v>
      </c>
    </row>
    <row r="358" spans="2:16" x14ac:dyDescent="0.25">
      <c r="B358">
        <v>357</v>
      </c>
      <c r="C358">
        <v>-0.332738745117648</v>
      </c>
      <c r="D358">
        <v>-0.11227967167154899</v>
      </c>
      <c r="E358">
        <v>0.44286029000986799</v>
      </c>
      <c r="F358">
        <f t="shared" si="15"/>
        <v>-0.220459073446099</v>
      </c>
      <c r="G358" s="2">
        <f t="shared" si="16"/>
        <v>0.10974613023811527</v>
      </c>
      <c r="M358">
        <v>6.1519601408200897</v>
      </c>
      <c r="N358">
        <v>6.1528259723805103</v>
      </c>
      <c r="O358" s="1">
        <v>7.6337314214967596E-8</v>
      </c>
      <c r="P358" s="2">
        <f t="shared" si="17"/>
        <v>9.820417429271421</v>
      </c>
    </row>
    <row r="359" spans="2:16" x14ac:dyDescent="0.25">
      <c r="B359">
        <v>358</v>
      </c>
      <c r="C359">
        <v>-0.360597014882994</v>
      </c>
      <c r="D359">
        <v>-9.4588241824919206E-2</v>
      </c>
      <c r="E359">
        <v>0.520120828570104</v>
      </c>
      <c r="F359">
        <f t="shared" si="15"/>
        <v>-0.2660087730580748</v>
      </c>
      <c r="G359" s="2">
        <f t="shared" si="16"/>
        <v>0.1360465942853987</v>
      </c>
      <c r="M359">
        <v>1.0044527406691801</v>
      </c>
      <c r="N359">
        <v>1.00434577999434</v>
      </c>
      <c r="O359" s="1">
        <v>2.7708847917377302E-9</v>
      </c>
      <c r="P359" s="2">
        <f t="shared" si="17"/>
        <v>4.1288566007346095</v>
      </c>
    </row>
    <row r="360" spans="2:16" x14ac:dyDescent="0.25">
      <c r="B360">
        <v>359</v>
      </c>
      <c r="C360">
        <v>-0.33129561170199301</v>
      </c>
      <c r="D360">
        <v>-8.9702373156738305E-2</v>
      </c>
      <c r="E360">
        <v>0.43902712933199001</v>
      </c>
      <c r="F360">
        <f t="shared" si="15"/>
        <v>-0.24159323854525472</v>
      </c>
      <c r="G360" s="2">
        <f t="shared" si="16"/>
        <v>0.13294689328104667</v>
      </c>
      <c r="M360">
        <v>6.1380155353055503</v>
      </c>
      <c r="N360">
        <v>6.1378155540699399</v>
      </c>
      <c r="O360" s="1">
        <v>7.4046918457654901E-8</v>
      </c>
      <c r="P360" s="2">
        <f t="shared" si="17"/>
        <v>0.54009667693497432</v>
      </c>
    </row>
    <row r="361" spans="2:16" x14ac:dyDescent="0.25">
      <c r="B361">
        <v>360</v>
      </c>
      <c r="C361">
        <v>-0.37165113426261698</v>
      </c>
      <c r="D361">
        <v>-8.66428126075863E-2</v>
      </c>
      <c r="E361">
        <v>0.55249826239475797</v>
      </c>
      <c r="F361">
        <f t="shared" si="15"/>
        <v>-0.28500832165503065</v>
      </c>
      <c r="G361" s="2">
        <f t="shared" si="16"/>
        <v>0.14702262240705305</v>
      </c>
      <c r="M361">
        <v>2.8704376837308798</v>
      </c>
      <c r="N361">
        <v>2.87031234481482</v>
      </c>
      <c r="O361" s="1">
        <v>1.6884776509772099E-8</v>
      </c>
      <c r="P361" s="2">
        <f t="shared" si="17"/>
        <v>0.93041467679225631</v>
      </c>
    </row>
    <row r="362" spans="2:16" x14ac:dyDescent="0.25">
      <c r="B362">
        <v>361</v>
      </c>
      <c r="C362">
        <v>-0.35881907725281298</v>
      </c>
      <c r="D362">
        <v>-8.9058342438729898E-2</v>
      </c>
      <c r="E362">
        <v>0.51500452080223902</v>
      </c>
      <c r="F362">
        <f t="shared" si="15"/>
        <v>-0.26976073481408308</v>
      </c>
      <c r="G362" s="2">
        <f t="shared" si="16"/>
        <v>0.1413013888384447</v>
      </c>
      <c r="M362">
        <v>6.1542528510507601</v>
      </c>
      <c r="N362">
        <v>6.1539732587552303</v>
      </c>
      <c r="O362" s="1">
        <v>5.5381263597601298E-8</v>
      </c>
      <c r="P362" s="2">
        <f t="shared" si="17"/>
        <v>1.4115216346029698</v>
      </c>
    </row>
    <row r="363" spans="2:16" x14ac:dyDescent="0.25">
      <c r="B363">
        <v>362</v>
      </c>
      <c r="C363">
        <v>-0.34094013099599701</v>
      </c>
      <c r="D363">
        <v>-8.1563143539803706E-2</v>
      </c>
      <c r="E363">
        <v>0.46496069169427001</v>
      </c>
      <c r="F363">
        <f t="shared" si="15"/>
        <v>-0.25937698745619331</v>
      </c>
      <c r="G363" s="2">
        <f t="shared" si="16"/>
        <v>0.14469270805818388</v>
      </c>
      <c r="M363">
        <v>1.0036793310291201</v>
      </c>
      <c r="N363">
        <v>1.0038224832156399</v>
      </c>
      <c r="O363" s="1">
        <v>6.1968409848245302E-9</v>
      </c>
      <c r="P363" s="2">
        <f t="shared" si="17"/>
        <v>3.3069347036004113</v>
      </c>
    </row>
    <row r="364" spans="2:16" x14ac:dyDescent="0.25">
      <c r="B364">
        <v>363</v>
      </c>
      <c r="C364">
        <v>-0.35452398494871701</v>
      </c>
      <c r="D364">
        <v>-7.0735700269299401E-2</v>
      </c>
      <c r="E364">
        <v>0.50274902361567197</v>
      </c>
      <c r="F364">
        <f t="shared" si="15"/>
        <v>-0.28378828467941764</v>
      </c>
      <c r="G364" s="2">
        <f t="shared" si="16"/>
        <v>0.16019084421504917</v>
      </c>
      <c r="M364">
        <v>6.1384166962400402</v>
      </c>
      <c r="N364">
        <v>6.1390717860275599</v>
      </c>
      <c r="O364" s="1">
        <v>7.0018505030633507E-8</v>
      </c>
      <c r="P364" s="2">
        <f t="shared" si="17"/>
        <v>6.1289887512575598</v>
      </c>
    </row>
    <row r="365" spans="2:16" x14ac:dyDescent="0.25">
      <c r="B365">
        <v>364</v>
      </c>
      <c r="C365">
        <v>-0.356572368833114</v>
      </c>
      <c r="D365">
        <v>-4.9263244591545997E-2</v>
      </c>
      <c r="E365">
        <v>0.50857541686103203</v>
      </c>
      <c r="F365">
        <f t="shared" si="15"/>
        <v>-0.30730912424156798</v>
      </c>
      <c r="G365" s="2">
        <f t="shared" si="16"/>
        <v>0.18569300581810239</v>
      </c>
      <c r="M365">
        <v>2.8703471098367301</v>
      </c>
      <c r="N365">
        <v>2.8706823280447402</v>
      </c>
      <c r="O365" s="1">
        <v>1.84228905963693E-8</v>
      </c>
      <c r="P365" s="2">
        <f t="shared" si="17"/>
        <v>6.0995448240698247</v>
      </c>
    </row>
    <row r="366" spans="2:16" x14ac:dyDescent="0.25">
      <c r="B366">
        <v>365</v>
      </c>
      <c r="C366">
        <v>-0.36852875932821599</v>
      </c>
      <c r="D366">
        <v>-6.5552737270079695E-2</v>
      </c>
      <c r="E366">
        <v>0.54325378580797501</v>
      </c>
      <c r="F366">
        <f t="shared" si="15"/>
        <v>-0.30297602205813629</v>
      </c>
      <c r="G366" s="2">
        <f t="shared" si="16"/>
        <v>0.16897161573507941</v>
      </c>
      <c r="M366">
        <v>6.1533626229956901</v>
      </c>
      <c r="N366">
        <v>6.1544119370693</v>
      </c>
      <c r="O366" s="1">
        <v>6.6773534389265998E-8</v>
      </c>
      <c r="P366" s="2">
        <f t="shared" si="17"/>
        <v>16.4894674985592</v>
      </c>
    </row>
    <row r="367" spans="2:16" x14ac:dyDescent="0.25">
      <c r="B367">
        <v>366</v>
      </c>
      <c r="C367">
        <v>-0.37221130917392198</v>
      </c>
      <c r="D367">
        <v>-5.2107114041407998E-2</v>
      </c>
      <c r="E367">
        <v>0.55416503470785905</v>
      </c>
      <c r="F367">
        <f t="shared" si="15"/>
        <v>-0.32010419513251398</v>
      </c>
      <c r="G367" s="2">
        <f t="shared" si="16"/>
        <v>0.1849028526230499</v>
      </c>
      <c r="M367">
        <v>1.0036225861339101</v>
      </c>
      <c r="N367">
        <v>1.0036224924303201</v>
      </c>
      <c r="O367" s="1">
        <v>6.4051690752989603E-9</v>
      </c>
      <c r="P367" s="2">
        <f t="shared" si="17"/>
        <v>1.3708245130399513E-6</v>
      </c>
    </row>
    <row r="368" spans="2:16" x14ac:dyDescent="0.25">
      <c r="B368">
        <v>367</v>
      </c>
      <c r="C368">
        <v>-0.33002478284018</v>
      </c>
      <c r="D368">
        <v>-5.36022314442638E-2</v>
      </c>
      <c r="E368">
        <v>0.43566542915483097</v>
      </c>
      <c r="F368">
        <f t="shared" si="15"/>
        <v>-0.27642255139591621</v>
      </c>
      <c r="G368" s="2">
        <f t="shared" si="16"/>
        <v>0.17538556379940079</v>
      </c>
      <c r="M368">
        <v>6.1414506794653398</v>
      </c>
      <c r="N368">
        <v>6.1422797539427796</v>
      </c>
      <c r="O368" s="1">
        <v>1.4065514679203E-7</v>
      </c>
      <c r="P368" s="2">
        <f t="shared" si="17"/>
        <v>4.8868776210393587</v>
      </c>
    </row>
    <row r="369" spans="2:16" x14ac:dyDescent="0.25">
      <c r="B369">
        <v>368</v>
      </c>
      <c r="C369">
        <v>-0.316877609102379</v>
      </c>
      <c r="D369">
        <v>-0.32811965890310102</v>
      </c>
      <c r="E369">
        <v>0.40164567660176098</v>
      </c>
      <c r="F369">
        <f t="shared" si="15"/>
        <v>1.124204980072202E-2</v>
      </c>
      <c r="G369" s="2">
        <f t="shared" si="16"/>
        <v>3.1466461880336823E-4</v>
      </c>
      <c r="M369">
        <v>2.8712738176543202</v>
      </c>
      <c r="N369">
        <v>2.87162700597835</v>
      </c>
      <c r="O369" s="1">
        <v>3.1154153976015903E-8</v>
      </c>
      <c r="P369" s="2">
        <f t="shared" si="17"/>
        <v>4.0040243855435085</v>
      </c>
    </row>
    <row r="370" spans="2:16" x14ac:dyDescent="0.25">
      <c r="B370">
        <v>369</v>
      </c>
      <c r="C370">
        <v>-0.31309033179054202</v>
      </c>
      <c r="D370">
        <v>-0.294607063174326</v>
      </c>
      <c r="E370">
        <v>0.39210222344284601</v>
      </c>
      <c r="F370">
        <f t="shared" si="15"/>
        <v>-1.848326861621602E-2</v>
      </c>
      <c r="G370" s="2">
        <f t="shared" si="16"/>
        <v>8.712810035595047E-4</v>
      </c>
      <c r="M370">
        <v>6.1547148452806502</v>
      </c>
      <c r="N370">
        <v>6.1555318994931598</v>
      </c>
      <c r="O370" s="1">
        <v>1.2164725798894901E-7</v>
      </c>
      <c r="P370" s="2">
        <f t="shared" si="17"/>
        <v>5.4878144992008515</v>
      </c>
    </row>
    <row r="371" spans="2:16" x14ac:dyDescent="0.25">
      <c r="B371">
        <v>370</v>
      </c>
      <c r="C371">
        <v>-0.37013145221125798</v>
      </c>
      <c r="D371">
        <v>-0.245284955268574</v>
      </c>
      <c r="E371">
        <v>0.54798916766406003</v>
      </c>
      <c r="F371">
        <f t="shared" si="15"/>
        <v>-0.12484649694268399</v>
      </c>
      <c r="G371" s="2">
        <f t="shared" si="16"/>
        <v>2.8443350194861626E-2</v>
      </c>
      <c r="M371">
        <v>1.0031144123229101</v>
      </c>
      <c r="N371">
        <v>1.0031121536499601</v>
      </c>
      <c r="O371" s="1">
        <v>4.7976350374146203E-9</v>
      </c>
      <c r="P371" s="2">
        <f t="shared" si="17"/>
        <v>1.0633579785258433E-3</v>
      </c>
    </row>
    <row r="372" spans="2:16" x14ac:dyDescent="0.25">
      <c r="B372">
        <v>371</v>
      </c>
      <c r="C372">
        <v>-0.32644310536357002</v>
      </c>
      <c r="D372">
        <v>-0.209714524025474</v>
      </c>
      <c r="E372">
        <v>0.42626040415764499</v>
      </c>
      <c r="F372">
        <f t="shared" si="15"/>
        <v>-0.11672858133809602</v>
      </c>
      <c r="G372" s="2">
        <f t="shared" si="16"/>
        <v>3.1965346929491774E-2</v>
      </c>
      <c r="M372">
        <v>6.1432970131451503</v>
      </c>
      <c r="N372">
        <v>6.1438732842007502</v>
      </c>
      <c r="O372" s="1">
        <v>1.5193239925679199E-7</v>
      </c>
      <c r="P372" s="2">
        <f t="shared" si="17"/>
        <v>2.1857637419449141</v>
      </c>
    </row>
    <row r="373" spans="2:16" x14ac:dyDescent="0.25">
      <c r="B373">
        <v>372</v>
      </c>
      <c r="C373">
        <v>-0.34917119685820203</v>
      </c>
      <c r="D373">
        <v>-0.18322162138459999</v>
      </c>
      <c r="E373">
        <v>0.487682098861556</v>
      </c>
      <c r="F373">
        <f t="shared" si="15"/>
        <v>-0.16594957547360203</v>
      </c>
      <c r="G373" s="2">
        <f t="shared" si="16"/>
        <v>5.6469699552549352E-2</v>
      </c>
      <c r="M373">
        <v>2.8718891058999798</v>
      </c>
      <c r="N373">
        <v>2.87209619865579</v>
      </c>
      <c r="O373" s="1">
        <v>3.1254892480369599E-8</v>
      </c>
      <c r="P373" s="2">
        <f t="shared" si="17"/>
        <v>1.3721822762949702</v>
      </c>
    </row>
    <row r="374" spans="2:16" x14ac:dyDescent="0.25">
      <c r="B374">
        <v>373</v>
      </c>
      <c r="C374">
        <v>-0.33778650241121899</v>
      </c>
      <c r="D374">
        <v>-0.15263008892397001</v>
      </c>
      <c r="E374">
        <v>0.456398884844818</v>
      </c>
      <c r="F374">
        <f t="shared" si="15"/>
        <v>-0.18515641348724898</v>
      </c>
      <c r="G374" s="2">
        <f t="shared" si="16"/>
        <v>7.5116085060369472E-2</v>
      </c>
      <c r="M374">
        <v>6.1555288766975096</v>
      </c>
      <c r="N374">
        <v>6.1560880894162997</v>
      </c>
      <c r="O374" s="1">
        <v>1.2145404171792399E-7</v>
      </c>
      <c r="P374" s="2">
        <f t="shared" si="17"/>
        <v>2.5747917519527119</v>
      </c>
    </row>
    <row r="375" spans="2:16" x14ac:dyDescent="0.25">
      <c r="B375">
        <v>374</v>
      </c>
      <c r="C375">
        <v>-0.35467490264037699</v>
      </c>
      <c r="D375">
        <v>-0.13477592531489799</v>
      </c>
      <c r="E375">
        <v>0.50317714625184196</v>
      </c>
      <c r="F375">
        <f t="shared" si="15"/>
        <v>-0.219898977325479</v>
      </c>
      <c r="G375" s="2">
        <f t="shared" si="16"/>
        <v>9.610046996170489E-2</v>
      </c>
      <c r="M375">
        <v>1.0027163387837199</v>
      </c>
      <c r="N375">
        <v>1.00285884278841</v>
      </c>
      <c r="O375" s="1">
        <v>4.8265847646189399E-9</v>
      </c>
      <c r="P375" s="2">
        <f t="shared" si="17"/>
        <v>4.2074038565674288</v>
      </c>
    </row>
    <row r="376" spans="2:16" x14ac:dyDescent="0.25">
      <c r="B376">
        <v>375</v>
      </c>
      <c r="C376">
        <v>-0.30314905539084602</v>
      </c>
      <c r="D376">
        <v>-0.117310978274138</v>
      </c>
      <c r="E376">
        <v>0.36759739913744999</v>
      </c>
      <c r="F376">
        <f t="shared" si="15"/>
        <v>-0.18583807711670802</v>
      </c>
      <c r="G376" s="2">
        <f t="shared" si="16"/>
        <v>9.3950041505930476E-2</v>
      </c>
      <c r="M376">
        <v>6.1483629312798298</v>
      </c>
      <c r="N376">
        <v>6.1492409327265598</v>
      </c>
      <c r="O376" s="1">
        <v>1.9571873079214E-7</v>
      </c>
      <c r="P376" s="2">
        <f t="shared" si="17"/>
        <v>3.9387468809957031</v>
      </c>
    </row>
    <row r="377" spans="2:16" x14ac:dyDescent="0.25">
      <c r="B377">
        <v>376</v>
      </c>
      <c r="C377">
        <v>-0.294479831458409</v>
      </c>
      <c r="D377">
        <v>-0.10621438297307199</v>
      </c>
      <c r="E377">
        <v>0.34687348454309302</v>
      </c>
      <c r="F377">
        <f t="shared" si="15"/>
        <v>-0.18826544848533699</v>
      </c>
      <c r="G377" s="2">
        <f t="shared" si="16"/>
        <v>0.10218099875830026</v>
      </c>
      <c r="M377">
        <v>2.87353177881708</v>
      </c>
      <c r="N377">
        <v>2.8736762962949398</v>
      </c>
      <c r="O377" s="1">
        <v>2.9627446714962598E-8</v>
      </c>
      <c r="P377" s="2">
        <f t="shared" si="17"/>
        <v>0.70493085711686965</v>
      </c>
    </row>
    <row r="378" spans="2:16" x14ac:dyDescent="0.25">
      <c r="B378">
        <v>377</v>
      </c>
      <c r="C378">
        <v>-0.31522723664778501</v>
      </c>
      <c r="D378">
        <v>-9.6035377912867897E-2</v>
      </c>
      <c r="E378">
        <v>0.39747284289839402</v>
      </c>
      <c r="F378">
        <f t="shared" si="15"/>
        <v>-0.21919185873491712</v>
      </c>
      <c r="G378" s="2">
        <f t="shared" si="16"/>
        <v>0.12087636122589039</v>
      </c>
      <c r="M378">
        <v>6.1573067358899598</v>
      </c>
      <c r="N378">
        <v>6.1579608685948299</v>
      </c>
      <c r="O378" s="1">
        <v>1.23410363853725E-7</v>
      </c>
      <c r="P378" s="2">
        <f t="shared" si="17"/>
        <v>3.4672095780212335</v>
      </c>
    </row>
    <row r="379" spans="2:16" x14ac:dyDescent="0.25">
      <c r="B379">
        <v>378</v>
      </c>
      <c r="C379">
        <v>-0.33164891887041997</v>
      </c>
      <c r="D379">
        <v>-8.8657756154323294E-2</v>
      </c>
      <c r="E379">
        <v>0.43996402155167502</v>
      </c>
      <c r="F379">
        <f t="shared" si="15"/>
        <v>-0.24299116271609666</v>
      </c>
      <c r="G379" s="2">
        <f t="shared" si="16"/>
        <v>0.13420348543474162</v>
      </c>
      <c r="M379">
        <v>1.0020823648658801</v>
      </c>
      <c r="N379">
        <v>1.0020065434686001</v>
      </c>
      <c r="O379" s="1">
        <v>3.9846673281386202E-9</v>
      </c>
      <c r="P379" s="2">
        <f t="shared" si="17"/>
        <v>1.4427513797443785</v>
      </c>
    </row>
    <row r="380" spans="2:16" x14ac:dyDescent="0.25">
      <c r="B380">
        <v>379</v>
      </c>
      <c r="C380">
        <v>-0.36002519602702598</v>
      </c>
      <c r="D380">
        <v>-0.35271839493016899</v>
      </c>
      <c r="E380">
        <v>0.51847256709719303</v>
      </c>
      <c r="F380">
        <f t="shared" si="15"/>
        <v>-7.3068010968569963E-3</v>
      </c>
      <c r="G380" s="2">
        <f t="shared" si="16"/>
        <v>1.0297428573308146E-4</v>
      </c>
      <c r="M380">
        <v>6.1509739184533503</v>
      </c>
      <c r="N380">
        <v>6.1507372031043497</v>
      </c>
      <c r="O380" s="1">
        <v>9.3023686387955899E-8</v>
      </c>
      <c r="P380" s="2">
        <f t="shared" si="17"/>
        <v>0.60236439371782413</v>
      </c>
    </row>
    <row r="381" spans="2:16" x14ac:dyDescent="0.25">
      <c r="B381">
        <v>380</v>
      </c>
      <c r="C381">
        <v>-0.34085217255968703</v>
      </c>
      <c r="D381">
        <v>-0.31665665851413599</v>
      </c>
      <c r="E381">
        <v>0.46472081415463401</v>
      </c>
      <c r="F381">
        <f t="shared" si="15"/>
        <v>-2.4195514045551036E-2</v>
      </c>
      <c r="G381" s="2">
        <f t="shared" si="16"/>
        <v>1.2597303200059817E-3</v>
      </c>
      <c r="M381">
        <v>2.8741929885937201</v>
      </c>
      <c r="N381">
        <v>2.8741166687884299</v>
      </c>
      <c r="O381" s="1">
        <v>1.25283115381749E-8</v>
      </c>
      <c r="P381" s="2">
        <f t="shared" si="17"/>
        <v>0.46492399728310285</v>
      </c>
    </row>
    <row r="382" spans="2:16" x14ac:dyDescent="0.25">
      <c r="B382">
        <v>381</v>
      </c>
      <c r="C382">
        <v>-0.35929423782768799</v>
      </c>
      <c r="D382">
        <v>-0.302869810116347</v>
      </c>
      <c r="E382">
        <v>0.51636939734471698</v>
      </c>
      <c r="F382">
        <f t="shared" si="15"/>
        <v>-5.6424427711340985E-2</v>
      </c>
      <c r="G382" s="2">
        <f t="shared" si="16"/>
        <v>6.1655784771981071E-3</v>
      </c>
      <c r="M382">
        <v>6.1587638984202497</v>
      </c>
      <c r="N382">
        <v>6.1584827292813999</v>
      </c>
      <c r="O382" s="1">
        <v>7.2074759919305796E-8</v>
      </c>
      <c r="P382" s="2">
        <f t="shared" si="17"/>
        <v>1.0968622681510591</v>
      </c>
    </row>
    <row r="383" spans="2:16" x14ac:dyDescent="0.25">
      <c r="B383">
        <v>382</v>
      </c>
      <c r="C383">
        <v>-0.35395106213236999</v>
      </c>
      <c r="D383">
        <v>-0.26767591829555398</v>
      </c>
      <c r="E383">
        <v>0.50112541753853102</v>
      </c>
      <c r="F383">
        <f t="shared" si="15"/>
        <v>-8.6275143836816004E-2</v>
      </c>
      <c r="G383" s="2">
        <f t="shared" si="16"/>
        <v>1.4853368405506941E-2</v>
      </c>
      <c r="M383">
        <v>1.00173761240771</v>
      </c>
      <c r="N383">
        <v>1.0017692205792901</v>
      </c>
      <c r="O383" s="1">
        <v>3.0258209490829798E-9</v>
      </c>
      <c r="P383" s="2">
        <f t="shared" si="17"/>
        <v>0.33018361874314195</v>
      </c>
    </row>
    <row r="384" spans="2:16" x14ac:dyDescent="0.25">
      <c r="B384">
        <v>383</v>
      </c>
      <c r="C384">
        <v>-0.33684432841856299</v>
      </c>
      <c r="D384">
        <v>-0.25020049002892503</v>
      </c>
      <c r="E384">
        <v>0.45385640635101199</v>
      </c>
      <c r="F384">
        <f t="shared" si="15"/>
        <v>-8.6643838389637962E-2</v>
      </c>
      <c r="G384" s="2">
        <f t="shared" si="16"/>
        <v>1.6540814728708879E-2</v>
      </c>
      <c r="M384">
        <v>6.15416640864371</v>
      </c>
      <c r="N384">
        <v>6.1541557289548896</v>
      </c>
      <c r="O384" s="1">
        <v>5.43714282470229E-8</v>
      </c>
      <c r="P384" s="2">
        <f t="shared" si="17"/>
        <v>2.097714865654405E-3</v>
      </c>
    </row>
    <row r="385" spans="2:16" x14ac:dyDescent="0.25">
      <c r="B385">
        <v>384</v>
      </c>
      <c r="C385">
        <v>-0.35488302304535502</v>
      </c>
      <c r="D385">
        <v>-0.191369573685089</v>
      </c>
      <c r="E385">
        <v>0.50376784018323995</v>
      </c>
      <c r="F385">
        <f t="shared" si="15"/>
        <v>-0.16351344936026602</v>
      </c>
      <c r="G385" s="2">
        <f t="shared" si="16"/>
        <v>5.3073352423543198E-2</v>
      </c>
      <c r="M385">
        <v>2.8750794075745301</v>
      </c>
      <c r="N385">
        <v>2.8751226381409598</v>
      </c>
      <c r="O385" s="1">
        <v>1.7738641775025501E-8</v>
      </c>
      <c r="P385" s="2">
        <f t="shared" si="17"/>
        <v>0.10535653730081708</v>
      </c>
    </row>
    <row r="386" spans="2:16" x14ac:dyDescent="0.25">
      <c r="B386">
        <v>385</v>
      </c>
      <c r="C386">
        <v>-0.34073364291879099</v>
      </c>
      <c r="D386">
        <v>-0.17497918802499601</v>
      </c>
      <c r="E386">
        <v>0.46439766166684099</v>
      </c>
      <c r="F386">
        <f t="shared" si="15"/>
        <v>-0.16575445489379498</v>
      </c>
      <c r="G386" s="2">
        <f t="shared" si="16"/>
        <v>5.916166592770089E-2</v>
      </c>
      <c r="M386">
        <v>6.1596549332170998</v>
      </c>
      <c r="N386">
        <v>6.15967471295781</v>
      </c>
      <c r="O386" s="1">
        <v>5.5278629880890799E-8</v>
      </c>
      <c r="P386" s="2">
        <f t="shared" si="17"/>
        <v>7.0775658406559286E-3</v>
      </c>
    </row>
    <row r="387" spans="2:16" x14ac:dyDescent="0.25">
      <c r="B387">
        <v>386</v>
      </c>
      <c r="C387">
        <v>-0.34168314217113799</v>
      </c>
      <c r="D387">
        <v>-0.13754706392579599</v>
      </c>
      <c r="E387">
        <v>0.466989478575768</v>
      </c>
      <c r="F387">
        <f t="shared" ref="F387:F450" si="18">C387-D387</f>
        <v>-0.204136078245342</v>
      </c>
      <c r="G387" s="2">
        <f t="shared" ref="G387:G450" si="19">F387^2/E387</f>
        <v>8.9234426797963243E-2</v>
      </c>
      <c r="M387">
        <v>1.0012395328755901</v>
      </c>
      <c r="N387">
        <v>1.0012274367690901</v>
      </c>
      <c r="O387" s="1">
        <v>2.2876420838791999E-9</v>
      </c>
      <c r="P387" s="2">
        <f t="shared" ref="P387:P450" si="20">(M387-N387)^2/O387</f>
        <v>6.3959215250599832E-2</v>
      </c>
    </row>
    <row r="388" spans="2:16" x14ac:dyDescent="0.25">
      <c r="B388">
        <v>387</v>
      </c>
      <c r="C388">
        <v>-0.35146530800644399</v>
      </c>
      <c r="D388">
        <v>-0.12620927014028099</v>
      </c>
      <c r="E388">
        <v>0.49411145092825698</v>
      </c>
      <c r="F388">
        <f t="shared" si="18"/>
        <v>-0.22525603786616299</v>
      </c>
      <c r="G388" s="2">
        <f t="shared" si="19"/>
        <v>0.10268995486714504</v>
      </c>
      <c r="M388">
        <v>6.1554896116084601</v>
      </c>
      <c r="N388">
        <v>6.1551915390635097</v>
      </c>
      <c r="O388" s="1">
        <v>8.5749814873964595E-8</v>
      </c>
      <c r="P388" s="2">
        <f t="shared" si="20"/>
        <v>1.0361216777411899</v>
      </c>
    </row>
    <row r="389" spans="2:16" x14ac:dyDescent="0.25">
      <c r="B389">
        <v>388</v>
      </c>
      <c r="C389">
        <v>-0.36063186361347799</v>
      </c>
      <c r="D389">
        <v>-0.104750398628912</v>
      </c>
      <c r="E389">
        <v>0.52022136421332199</v>
      </c>
      <c r="F389">
        <f t="shared" si="18"/>
        <v>-0.25588146498456599</v>
      </c>
      <c r="G389" s="2">
        <f t="shared" si="19"/>
        <v>0.12586050598221657</v>
      </c>
      <c r="M389">
        <v>2.8753962686899501</v>
      </c>
      <c r="N389">
        <v>2.8754274050683599</v>
      </c>
      <c r="O389" s="1">
        <v>1.82747474392007E-8</v>
      </c>
      <c r="P389" s="2">
        <f t="shared" si="20"/>
        <v>5.304992934666139E-2</v>
      </c>
    </row>
    <row r="390" spans="2:16" x14ac:dyDescent="0.25">
      <c r="B390">
        <v>389</v>
      </c>
      <c r="C390">
        <v>-0.33638685886969699</v>
      </c>
      <c r="D390">
        <v>-9.53824121244818E-2</v>
      </c>
      <c r="E390">
        <v>0.45262447528088601</v>
      </c>
      <c r="F390">
        <f t="shared" si="18"/>
        <v>-0.24100444674521521</v>
      </c>
      <c r="G390" s="2">
        <f t="shared" si="19"/>
        <v>0.12832523763749742</v>
      </c>
      <c r="M390">
        <v>6.1602119439705199</v>
      </c>
      <c r="N390">
        <v>6.1600357977046798</v>
      </c>
      <c r="O390" s="1">
        <v>8.25065599928214E-8</v>
      </c>
      <c r="P390" s="2">
        <f t="shared" si="20"/>
        <v>0.37606109104653973</v>
      </c>
    </row>
    <row r="391" spans="2:16" x14ac:dyDescent="0.25">
      <c r="B391">
        <v>390</v>
      </c>
      <c r="C391">
        <v>-0.33923441912204899</v>
      </c>
      <c r="D391">
        <v>-8.7989918987871299E-2</v>
      </c>
      <c r="E391">
        <v>0.46031996446829498</v>
      </c>
      <c r="F391">
        <f t="shared" si="18"/>
        <v>-0.25124450013417771</v>
      </c>
      <c r="G391" s="2">
        <f t="shared" si="19"/>
        <v>0.13713026529402361</v>
      </c>
      <c r="M391">
        <v>1.0010945021859099</v>
      </c>
      <c r="N391">
        <v>1.00106339401634</v>
      </c>
      <c r="O391" s="1">
        <v>1.6928423771136899E-9</v>
      </c>
      <c r="P391" s="2">
        <f t="shared" si="20"/>
        <v>0.5716528762926737</v>
      </c>
    </row>
    <row r="392" spans="2:16" x14ac:dyDescent="0.25">
      <c r="B392">
        <v>391</v>
      </c>
      <c r="C392">
        <v>-0.34712494510945002</v>
      </c>
      <c r="D392">
        <v>-7.1720274236746498E-2</v>
      </c>
      <c r="E392">
        <v>0.48198291006895499</v>
      </c>
      <c r="F392">
        <f t="shared" si="18"/>
        <v>-0.27540467087270354</v>
      </c>
      <c r="G392" s="2">
        <f t="shared" si="19"/>
        <v>0.15736602098122315</v>
      </c>
      <c r="M392">
        <v>6.1574703540276197</v>
      </c>
      <c r="N392">
        <v>6.1571524785221703</v>
      </c>
      <c r="O392" s="1">
        <v>2.82272240735508E-8</v>
      </c>
      <c r="P392" s="2">
        <f t="shared" si="20"/>
        <v>3.5796944361728369</v>
      </c>
    </row>
    <row r="393" spans="2:16" x14ac:dyDescent="0.25">
      <c r="B393">
        <v>392</v>
      </c>
      <c r="C393">
        <v>-0.34002242356936602</v>
      </c>
      <c r="D393">
        <v>-6.9247011313854398E-2</v>
      </c>
      <c r="E393">
        <v>0.46246099411994002</v>
      </c>
      <c r="F393">
        <f t="shared" si="18"/>
        <v>-0.2707754122555116</v>
      </c>
      <c r="G393" s="2">
        <f t="shared" si="19"/>
        <v>0.15854163878549027</v>
      </c>
      <c r="M393">
        <v>2.8761589678981698</v>
      </c>
      <c r="N393">
        <v>2.8760043212797699</v>
      </c>
      <c r="O393" s="1">
        <v>8.0417908396174197E-9</v>
      </c>
      <c r="P393" s="2">
        <f t="shared" si="20"/>
        <v>2.9739117889901654</v>
      </c>
    </row>
    <row r="394" spans="2:16" x14ac:dyDescent="0.25">
      <c r="B394">
        <v>393</v>
      </c>
      <c r="C394">
        <v>-0.33091381459532299</v>
      </c>
      <c r="D394">
        <v>-6.0120256891329903E-2</v>
      </c>
      <c r="E394">
        <v>0.43801581076011198</v>
      </c>
      <c r="F394">
        <f t="shared" si="18"/>
        <v>-0.2707935577039931</v>
      </c>
      <c r="G394" s="2">
        <f t="shared" si="19"/>
        <v>0.16741210954630584</v>
      </c>
      <c r="M394">
        <v>6.1612147515419</v>
      </c>
      <c r="N394">
        <v>6.1607192753111599</v>
      </c>
      <c r="O394" s="1">
        <v>2.68404715482372E-8</v>
      </c>
      <c r="P394" s="2">
        <f t="shared" si="20"/>
        <v>9.1465120047240305</v>
      </c>
    </row>
    <row r="395" spans="2:16" x14ac:dyDescent="0.25">
      <c r="B395">
        <v>394</v>
      </c>
      <c r="C395">
        <v>-0.35715867154119602</v>
      </c>
      <c r="D395">
        <v>-0.30069353530381698</v>
      </c>
      <c r="E395">
        <v>0.51024926662828696</v>
      </c>
      <c r="F395">
        <f t="shared" si="18"/>
        <v>-5.6465136237379032E-2</v>
      </c>
      <c r="G395" s="2">
        <f t="shared" si="19"/>
        <v>6.2485373695371476E-3</v>
      </c>
      <c r="M395">
        <v>1.0007523621633601</v>
      </c>
      <c r="N395">
        <v>1.0007529863407401</v>
      </c>
      <c r="O395" s="1">
        <v>2.54819748596695E-9</v>
      </c>
      <c r="P395" s="2">
        <f t="shared" si="20"/>
        <v>1.528913688418726E-4</v>
      </c>
    </row>
    <row r="396" spans="2:16" x14ac:dyDescent="0.25">
      <c r="B396">
        <v>395</v>
      </c>
      <c r="C396">
        <v>-0.37683595276440501</v>
      </c>
      <c r="D396">
        <v>-0.271373530916176</v>
      </c>
      <c r="E396">
        <v>0.56802134118342695</v>
      </c>
      <c r="F396">
        <f t="shared" si="18"/>
        <v>-0.10546242184822902</v>
      </c>
      <c r="G396" s="2">
        <f t="shared" si="19"/>
        <v>1.9580817859627151E-2</v>
      </c>
      <c r="M396">
        <v>6.1576652384373096</v>
      </c>
      <c r="N396">
        <v>6.1580087331373496</v>
      </c>
      <c r="O396" s="1">
        <v>7.85367143581294E-8</v>
      </c>
      <c r="P396" s="2">
        <f t="shared" si="20"/>
        <v>1.502336963290267</v>
      </c>
    </row>
    <row r="397" spans="2:16" x14ac:dyDescent="0.25">
      <c r="B397">
        <v>396</v>
      </c>
      <c r="C397">
        <v>-0.202359222386331</v>
      </c>
      <c r="D397">
        <v>-0.21019306686339501</v>
      </c>
      <c r="E397">
        <v>0.163797019539203</v>
      </c>
      <c r="F397">
        <f t="shared" si="18"/>
        <v>7.8338444770640059E-3</v>
      </c>
      <c r="G397" s="2">
        <f t="shared" si="19"/>
        <v>3.7466566524513718E-4</v>
      </c>
      <c r="M397">
        <v>2.87613417743251</v>
      </c>
      <c r="N397">
        <v>2.87625621346867</v>
      </c>
      <c r="O397" s="1">
        <v>1.6656005925872701E-8</v>
      </c>
      <c r="P397" s="2">
        <f t="shared" si="20"/>
        <v>0.8941395787157963</v>
      </c>
    </row>
    <row r="398" spans="2:16" x14ac:dyDescent="0.25">
      <c r="B398">
        <v>397</v>
      </c>
      <c r="C398">
        <v>-0.39465367148590302</v>
      </c>
      <c r="D398">
        <v>-0.171956522328709</v>
      </c>
      <c r="E398">
        <v>0.62300608166921301</v>
      </c>
      <c r="F398">
        <f t="shared" si="18"/>
        <v>-0.22269714915719402</v>
      </c>
      <c r="G398" s="2">
        <f t="shared" si="19"/>
        <v>7.9604391838141997E-2</v>
      </c>
      <c r="M398">
        <v>6.1605981139270902</v>
      </c>
      <c r="N398">
        <v>6.1610176749382202</v>
      </c>
      <c r="O398" s="1">
        <v>8.2191401608773601E-8</v>
      </c>
      <c r="P398" s="2">
        <f t="shared" si="20"/>
        <v>2.1417257598097654</v>
      </c>
    </row>
    <row r="399" spans="2:16" x14ac:dyDescent="0.25">
      <c r="B399">
        <v>398</v>
      </c>
      <c r="C399">
        <v>-0.33610729878672502</v>
      </c>
      <c r="D399">
        <v>-0.11277722926391701</v>
      </c>
      <c r="E399">
        <v>0.45187246519083601</v>
      </c>
      <c r="F399">
        <f t="shared" si="18"/>
        <v>-0.22333006952280801</v>
      </c>
      <c r="G399" s="2">
        <f t="shared" si="19"/>
        <v>0.11037698420504191</v>
      </c>
      <c r="M399">
        <v>1.0006312759094</v>
      </c>
      <c r="N399">
        <v>1.00061750637277</v>
      </c>
      <c r="O399" s="1">
        <v>1.2430208394553999E-9</v>
      </c>
      <c r="P399" s="2">
        <f t="shared" si="20"/>
        <v>0.15253174603926509</v>
      </c>
    </row>
    <row r="400" spans="2:16" x14ac:dyDescent="0.25">
      <c r="B400">
        <v>399</v>
      </c>
      <c r="C400">
        <v>-0.275294604301767</v>
      </c>
      <c r="D400">
        <v>-0.30627717623645001</v>
      </c>
      <c r="E400">
        <v>0.30314847663066702</v>
      </c>
      <c r="F400">
        <f t="shared" si="18"/>
        <v>3.0982571934683012E-2</v>
      </c>
      <c r="G400" s="2">
        <f t="shared" si="19"/>
        <v>3.1665003708968016E-3</v>
      </c>
      <c r="M400">
        <v>6.1592078630381497</v>
      </c>
      <c r="N400">
        <v>6.1586845073620902</v>
      </c>
      <c r="O400" s="1">
        <v>9.8106796884155206E-8</v>
      </c>
      <c r="P400" s="2">
        <f t="shared" si="20"/>
        <v>2.7918673564194179</v>
      </c>
    </row>
    <row r="401" spans="2:16" x14ac:dyDescent="0.25">
      <c r="B401">
        <v>400</v>
      </c>
      <c r="C401">
        <v>-0.315139115346875</v>
      </c>
      <c r="D401">
        <v>-0.27684660949163298</v>
      </c>
      <c r="E401">
        <v>0.397250648086444</v>
      </c>
      <c r="F401">
        <f t="shared" si="18"/>
        <v>-3.8292505855242021E-2</v>
      </c>
      <c r="G401" s="2">
        <f t="shared" si="19"/>
        <v>3.6911607614411386E-3</v>
      </c>
      <c r="M401">
        <v>2.8767823238381798</v>
      </c>
      <c r="N401">
        <v>2.8764550029493701</v>
      </c>
      <c r="O401" s="1">
        <v>2.1257961407305201E-8</v>
      </c>
      <c r="P401" s="2">
        <f t="shared" si="20"/>
        <v>5.0399453738006246</v>
      </c>
    </row>
    <row r="402" spans="2:16" x14ac:dyDescent="0.25">
      <c r="B402">
        <v>401</v>
      </c>
      <c r="C402">
        <v>-0.27543160658314397</v>
      </c>
      <c r="D402">
        <v>-0.24591376366325099</v>
      </c>
      <c r="E402">
        <v>0.30345027961988702</v>
      </c>
      <c r="F402">
        <f t="shared" si="18"/>
        <v>-2.9517842919892984E-2</v>
      </c>
      <c r="G402" s="2">
        <f t="shared" si="19"/>
        <v>2.8713206385405296E-3</v>
      </c>
      <c r="M402">
        <v>6.1616809564940196</v>
      </c>
      <c r="N402">
        <v>6.1612531591347501</v>
      </c>
      <c r="O402" s="1">
        <v>9.6072564424846298E-8</v>
      </c>
      <c r="P402" s="2">
        <f t="shared" si="20"/>
        <v>1.9049203244812001</v>
      </c>
    </row>
    <row r="403" spans="2:16" x14ac:dyDescent="0.25">
      <c r="B403">
        <v>402</v>
      </c>
      <c r="C403">
        <v>-0.40670179223705699</v>
      </c>
      <c r="D403">
        <v>-0.22397231336678899</v>
      </c>
      <c r="E403">
        <v>0.66162539123533703</v>
      </c>
      <c r="F403">
        <f t="shared" si="18"/>
        <v>-0.182729478870268</v>
      </c>
      <c r="G403" s="2">
        <f t="shared" si="19"/>
        <v>5.0466718615282152E-2</v>
      </c>
      <c r="M403">
        <v>1.0005917639244299</v>
      </c>
      <c r="N403">
        <v>1.00051060896827</v>
      </c>
      <c r="O403" s="1">
        <v>1.72738737022167E-9</v>
      </c>
      <c r="P403" s="2">
        <f t="shared" si="20"/>
        <v>3.8127677803215096</v>
      </c>
    </row>
    <row r="404" spans="2:16" x14ac:dyDescent="0.25">
      <c r="B404">
        <v>403</v>
      </c>
      <c r="C404">
        <v>-0.27554243447543197</v>
      </c>
      <c r="D404">
        <v>-0.20382380912335399</v>
      </c>
      <c r="E404">
        <v>0.30369453278659098</v>
      </c>
      <c r="F404">
        <f t="shared" si="18"/>
        <v>-7.1718625352077986E-2</v>
      </c>
      <c r="G404" s="2">
        <f t="shared" si="19"/>
        <v>1.6936627654097917E-2</v>
      </c>
      <c r="M404">
        <v>6.1602151619117098</v>
      </c>
      <c r="N404">
        <v>6.1601720349678404</v>
      </c>
      <c r="O404" s="1">
        <v>3.8466869391214698E-8</v>
      </c>
      <c r="P404" s="2">
        <f t="shared" si="20"/>
        <v>4.8351563747006616E-2</v>
      </c>
    </row>
    <row r="405" spans="2:16" x14ac:dyDescent="0.25">
      <c r="B405">
        <v>404</v>
      </c>
      <c r="C405">
        <v>-0.39924319853497697</v>
      </c>
      <c r="D405">
        <v>-0.33556542456250799</v>
      </c>
      <c r="E405">
        <v>0.63758052630575701</v>
      </c>
      <c r="F405">
        <f t="shared" si="18"/>
        <v>-6.3677773972468987E-2</v>
      </c>
      <c r="G405" s="2">
        <f t="shared" si="19"/>
        <v>6.3597596394346393E-3</v>
      </c>
      <c r="M405">
        <v>2.8767645602079899</v>
      </c>
      <c r="N405">
        <v>2.8768925538437</v>
      </c>
      <c r="O405" s="1">
        <v>1.10639165517724E-8</v>
      </c>
      <c r="P405" s="2">
        <f t="shared" si="20"/>
        <v>1.4807026703104229</v>
      </c>
    </row>
    <row r="406" spans="2:16" x14ac:dyDescent="0.25">
      <c r="B406">
        <v>405</v>
      </c>
      <c r="C406">
        <v>-0.37964596481740898</v>
      </c>
      <c r="D406">
        <v>-0.31541824038195199</v>
      </c>
      <c r="E406">
        <v>0.57652423440856604</v>
      </c>
      <c r="F406">
        <f t="shared" si="18"/>
        <v>-6.422772443545699E-2</v>
      </c>
      <c r="G406" s="2">
        <f t="shared" si="19"/>
        <v>7.1552943310160804E-3</v>
      </c>
      <c r="M406">
        <v>6.1618712944727401</v>
      </c>
      <c r="N406">
        <v>6.1617714522888898</v>
      </c>
      <c r="O406" s="1">
        <v>4.4834766399574997E-8</v>
      </c>
      <c r="P406" s="2">
        <f t="shared" si="20"/>
        <v>0.2223377632249379</v>
      </c>
    </row>
    <row r="407" spans="2:16" x14ac:dyDescent="0.25">
      <c r="B407">
        <v>406</v>
      </c>
      <c r="C407">
        <v>-0.39931869776948598</v>
      </c>
      <c r="D407">
        <v>-0.27962845332228498</v>
      </c>
      <c r="E407">
        <v>0.63782168955327101</v>
      </c>
      <c r="F407">
        <f t="shared" si="18"/>
        <v>-0.119690244447201</v>
      </c>
      <c r="G407" s="2">
        <f t="shared" si="19"/>
        <v>2.2460438160803935E-2</v>
      </c>
      <c r="M407">
        <v>1.0002433144117999</v>
      </c>
      <c r="N407">
        <v>1.00027538582771</v>
      </c>
      <c r="O407" s="1">
        <v>3.2707109487089299E-9</v>
      </c>
      <c r="P407" s="2">
        <f t="shared" si="20"/>
        <v>0.31448077638442845</v>
      </c>
    </row>
    <row r="408" spans="2:16" x14ac:dyDescent="0.25">
      <c r="B408">
        <v>407</v>
      </c>
      <c r="C408">
        <v>-0.33847647313572299</v>
      </c>
      <c r="D408">
        <v>-0.24834268231752399</v>
      </c>
      <c r="E408">
        <v>0.45826529146559097</v>
      </c>
      <c r="F408">
        <f t="shared" si="18"/>
        <v>-9.0133790818199E-2</v>
      </c>
      <c r="G408" s="2">
        <f t="shared" si="19"/>
        <v>1.7727941431647472E-2</v>
      </c>
      <c r="M408">
        <v>6.1605261404800098</v>
      </c>
      <c r="N408">
        <v>6.1603981959407701</v>
      </c>
      <c r="O408" s="1">
        <v>8.9040868761769096E-8</v>
      </c>
      <c r="P408" s="2">
        <f t="shared" si="20"/>
        <v>0.18384597262922905</v>
      </c>
    </row>
    <row r="409" spans="2:16" x14ac:dyDescent="0.25">
      <c r="B409">
        <v>408</v>
      </c>
      <c r="C409">
        <v>-0.34033758977335798</v>
      </c>
      <c r="D409">
        <v>-0.22470566102681599</v>
      </c>
      <c r="E409">
        <v>0.46331870005095299</v>
      </c>
      <c r="F409">
        <f t="shared" si="18"/>
        <v>-0.11563192874654199</v>
      </c>
      <c r="G409" s="2">
        <f t="shared" si="19"/>
        <v>2.8858630018980307E-2</v>
      </c>
      <c r="M409">
        <v>2.8769526959104801</v>
      </c>
      <c r="N409">
        <v>2.8769590748547902</v>
      </c>
      <c r="O409" s="1">
        <v>2.75433530062565E-8</v>
      </c>
      <c r="P409" s="2">
        <f t="shared" si="20"/>
        <v>1.4773412119490645E-3</v>
      </c>
    </row>
    <row r="410" spans="2:16" x14ac:dyDescent="0.25">
      <c r="B410">
        <v>409</v>
      </c>
      <c r="C410">
        <v>-0.35181999027276301</v>
      </c>
      <c r="D410">
        <v>-0.199848288964939</v>
      </c>
      <c r="E410">
        <v>0.49510922222210801</v>
      </c>
      <c r="F410">
        <f t="shared" si="18"/>
        <v>-0.151971701307824</v>
      </c>
      <c r="G410" s="2">
        <f t="shared" si="19"/>
        <v>4.6647076971702589E-2</v>
      </c>
      <c r="M410">
        <v>6.1619900265606402</v>
      </c>
      <c r="N410">
        <v>6.1618502454876198</v>
      </c>
      <c r="O410" s="1">
        <v>7.6390929242319205E-8</v>
      </c>
      <c r="P410" s="2">
        <f t="shared" si="20"/>
        <v>0.25577314700215398</v>
      </c>
    </row>
    <row r="411" spans="2:16" x14ac:dyDescent="0.25">
      <c r="B411">
        <v>410</v>
      </c>
      <c r="C411">
        <v>-0.42996390863824002</v>
      </c>
      <c r="D411">
        <v>-0.16284448768049101</v>
      </c>
      <c r="E411">
        <v>0.73947585092589196</v>
      </c>
      <c r="F411">
        <f t="shared" si="18"/>
        <v>-0.26711942095774899</v>
      </c>
      <c r="G411" s="2">
        <f t="shared" si="19"/>
        <v>9.6491028021351663E-2</v>
      </c>
      <c r="M411">
        <v>1.0002403954424199</v>
      </c>
      <c r="N411">
        <v>1.0002396327494101</v>
      </c>
      <c r="O411" s="1">
        <v>3.7197221318027701E-9</v>
      </c>
      <c r="P411" s="2">
        <f t="shared" si="20"/>
        <v>1.5638281749991146E-4</v>
      </c>
    </row>
    <row r="412" spans="2:16" x14ac:dyDescent="0.25">
      <c r="B412">
        <v>411</v>
      </c>
      <c r="C412">
        <v>-0.42071830196026799</v>
      </c>
      <c r="D412">
        <v>-0.134971036968832</v>
      </c>
      <c r="E412">
        <v>0.708015558417323</v>
      </c>
      <c r="F412">
        <f t="shared" si="18"/>
        <v>-0.28574726499143599</v>
      </c>
      <c r="G412" s="2">
        <f t="shared" si="19"/>
        <v>0.11532444235068405</v>
      </c>
      <c r="M412">
        <v>6.1610078119296698</v>
      </c>
      <c r="N412">
        <v>6.1612328396656304</v>
      </c>
      <c r="O412" s="1">
        <v>1.0874149828679499E-7</v>
      </c>
      <c r="P412" s="2">
        <f t="shared" si="20"/>
        <v>0.46566842235320044</v>
      </c>
    </row>
    <row r="413" spans="2:16" x14ac:dyDescent="0.25">
      <c r="B413">
        <v>412</v>
      </c>
      <c r="C413">
        <v>-0.40532414307218101</v>
      </c>
      <c r="D413">
        <v>-0.106682914565769</v>
      </c>
      <c r="E413">
        <v>0.65715064382879196</v>
      </c>
      <c r="F413">
        <f t="shared" si="18"/>
        <v>-0.298641228506412</v>
      </c>
      <c r="G413" s="2">
        <f t="shared" si="19"/>
        <v>0.13571710566117143</v>
      </c>
      <c r="M413">
        <v>2.8769361225226202</v>
      </c>
      <c r="N413">
        <v>2.8772045618380702</v>
      </c>
      <c r="O413" s="1">
        <v>2.13181057108048E-8</v>
      </c>
      <c r="P413" s="2">
        <f t="shared" si="20"/>
        <v>3.3802096235369055</v>
      </c>
    </row>
    <row r="414" spans="2:16" x14ac:dyDescent="0.25">
      <c r="B414">
        <v>413</v>
      </c>
      <c r="C414">
        <v>-0.36917012202309901</v>
      </c>
      <c r="D414">
        <v>-8.1052630408274901E-2</v>
      </c>
      <c r="E414">
        <v>0.54514631597819996</v>
      </c>
      <c r="F414">
        <f t="shared" si="18"/>
        <v>-0.28811749161482414</v>
      </c>
      <c r="G414" s="2">
        <f t="shared" si="19"/>
        <v>0.15227414464952166</v>
      </c>
      <c r="M414">
        <v>6.16190440551288</v>
      </c>
      <c r="N414">
        <v>6.1621410143070801</v>
      </c>
      <c r="O414" s="1">
        <v>9.6696891698424296E-8</v>
      </c>
      <c r="P414" s="2">
        <f t="shared" si="20"/>
        <v>0.57896092117841569</v>
      </c>
    </row>
    <row r="415" spans="2:16" x14ac:dyDescent="0.25">
      <c r="B415">
        <v>414</v>
      </c>
      <c r="C415">
        <v>-0.241615853640744</v>
      </c>
      <c r="D415">
        <v>-7.0873994647483396E-2</v>
      </c>
      <c r="E415">
        <v>0.233512882922182</v>
      </c>
      <c r="F415">
        <f t="shared" si="18"/>
        <v>-0.17074185899326061</v>
      </c>
      <c r="G415" s="2">
        <f t="shared" si="19"/>
        <v>0.12484442848572783</v>
      </c>
      <c r="M415">
        <v>1.00010629855614</v>
      </c>
      <c r="N415">
        <v>1.0001077089608199</v>
      </c>
      <c r="O415" s="1">
        <v>2.8004522529987201E-9</v>
      </c>
      <c r="P415" s="2">
        <f t="shared" si="20"/>
        <v>7.1032861176420113E-4</v>
      </c>
    </row>
    <row r="416" spans="2:16" x14ac:dyDescent="0.25">
      <c r="B416">
        <v>415</v>
      </c>
      <c r="C416">
        <v>-0.342090418033689</v>
      </c>
      <c r="D416">
        <v>-6.3281239370235595E-2</v>
      </c>
      <c r="E416">
        <v>0.46810341644185699</v>
      </c>
      <c r="F416">
        <f t="shared" si="18"/>
        <v>-0.27880917866345339</v>
      </c>
      <c r="G416" s="2">
        <f t="shared" si="19"/>
        <v>0.16606278735982025</v>
      </c>
      <c r="M416">
        <v>0.65166998807535503</v>
      </c>
      <c r="N416">
        <v>0.65169987070792801</v>
      </c>
      <c r="O416" s="1">
        <v>5.5231597648592199E-10</v>
      </c>
      <c r="P416" s="2">
        <f t="shared" si="20"/>
        <v>1.6167769311561677</v>
      </c>
    </row>
    <row r="417" spans="2:16" x14ac:dyDescent="0.25">
      <c r="B417">
        <v>416</v>
      </c>
      <c r="C417">
        <v>-0.355823673847388</v>
      </c>
      <c r="D417">
        <v>-0.25285676399335699</v>
      </c>
      <c r="E417">
        <v>0.50644194748101001</v>
      </c>
      <c r="F417">
        <f t="shared" si="18"/>
        <v>-0.10296690985403101</v>
      </c>
      <c r="G417" s="2">
        <f t="shared" si="19"/>
        <v>2.0934649228055296E-2</v>
      </c>
      <c r="M417">
        <v>0.99245899476125399</v>
      </c>
      <c r="N417">
        <v>0.99252933472264304</v>
      </c>
      <c r="O417" s="1">
        <v>1.7466068255729899E-9</v>
      </c>
      <c r="P417" s="2">
        <f t="shared" si="20"/>
        <v>2.832755543933311</v>
      </c>
    </row>
    <row r="418" spans="2:16" x14ac:dyDescent="0.25">
      <c r="B418">
        <v>417</v>
      </c>
      <c r="C418">
        <v>-0.295206528018646</v>
      </c>
      <c r="D418">
        <v>-0.23363310503631601</v>
      </c>
      <c r="E418">
        <v>0.34858757673929402</v>
      </c>
      <c r="F418">
        <f t="shared" si="18"/>
        <v>-6.1573422982329984E-2</v>
      </c>
      <c r="G418" s="2">
        <f t="shared" si="19"/>
        <v>1.0876137506748831E-2</v>
      </c>
      <c r="M418">
        <v>0.65168051200307897</v>
      </c>
      <c r="N418">
        <v>0.65172338063068502</v>
      </c>
      <c r="O418" s="1">
        <v>1.22873150919624E-9</v>
      </c>
      <c r="P418" s="2">
        <f t="shared" si="20"/>
        <v>1.4956231032347165</v>
      </c>
    </row>
    <row r="419" spans="2:16" x14ac:dyDescent="0.25">
      <c r="B419">
        <v>418</v>
      </c>
      <c r="C419">
        <v>-0.39551527938747999</v>
      </c>
      <c r="D419">
        <v>-0.241862054381491</v>
      </c>
      <c r="E419">
        <v>0.62572934491582399</v>
      </c>
      <c r="F419">
        <f t="shared" si="18"/>
        <v>-0.15365322500598899</v>
      </c>
      <c r="G419" s="2">
        <f t="shared" si="19"/>
        <v>3.77308715766193E-2</v>
      </c>
      <c r="M419">
        <v>0.99244935791505295</v>
      </c>
      <c r="N419">
        <v>0.99250521324352803</v>
      </c>
      <c r="O419" s="1">
        <v>1.9837974764107099E-9</v>
      </c>
      <c r="P419" s="2">
        <f t="shared" si="20"/>
        <v>1.572649303245969</v>
      </c>
    </row>
    <row r="420" spans="2:16" x14ac:dyDescent="0.25">
      <c r="B420">
        <v>419</v>
      </c>
      <c r="C420">
        <v>-0.33447702091533599</v>
      </c>
      <c r="D420">
        <v>-0.227939003583256</v>
      </c>
      <c r="E420">
        <v>0.447499510081594</v>
      </c>
      <c r="F420">
        <f t="shared" si="18"/>
        <v>-0.10653801733207999</v>
      </c>
      <c r="G420" s="2">
        <f t="shared" si="19"/>
        <v>2.5363936454323784E-2</v>
      </c>
      <c r="M420">
        <v>0.65169628839286997</v>
      </c>
      <c r="N420">
        <v>0.65169201979255598</v>
      </c>
      <c r="O420" s="1">
        <v>1.1371748978002999E-9</v>
      </c>
      <c r="P420" s="2">
        <f t="shared" si="20"/>
        <v>1.6022995825779502E-2</v>
      </c>
    </row>
    <row r="421" spans="2:16" x14ac:dyDescent="0.25">
      <c r="B421">
        <v>420</v>
      </c>
      <c r="C421">
        <v>-0.25688520166033402</v>
      </c>
      <c r="D421">
        <v>-0.21686047421110299</v>
      </c>
      <c r="E421">
        <v>0.263960027328281</v>
      </c>
      <c r="F421">
        <f t="shared" si="18"/>
        <v>-4.0024727449231023E-2</v>
      </c>
      <c r="G421" s="2">
        <f t="shared" si="19"/>
        <v>6.0690204634388945E-3</v>
      </c>
      <c r="M421">
        <v>0.99254197208255401</v>
      </c>
      <c r="N421">
        <v>0.99253739018583897</v>
      </c>
      <c r="O421" s="1">
        <v>1.28904554762079E-9</v>
      </c>
      <c r="P421" s="2">
        <f t="shared" si="20"/>
        <v>1.6286296125093663E-2</v>
      </c>
    </row>
    <row r="422" spans="2:16" x14ac:dyDescent="0.25">
      <c r="B422">
        <v>421</v>
      </c>
      <c r="C422">
        <v>-0.434294237180465</v>
      </c>
      <c r="D422">
        <v>-0.22652467635186599</v>
      </c>
      <c r="E422">
        <v>0.75444593779264801</v>
      </c>
      <c r="F422">
        <f t="shared" si="18"/>
        <v>-0.20776956082859901</v>
      </c>
      <c r="G422" s="2">
        <f t="shared" si="19"/>
        <v>5.721840127234306E-2</v>
      </c>
      <c r="M422">
        <v>0.65174986155478198</v>
      </c>
      <c r="N422">
        <v>0.65172740152626596</v>
      </c>
      <c r="O422" s="1">
        <v>9.0229036878804701E-10</v>
      </c>
      <c r="P422" s="2">
        <f t="shared" si="20"/>
        <v>0.55908042287786608</v>
      </c>
    </row>
    <row r="423" spans="2:16" x14ac:dyDescent="0.25">
      <c r="B423">
        <v>422</v>
      </c>
      <c r="C423">
        <v>-0.22244652867209</v>
      </c>
      <c r="D423">
        <v>-0.209911687569177</v>
      </c>
      <c r="E423">
        <v>0.19792983247305099</v>
      </c>
      <c r="F423">
        <f t="shared" si="18"/>
        <v>-1.2534841102913002E-2</v>
      </c>
      <c r="G423" s="2">
        <f t="shared" si="19"/>
        <v>7.9382799203182343E-4</v>
      </c>
      <c r="M423">
        <v>0.99254164736817796</v>
      </c>
      <c r="N423">
        <v>0.992501087899473</v>
      </c>
      <c r="O423" s="1">
        <v>2.3015296945754802E-9</v>
      </c>
      <c r="P423" s="2">
        <f t="shared" si="20"/>
        <v>0.71477265989914074</v>
      </c>
    </row>
    <row r="424" spans="2:16" x14ac:dyDescent="0.25">
      <c r="B424">
        <v>423</v>
      </c>
      <c r="C424">
        <v>-0.189195192829332</v>
      </c>
      <c r="D424">
        <v>-0.206023791793113</v>
      </c>
      <c r="E424">
        <v>0.143179283958913</v>
      </c>
      <c r="F424">
        <f t="shared" si="18"/>
        <v>1.6828598963781E-2</v>
      </c>
      <c r="G424" s="2">
        <f t="shared" si="19"/>
        <v>1.9779519442563983E-3</v>
      </c>
      <c r="M424">
        <v>3.0352719417085501</v>
      </c>
      <c r="N424">
        <v>3.03405578352052</v>
      </c>
      <c r="O424" s="1">
        <v>2.4784644536520398E-7</v>
      </c>
      <c r="P424" s="2">
        <f t="shared" si="20"/>
        <v>5.9675688958674016</v>
      </c>
    </row>
    <row r="425" spans="2:16" x14ac:dyDescent="0.25">
      <c r="B425">
        <v>424</v>
      </c>
      <c r="C425">
        <v>-0.29127942660559702</v>
      </c>
      <c r="D425">
        <v>-0.17879165277690101</v>
      </c>
      <c r="E425">
        <v>0.33937481745474102</v>
      </c>
      <c r="F425">
        <f t="shared" si="18"/>
        <v>-0.11248777382869601</v>
      </c>
      <c r="G425" s="2">
        <f t="shared" si="19"/>
        <v>3.7284732426039052E-2</v>
      </c>
      <c r="M425">
        <v>1.4190300444739199</v>
      </c>
      <c r="N425">
        <v>1.41860412181197</v>
      </c>
      <c r="O425" s="1">
        <v>5.6068485725651103E-8</v>
      </c>
      <c r="P425" s="2">
        <f t="shared" si="20"/>
        <v>3.2355094241372191</v>
      </c>
    </row>
    <row r="426" spans="2:16" x14ac:dyDescent="0.25">
      <c r="B426">
        <v>425</v>
      </c>
      <c r="C426">
        <v>-0.25408423660860602</v>
      </c>
      <c r="D426">
        <v>-0.18581061415313899</v>
      </c>
      <c r="E426">
        <v>0.25823519717191101</v>
      </c>
      <c r="F426">
        <f t="shared" si="18"/>
        <v>-6.8273622455467031E-2</v>
      </c>
      <c r="G426" s="2">
        <f t="shared" si="19"/>
        <v>1.8050550715937315E-2</v>
      </c>
      <c r="M426">
        <v>3.0425072172752099</v>
      </c>
      <c r="N426">
        <v>3.0409977222978402</v>
      </c>
      <c r="O426" s="1">
        <v>1.83862950031219E-7</v>
      </c>
      <c r="P426" s="2">
        <f t="shared" si="20"/>
        <v>12.392790860353236</v>
      </c>
    </row>
    <row r="427" spans="2:16" x14ac:dyDescent="0.25">
      <c r="B427">
        <v>426</v>
      </c>
      <c r="C427">
        <v>-0.292533602118486</v>
      </c>
      <c r="D427">
        <v>-0.14088902817308899</v>
      </c>
      <c r="E427">
        <v>0.34230363347366699</v>
      </c>
      <c r="F427">
        <f t="shared" si="18"/>
        <v>-0.15164457394539702</v>
      </c>
      <c r="G427" s="2">
        <f t="shared" si="19"/>
        <v>6.7180346798305438E-2</v>
      </c>
      <c r="M427">
        <v>1.0035337804139199</v>
      </c>
      <c r="N427">
        <v>1.00354243795473</v>
      </c>
      <c r="O427" s="1">
        <v>2.38761658729558E-8</v>
      </c>
      <c r="P427" s="2">
        <f t="shared" si="20"/>
        <v>3.1392399129815327E-3</v>
      </c>
    </row>
    <row r="428" spans="2:16" x14ac:dyDescent="0.25">
      <c r="B428">
        <v>427</v>
      </c>
      <c r="C428">
        <v>-0.32648840830838799</v>
      </c>
      <c r="D428">
        <v>-0.12632149401812101</v>
      </c>
      <c r="E428">
        <v>0.426378723038978</v>
      </c>
      <c r="F428">
        <f t="shared" si="18"/>
        <v>-0.20016691429026698</v>
      </c>
      <c r="G428" s="2">
        <f t="shared" si="19"/>
        <v>9.3969964755545088E-2</v>
      </c>
      <c r="M428">
        <v>3.03465296091243</v>
      </c>
      <c r="N428">
        <v>3.0353908585512701</v>
      </c>
      <c r="O428" s="1">
        <v>1.9683493395704201E-7</v>
      </c>
      <c r="P428" s="2">
        <f t="shared" si="20"/>
        <v>2.7662413092011309</v>
      </c>
    </row>
    <row r="429" spans="2:16" x14ac:dyDescent="0.25">
      <c r="B429">
        <v>428</v>
      </c>
      <c r="C429">
        <v>-0.35312798688750502</v>
      </c>
      <c r="D429">
        <v>-0.31116181088727801</v>
      </c>
      <c r="E429">
        <v>0.49879750049288801</v>
      </c>
      <c r="F429">
        <f t="shared" si="18"/>
        <v>-4.1966176000227007E-2</v>
      </c>
      <c r="G429" s="2">
        <f t="shared" si="19"/>
        <v>3.5308114542308942E-3</v>
      </c>
      <c r="M429">
        <v>1.4187329617629101</v>
      </c>
      <c r="N429">
        <v>1.4190065040778901</v>
      </c>
      <c r="O429" s="1">
        <v>6.6364488172079198E-8</v>
      </c>
      <c r="P429" s="2">
        <f t="shared" si="20"/>
        <v>1.1274915266520373</v>
      </c>
    </row>
    <row r="430" spans="2:16" x14ac:dyDescent="0.25">
      <c r="B430">
        <v>429</v>
      </c>
      <c r="C430">
        <v>-0.404086842022781</v>
      </c>
      <c r="D430">
        <v>-0.31305107130377702</v>
      </c>
      <c r="E430">
        <v>0.65314470358377696</v>
      </c>
      <c r="F430">
        <f t="shared" si="18"/>
        <v>-9.1035770719003983E-2</v>
      </c>
      <c r="G430" s="2">
        <f t="shared" si="19"/>
        <v>1.2688630107432307E-2</v>
      </c>
      <c r="M430">
        <v>3.04055887048054</v>
      </c>
      <c r="N430">
        <v>3.0414730750761598</v>
      </c>
      <c r="O430" s="1">
        <v>2.4131955280681599E-7</v>
      </c>
      <c r="P430" s="2">
        <f t="shared" si="20"/>
        <v>3.4633332978266114</v>
      </c>
    </row>
    <row r="431" spans="2:16" x14ac:dyDescent="0.25">
      <c r="B431">
        <v>430</v>
      </c>
      <c r="C431">
        <v>-0.27094221653744799</v>
      </c>
      <c r="D431">
        <v>-0.29678323274498503</v>
      </c>
      <c r="E431">
        <v>0.29363873880890101</v>
      </c>
      <c r="F431">
        <f t="shared" si="18"/>
        <v>2.5841016207537038E-2</v>
      </c>
      <c r="G431" s="2">
        <f t="shared" si="19"/>
        <v>2.2740804614093048E-3</v>
      </c>
      <c r="M431">
        <v>1.0031687005757799</v>
      </c>
      <c r="N431">
        <v>1.00312201695881</v>
      </c>
      <c r="O431" s="1">
        <v>2.1688919297081299E-8</v>
      </c>
      <c r="P431" s="2">
        <f t="shared" si="20"/>
        <v>0.10048265031290332</v>
      </c>
    </row>
    <row r="432" spans="2:16" x14ac:dyDescent="0.25">
      <c r="B432">
        <v>431</v>
      </c>
      <c r="C432">
        <v>-0.27878827606248202</v>
      </c>
      <c r="D432">
        <v>-0.29580914548363602</v>
      </c>
      <c r="E432">
        <v>0.31089161147956301</v>
      </c>
      <c r="F432">
        <f t="shared" si="18"/>
        <v>1.7020869421153995E-2</v>
      </c>
      <c r="G432" s="2">
        <f t="shared" si="19"/>
        <v>9.3186816612136122E-4</v>
      </c>
      <c r="M432">
        <v>3.03804448751958</v>
      </c>
      <c r="N432">
        <v>3.0381785794395002</v>
      </c>
      <c r="O432" s="1">
        <v>2.6925314036686999E-7</v>
      </c>
      <c r="P432" s="2">
        <f t="shared" si="20"/>
        <v>6.6779696472195046E-2</v>
      </c>
    </row>
    <row r="433" spans="2:16" x14ac:dyDescent="0.25">
      <c r="B433">
        <v>432</v>
      </c>
      <c r="C433">
        <v>-0.26395944401562699</v>
      </c>
      <c r="D433">
        <v>-0.29264739144482699</v>
      </c>
      <c r="E433">
        <v>0.278698352340155</v>
      </c>
      <c r="F433">
        <f t="shared" si="18"/>
        <v>2.86879474292E-2</v>
      </c>
      <c r="G433" s="2">
        <f t="shared" si="19"/>
        <v>2.953007510773019E-3</v>
      </c>
      <c r="M433">
        <v>1.4195947827067199</v>
      </c>
      <c r="N433">
        <v>1.41984650093621</v>
      </c>
      <c r="O433" s="1">
        <v>5.4595156957998098E-8</v>
      </c>
      <c r="P433" s="2">
        <f t="shared" si="20"/>
        <v>1.1605803625838091</v>
      </c>
    </row>
    <row r="434" spans="2:16" x14ac:dyDescent="0.25">
      <c r="B434">
        <v>433</v>
      </c>
      <c r="C434">
        <v>-0.29506572814187398</v>
      </c>
      <c r="D434">
        <v>-0.28536712500205402</v>
      </c>
      <c r="E434">
        <v>0.34825513569557798</v>
      </c>
      <c r="F434">
        <f t="shared" si="18"/>
        <v>-9.6986031398199612E-3</v>
      </c>
      <c r="G434" s="2">
        <f t="shared" si="19"/>
        <v>2.7009767616449247E-4</v>
      </c>
      <c r="M434">
        <v>3.0422822667291101</v>
      </c>
      <c r="N434">
        <v>3.0424652072572398</v>
      </c>
      <c r="O434" s="1">
        <v>1.7888868469490699E-7</v>
      </c>
      <c r="P434" s="2">
        <f t="shared" si="20"/>
        <v>0.18708414615190155</v>
      </c>
    </row>
    <row r="435" spans="2:16" x14ac:dyDescent="0.25">
      <c r="B435">
        <v>434</v>
      </c>
      <c r="C435">
        <v>-0.326565582976028</v>
      </c>
      <c r="D435">
        <v>-0.28853111133614601</v>
      </c>
      <c r="E435">
        <v>0.42658031993789203</v>
      </c>
      <c r="F435">
        <f t="shared" si="18"/>
        <v>-3.8034471639881995E-2</v>
      </c>
      <c r="G435" s="2">
        <f t="shared" si="19"/>
        <v>3.3912043413901714E-3</v>
      </c>
      <c r="M435">
        <v>1.0024140790009399</v>
      </c>
      <c r="N435">
        <v>1.0022453143697401</v>
      </c>
      <c r="O435" s="1">
        <v>7.24889507513133E-8</v>
      </c>
      <c r="P435" s="2">
        <f t="shared" si="20"/>
        <v>0.39290816667681044</v>
      </c>
    </row>
    <row r="436" spans="2:16" x14ac:dyDescent="0.25">
      <c r="B436">
        <v>435</v>
      </c>
      <c r="C436">
        <v>-0.36091883953533499</v>
      </c>
      <c r="D436">
        <v>-0.26814551789319702</v>
      </c>
      <c r="E436">
        <v>0.52104963492613199</v>
      </c>
      <c r="F436">
        <f t="shared" si="18"/>
        <v>-9.2773321642137974E-2</v>
      </c>
      <c r="G436" s="2">
        <f t="shared" si="19"/>
        <v>1.6518367218001727E-2</v>
      </c>
      <c r="M436">
        <v>3.03942057602743</v>
      </c>
      <c r="N436">
        <v>3.0399221481667098</v>
      </c>
      <c r="O436" s="1">
        <v>2.1185764019918801E-7</v>
      </c>
      <c r="P436" s="2">
        <f t="shared" si="20"/>
        <v>1.187470089184421</v>
      </c>
    </row>
    <row r="437" spans="2:16" x14ac:dyDescent="0.25">
      <c r="B437">
        <v>436</v>
      </c>
      <c r="C437">
        <v>-0.36913722167579699</v>
      </c>
      <c r="D437">
        <v>-0.27292239892548198</v>
      </c>
      <c r="E437">
        <v>0.54504915370610696</v>
      </c>
      <c r="F437">
        <f t="shared" si="18"/>
        <v>-9.621482275031501E-2</v>
      </c>
      <c r="G437" s="2">
        <f t="shared" si="19"/>
        <v>1.6984325274021266E-2</v>
      </c>
      <c r="M437">
        <v>1.42012305487095</v>
      </c>
      <c r="N437">
        <v>1.42037173434966</v>
      </c>
      <c r="O437" s="1">
        <v>3.5485157369174503E-8</v>
      </c>
      <c r="P437" s="2">
        <f t="shared" si="20"/>
        <v>1.7427422538414115</v>
      </c>
    </row>
    <row r="438" spans="2:16" x14ac:dyDescent="0.25">
      <c r="B438">
        <v>437</v>
      </c>
      <c r="C438">
        <v>-0.28589408932522498</v>
      </c>
      <c r="D438">
        <v>-0.28658228519196699</v>
      </c>
      <c r="E438">
        <v>0.32694172124440002</v>
      </c>
      <c r="F438">
        <f t="shared" si="18"/>
        <v>6.8819586674201405E-4</v>
      </c>
      <c r="G438" s="2">
        <f t="shared" si="19"/>
        <v>1.4486176594352415E-6</v>
      </c>
      <c r="M438">
        <v>3.0421810931293098</v>
      </c>
      <c r="N438">
        <v>3.0430854340044502</v>
      </c>
      <c r="O438" s="1">
        <v>1.4118062027111399E-7</v>
      </c>
      <c r="P438" s="2">
        <f t="shared" si="20"/>
        <v>5.7928093592385919</v>
      </c>
    </row>
    <row r="439" spans="2:16" x14ac:dyDescent="0.25">
      <c r="B439">
        <v>438</v>
      </c>
      <c r="C439">
        <v>-0.31222363578894002</v>
      </c>
      <c r="D439">
        <v>-0.27275902620405701</v>
      </c>
      <c r="E439">
        <v>0.38993439498105797</v>
      </c>
      <c r="F439">
        <f t="shared" si="18"/>
        <v>-3.9464609584883015E-2</v>
      </c>
      <c r="G439" s="2">
        <f t="shared" si="19"/>
        <v>3.9941472969136195E-3</v>
      </c>
      <c r="M439">
        <v>1.00209184598623</v>
      </c>
      <c r="N439">
        <v>1.00169778221796</v>
      </c>
      <c r="O439" s="1">
        <v>2.1425120334042799E-8</v>
      </c>
      <c r="P439" s="2">
        <f t="shared" si="20"/>
        <v>7.2478591038024369</v>
      </c>
    </row>
    <row r="440" spans="2:16" x14ac:dyDescent="0.25">
      <c r="B440">
        <v>439</v>
      </c>
      <c r="C440">
        <v>-0.29018174858575702</v>
      </c>
      <c r="D440">
        <v>-0.278172971587412</v>
      </c>
      <c r="E440">
        <v>0.33682178884914898</v>
      </c>
      <c r="F440">
        <f t="shared" si="18"/>
        <v>-1.2008776998345017E-2</v>
      </c>
      <c r="G440" s="2">
        <f t="shared" si="19"/>
        <v>4.2815141350777467E-4</v>
      </c>
      <c r="M440">
        <v>3.0423544673045502</v>
      </c>
      <c r="N440">
        <v>3.0426226695092802</v>
      </c>
      <c r="O440" s="1">
        <v>2.1163982877789499E-7</v>
      </c>
      <c r="P440" s="2">
        <f t="shared" si="20"/>
        <v>0.33988131174272179</v>
      </c>
    </row>
    <row r="441" spans="2:16" x14ac:dyDescent="0.25">
      <c r="B441">
        <v>440</v>
      </c>
      <c r="C441">
        <v>-0.31356085340305401</v>
      </c>
      <c r="D441">
        <v>-0.26528654544804497</v>
      </c>
      <c r="E441">
        <v>0.393281635147405</v>
      </c>
      <c r="F441">
        <f t="shared" si="18"/>
        <v>-4.8274307955009033E-2</v>
      </c>
      <c r="G441" s="2">
        <f t="shared" si="19"/>
        <v>5.9255469878770036E-3</v>
      </c>
      <c r="M441">
        <v>1.42127494135211</v>
      </c>
      <c r="N441">
        <v>1.42118502934403</v>
      </c>
      <c r="O441" s="1">
        <v>4.2925953527482699E-8</v>
      </c>
      <c r="P441" s="2">
        <f t="shared" si="20"/>
        <v>0.18832823810875607</v>
      </c>
    </row>
    <row r="442" spans="2:16" x14ac:dyDescent="0.25">
      <c r="B442">
        <v>441</v>
      </c>
      <c r="C442">
        <v>-0.29600891016639203</v>
      </c>
      <c r="D442">
        <v>-0.25588651828116599</v>
      </c>
      <c r="E442">
        <v>0.35048509959158203</v>
      </c>
      <c r="F442">
        <f t="shared" si="18"/>
        <v>-4.0122391885226039E-2</v>
      </c>
      <c r="G442" s="2">
        <f t="shared" si="19"/>
        <v>4.5930806544059906E-3</v>
      </c>
      <c r="M442">
        <v>3.0436786336538999</v>
      </c>
      <c r="N442">
        <v>3.0440456178508</v>
      </c>
      <c r="O442" s="1">
        <v>1.9943802764146701E-7</v>
      </c>
      <c r="P442" s="2">
        <f t="shared" si="20"/>
        <v>0.6752844598749167</v>
      </c>
    </row>
    <row r="443" spans="2:16" x14ac:dyDescent="0.25">
      <c r="B443">
        <v>442</v>
      </c>
      <c r="C443">
        <v>-0.31607575111714198</v>
      </c>
      <c r="D443">
        <v>-0.265385320193187</v>
      </c>
      <c r="E443">
        <v>0.399615521777063</v>
      </c>
      <c r="F443">
        <f t="shared" si="18"/>
        <v>-5.0690430923954977E-2</v>
      </c>
      <c r="G443" s="2">
        <f t="shared" si="19"/>
        <v>6.4299799362891891E-3</v>
      </c>
      <c r="M443">
        <v>1.0011445594748101</v>
      </c>
      <c r="N443">
        <v>1.0008509478905201</v>
      </c>
      <c r="O443" s="1">
        <v>4.13919661204837E-8</v>
      </c>
      <c r="P443" s="2">
        <f t="shared" si="20"/>
        <v>2.0827172639815323</v>
      </c>
    </row>
    <row r="444" spans="2:16" x14ac:dyDescent="0.25">
      <c r="B444">
        <v>443</v>
      </c>
      <c r="C444">
        <v>-0.28882935907424301</v>
      </c>
      <c r="D444">
        <v>-0.26440404459481998</v>
      </c>
      <c r="E444">
        <v>0.333689594652951</v>
      </c>
      <c r="F444">
        <f t="shared" si="18"/>
        <v>-2.4425314479423033E-2</v>
      </c>
      <c r="G444" s="2">
        <f t="shared" si="19"/>
        <v>1.7878771078828316E-3</v>
      </c>
      <c r="M444">
        <v>0.32449837614920102</v>
      </c>
      <c r="N444">
        <v>0.32449569722882599</v>
      </c>
      <c r="O444" s="1">
        <v>7.6283473798497103E-10</v>
      </c>
      <c r="P444" s="2">
        <f t="shared" si="20"/>
        <v>9.4078232393026671E-3</v>
      </c>
    </row>
    <row r="445" spans="2:16" x14ac:dyDescent="0.25">
      <c r="B445">
        <v>444</v>
      </c>
      <c r="C445">
        <v>-0.30503165098011698</v>
      </c>
      <c r="D445">
        <v>-0.252872380096482</v>
      </c>
      <c r="E445">
        <v>0.37217723239862399</v>
      </c>
      <c r="F445">
        <f t="shared" si="18"/>
        <v>-5.2159270883634978E-2</v>
      </c>
      <c r="G445" s="2">
        <f t="shared" si="19"/>
        <v>7.3099300609514401E-3</v>
      </c>
      <c r="M445">
        <v>0.99449411066446403</v>
      </c>
      <c r="N445">
        <v>0.994487825473925</v>
      </c>
      <c r="O445" s="1">
        <v>3.9364534752813298E-9</v>
      </c>
      <c r="P445" s="2">
        <f t="shared" si="20"/>
        <v>1.0035332656639773E-2</v>
      </c>
    </row>
    <row r="446" spans="2:16" x14ac:dyDescent="0.25">
      <c r="B446">
        <v>445</v>
      </c>
      <c r="C446">
        <v>-0.344964609709418</v>
      </c>
      <c r="D446">
        <v>-0.32740774675523998</v>
      </c>
      <c r="E446">
        <v>0.47600232780788498</v>
      </c>
      <c r="F446">
        <f t="shared" si="18"/>
        <v>-1.7556862954178021E-2</v>
      </c>
      <c r="G446" s="2">
        <f t="shared" si="19"/>
        <v>6.4756707852948981E-4</v>
      </c>
      <c r="M446">
        <v>0.32452106198721298</v>
      </c>
      <c r="N446">
        <v>0.32452841156582901</v>
      </c>
      <c r="O446" s="1">
        <v>1.00696862814342E-9</v>
      </c>
      <c r="P446" s="2">
        <f t="shared" si="20"/>
        <v>5.3642491258990788E-2</v>
      </c>
    </row>
    <row r="447" spans="2:16" x14ac:dyDescent="0.25">
      <c r="B447">
        <v>446</v>
      </c>
      <c r="C447">
        <v>-0.35103515028335203</v>
      </c>
      <c r="D447">
        <v>-0.31243768481642298</v>
      </c>
      <c r="E447">
        <v>0.49290270693782201</v>
      </c>
      <c r="F447">
        <f t="shared" si="18"/>
        <v>-3.8597465466929048E-2</v>
      </c>
      <c r="G447" s="2">
        <f t="shared" si="19"/>
        <v>3.0224308357444446E-3</v>
      </c>
      <c r="M447">
        <v>0.99440770097593101</v>
      </c>
      <c r="N447">
        <v>0.99442028530544202</v>
      </c>
      <c r="O447" s="1">
        <v>3.24043247960502E-9</v>
      </c>
      <c r="P447" s="2">
        <f t="shared" si="20"/>
        <v>4.8871670753350881E-2</v>
      </c>
    </row>
    <row r="448" spans="2:16" x14ac:dyDescent="0.25">
      <c r="B448">
        <v>447</v>
      </c>
      <c r="C448">
        <v>-0.32486037930093198</v>
      </c>
      <c r="D448">
        <v>-0.30334815738682003</v>
      </c>
      <c r="E448">
        <v>0.42213706415817998</v>
      </c>
      <c r="F448">
        <f t="shared" si="18"/>
        <v>-2.1512221914111951E-2</v>
      </c>
      <c r="G448" s="2">
        <f t="shared" si="19"/>
        <v>1.0962687974458236E-3</v>
      </c>
      <c r="M448">
        <v>0.324501819041701</v>
      </c>
      <c r="N448">
        <v>0.324486985957256</v>
      </c>
      <c r="O448" s="1">
        <v>7.0837277167266305E-10</v>
      </c>
      <c r="P448" s="2">
        <f t="shared" si="20"/>
        <v>0.31059973357378701</v>
      </c>
    </row>
    <row r="449" spans="2:16" x14ac:dyDescent="0.25">
      <c r="B449">
        <v>448</v>
      </c>
      <c r="C449">
        <v>-0.286533068548118</v>
      </c>
      <c r="D449">
        <v>-0.30295386989260797</v>
      </c>
      <c r="E449">
        <v>0.328404797486403</v>
      </c>
      <c r="F449">
        <f t="shared" si="18"/>
        <v>1.6420801344489977E-2</v>
      </c>
      <c r="G449" s="2">
        <f t="shared" si="19"/>
        <v>8.2106814169292973E-4</v>
      </c>
      <c r="M449">
        <v>0.99454046482575098</v>
      </c>
      <c r="N449">
        <v>0.99450581219355405</v>
      </c>
      <c r="O449" s="1">
        <v>3.5802277635209101E-9</v>
      </c>
      <c r="P449" s="2">
        <f t="shared" si="20"/>
        <v>0.33539902975189145</v>
      </c>
    </row>
    <row r="450" spans="2:16" x14ac:dyDescent="0.25">
      <c r="B450">
        <v>449</v>
      </c>
      <c r="C450">
        <v>-0.33487049084755999</v>
      </c>
      <c r="D450">
        <v>-0.28674857211603699</v>
      </c>
      <c r="E450">
        <v>0.44855298256194198</v>
      </c>
      <c r="F450">
        <f t="shared" si="18"/>
        <v>-4.8121918731522995E-2</v>
      </c>
      <c r="G450" s="2">
        <f t="shared" si="19"/>
        <v>5.1626433273877954E-3</v>
      </c>
      <c r="M450">
        <v>0.32450328491206099</v>
      </c>
      <c r="N450">
        <v>0.32450045348829398</v>
      </c>
      <c r="O450" s="1">
        <v>9.777956906949499E-10</v>
      </c>
      <c r="P450" s="2">
        <f t="shared" si="20"/>
        <v>8.1990139909986597E-3</v>
      </c>
    </row>
    <row r="451" spans="2:16" x14ac:dyDescent="0.25">
      <c r="B451">
        <v>450</v>
      </c>
      <c r="C451">
        <v>-0.34053369258713001</v>
      </c>
      <c r="D451">
        <v>-0.28218794370066702</v>
      </c>
      <c r="E451">
        <v>0.46385278314810402</v>
      </c>
      <c r="F451">
        <f t="shared" ref="F451:F514" si="21">C451-D451</f>
        <v>-5.8345748886462989E-2</v>
      </c>
      <c r="G451" s="2">
        <f t="shared" ref="G451:G514" si="22">F451^2/E451</f>
        <v>7.3390233643057792E-3</v>
      </c>
      <c r="M451">
        <v>0.99448336580066699</v>
      </c>
      <c r="N451">
        <v>0.99447800526184804</v>
      </c>
      <c r="O451" s="1">
        <v>3.7381490002579402E-9</v>
      </c>
      <c r="P451" s="2">
        <f t="shared" ref="P451:P514" si="23">(M451-N451)^2/O451</f>
        <v>7.6870602074501819E-3</v>
      </c>
    </row>
    <row r="452" spans="2:16" x14ac:dyDescent="0.25">
      <c r="B452">
        <v>451</v>
      </c>
      <c r="C452">
        <v>-0.33087882721657003</v>
      </c>
      <c r="D452">
        <v>-0.27982293044419598</v>
      </c>
      <c r="E452">
        <v>0.43792319320085199</v>
      </c>
      <c r="F452">
        <f t="shared" si="21"/>
        <v>-5.1055896772374043E-2</v>
      </c>
      <c r="G452" s="2">
        <f t="shared" si="22"/>
        <v>5.9524241595392234E-3</v>
      </c>
      <c r="M452">
        <v>0.32453538084242101</v>
      </c>
      <c r="N452">
        <v>0.32448219624100799</v>
      </c>
      <c r="O452" s="1">
        <v>5.4325595285335704E-10</v>
      </c>
      <c r="P452" s="2">
        <f t="shared" si="23"/>
        <v>5.2067571696259858</v>
      </c>
    </row>
    <row r="453" spans="2:16" x14ac:dyDescent="0.25">
      <c r="B453">
        <v>452</v>
      </c>
      <c r="C453">
        <v>-0.29414931053201099</v>
      </c>
      <c r="D453">
        <v>-0.27209793007526201</v>
      </c>
      <c r="E453">
        <v>0.34609526754582998</v>
      </c>
      <c r="F453">
        <f t="shared" si="21"/>
        <v>-2.2051380456748981E-2</v>
      </c>
      <c r="G453" s="2">
        <f t="shared" si="22"/>
        <v>1.4049986395260371E-3</v>
      </c>
      <c r="M453">
        <v>0.99462323532324604</v>
      </c>
      <c r="N453">
        <v>0.99451570217141905</v>
      </c>
      <c r="O453" s="1">
        <v>2.2402743948837799E-9</v>
      </c>
      <c r="P453" s="2">
        <f t="shared" si="23"/>
        <v>5.1615903695788221</v>
      </c>
    </row>
    <row r="454" spans="2:16" x14ac:dyDescent="0.25">
      <c r="B454">
        <v>453</v>
      </c>
      <c r="C454">
        <v>-0.32197565933300498</v>
      </c>
      <c r="D454">
        <v>-0.28297823557308499</v>
      </c>
      <c r="E454">
        <v>0.41467330081169301</v>
      </c>
      <c r="F454">
        <f t="shared" si="21"/>
        <v>-3.8997423759919991E-2</v>
      </c>
      <c r="G454" s="2">
        <f t="shared" si="22"/>
        <v>3.6674631738622143E-3</v>
      </c>
      <c r="M454">
        <v>0.32445538782123101</v>
      </c>
      <c r="N454">
        <v>0.32447595167670701</v>
      </c>
      <c r="O454" s="1">
        <v>1.0100804181070899E-9</v>
      </c>
      <c r="P454" s="2">
        <f t="shared" si="23"/>
        <v>0.41865196518724201</v>
      </c>
    </row>
    <row r="455" spans="2:16" x14ac:dyDescent="0.25">
      <c r="B455">
        <v>454</v>
      </c>
      <c r="C455">
        <v>-0.27813135295254798</v>
      </c>
      <c r="D455">
        <v>-0.27480228893945002</v>
      </c>
      <c r="E455">
        <v>0.30942819798085902</v>
      </c>
      <c r="F455">
        <f t="shared" si="21"/>
        <v>-3.3290640130979599E-3</v>
      </c>
      <c r="G455" s="2">
        <f t="shared" si="22"/>
        <v>3.5816603902367875E-5</v>
      </c>
      <c r="M455">
        <v>0.99449176516592197</v>
      </c>
      <c r="N455">
        <v>0.994528596538656</v>
      </c>
      <c r="O455" s="1">
        <v>3.49667571145512E-9</v>
      </c>
      <c r="P455" s="2">
        <f t="shared" si="23"/>
        <v>0.38795419690440192</v>
      </c>
    </row>
    <row r="456" spans="2:16" x14ac:dyDescent="0.25">
      <c r="B456">
        <v>455</v>
      </c>
      <c r="C456">
        <v>-0.244416704501317</v>
      </c>
      <c r="D456">
        <v>-0.29457852723115002</v>
      </c>
      <c r="E456">
        <v>0.238958101757137</v>
      </c>
      <c r="F456">
        <f t="shared" si="21"/>
        <v>5.0161822729833022E-2</v>
      </c>
      <c r="G456" s="2">
        <f t="shared" si="22"/>
        <v>1.0529914830577787E-2</v>
      </c>
      <c r="M456">
        <v>0.32449300123797598</v>
      </c>
      <c r="N456">
        <v>0.324486765841073</v>
      </c>
      <c r="O456" s="1">
        <v>1.1915417338187201E-9</v>
      </c>
      <c r="P456" s="2">
        <f t="shared" si="23"/>
        <v>3.2630140795016645E-2</v>
      </c>
    </row>
    <row r="457" spans="2:16" x14ac:dyDescent="0.25">
      <c r="B457">
        <v>456</v>
      </c>
      <c r="C457">
        <v>-0.301584144520127</v>
      </c>
      <c r="D457">
        <v>-0.26007552724682897</v>
      </c>
      <c r="E457">
        <v>0.363811984903747</v>
      </c>
      <c r="F457">
        <f t="shared" si="21"/>
        <v>-4.1508617273298021E-2</v>
      </c>
      <c r="G457" s="2">
        <f t="shared" si="22"/>
        <v>4.7358673695067416E-3</v>
      </c>
      <c r="M457">
        <v>0.994514850080923</v>
      </c>
      <c r="N457">
        <v>0.99450626669198705</v>
      </c>
      <c r="O457" s="1">
        <v>3.16603868509766E-9</v>
      </c>
      <c r="P457" s="2">
        <f t="shared" si="23"/>
        <v>2.3270267028792896E-2</v>
      </c>
    </row>
    <row r="458" spans="2:16" x14ac:dyDescent="0.25">
      <c r="B458">
        <v>457</v>
      </c>
      <c r="C458">
        <v>-0.23193226366403</v>
      </c>
      <c r="D458">
        <v>-0.28155281463751503</v>
      </c>
      <c r="E458">
        <v>0.215170299713284</v>
      </c>
      <c r="F458">
        <f t="shared" si="21"/>
        <v>4.9620550973485028E-2</v>
      </c>
      <c r="G458" s="2">
        <f t="shared" si="22"/>
        <v>1.1443024814266302E-2</v>
      </c>
      <c r="M458">
        <v>0.32445709381703203</v>
      </c>
      <c r="N458">
        <v>0.32445635942548001</v>
      </c>
      <c r="O458" s="1">
        <v>1.59443270278494E-9</v>
      </c>
      <c r="P458" s="2">
        <f t="shared" si="23"/>
        <v>3.3825883697026732E-4</v>
      </c>
    </row>
    <row r="459" spans="2:16" x14ac:dyDescent="0.25">
      <c r="B459">
        <v>458</v>
      </c>
      <c r="C459">
        <v>-0.236685431311768</v>
      </c>
      <c r="D459">
        <v>-0.27155748057207002</v>
      </c>
      <c r="E459">
        <v>0.224079973580951</v>
      </c>
      <c r="F459">
        <f t="shared" si="21"/>
        <v>3.4872049260302018E-2</v>
      </c>
      <c r="G459" s="2">
        <f t="shared" si="22"/>
        <v>5.4269009415677093E-3</v>
      </c>
      <c r="M459">
        <v>0.99457018480888404</v>
      </c>
      <c r="N459">
        <v>0.99456905516877203</v>
      </c>
      <c r="O459" s="1">
        <v>4.41113872966575E-9</v>
      </c>
      <c r="P459" s="2">
        <f t="shared" si="23"/>
        <v>2.8928738379378532E-4</v>
      </c>
    </row>
    <row r="460" spans="2:16" x14ac:dyDescent="0.25">
      <c r="B460">
        <v>459</v>
      </c>
      <c r="C460">
        <v>-0.30981875754814803</v>
      </c>
      <c r="D460">
        <v>-0.26914032951202899</v>
      </c>
      <c r="E460">
        <v>0.38395065011471202</v>
      </c>
      <c r="F460">
        <f t="shared" si="21"/>
        <v>-4.0678428036119041E-2</v>
      </c>
      <c r="G460" s="2">
        <f t="shared" si="22"/>
        <v>4.309758316584005E-3</v>
      </c>
      <c r="M460">
        <v>2.35304955832388</v>
      </c>
      <c r="N460">
        <v>2.3527096588429002</v>
      </c>
      <c r="O460" s="1">
        <v>3.5464491056646401E-8</v>
      </c>
      <c r="P460" s="2">
        <f t="shared" si="23"/>
        <v>3.2576713700978868</v>
      </c>
    </row>
    <row r="461" spans="2:16" x14ac:dyDescent="0.25">
      <c r="B461">
        <v>460</v>
      </c>
      <c r="C461">
        <v>-0.26803577314385602</v>
      </c>
      <c r="D461">
        <v>-0.28778603257539598</v>
      </c>
      <c r="E461">
        <v>0.28737270273929799</v>
      </c>
      <c r="F461">
        <f t="shared" si="21"/>
        <v>1.9750259431539963E-2</v>
      </c>
      <c r="G461" s="2">
        <f t="shared" si="22"/>
        <v>1.3573757837639987E-3</v>
      </c>
      <c r="M461">
        <v>1.1002089904990999</v>
      </c>
      <c r="N461">
        <v>1.1000817160168901</v>
      </c>
      <c r="O461" s="1">
        <v>1.22676590265661E-8</v>
      </c>
      <c r="P461" s="2">
        <f t="shared" si="23"/>
        <v>1.3204470214491035</v>
      </c>
    </row>
    <row r="462" spans="2:16" x14ac:dyDescent="0.25">
      <c r="B462">
        <v>461</v>
      </c>
      <c r="C462">
        <v>-0.30368988227759403</v>
      </c>
      <c r="D462">
        <v>-0.26685034451117201</v>
      </c>
      <c r="E462">
        <v>0.36891017839111601</v>
      </c>
      <c r="F462">
        <f t="shared" si="21"/>
        <v>-3.6839537766422015E-2</v>
      </c>
      <c r="G462" s="2">
        <f t="shared" si="22"/>
        <v>3.6788129532300171E-3</v>
      </c>
      <c r="M462">
        <v>2.3583027540942898</v>
      </c>
      <c r="N462">
        <v>2.35791056291573</v>
      </c>
      <c r="O462" s="1">
        <v>3.6564122112610603E-8</v>
      </c>
      <c r="P462" s="2">
        <f t="shared" si="23"/>
        <v>4.2066898274330935</v>
      </c>
    </row>
    <row r="463" spans="2:16" x14ac:dyDescent="0.25">
      <c r="B463">
        <v>462</v>
      </c>
      <c r="C463">
        <v>-0.29979202247689501</v>
      </c>
      <c r="D463">
        <v>-0.26403763814998099</v>
      </c>
      <c r="E463">
        <v>0.35950102696314701</v>
      </c>
      <c r="F463">
        <f t="shared" si="21"/>
        <v>-3.5754384326914024E-2</v>
      </c>
      <c r="G463" s="2">
        <f t="shared" si="22"/>
        <v>3.5559731481037563E-3</v>
      </c>
      <c r="M463">
        <v>1.0034895844679801</v>
      </c>
      <c r="N463">
        <v>1.00344015664298</v>
      </c>
      <c r="O463" s="1">
        <v>6.0551558720943601E-9</v>
      </c>
      <c r="P463" s="2">
        <f t="shared" si="23"/>
        <v>0.40347596921422235</v>
      </c>
    </row>
    <row r="464" spans="2:16" x14ac:dyDescent="0.25">
      <c r="B464">
        <v>463</v>
      </c>
      <c r="C464">
        <v>-0.270019137044262</v>
      </c>
      <c r="D464">
        <v>-0.26366699363271601</v>
      </c>
      <c r="E464">
        <v>0.29164133748051202</v>
      </c>
      <c r="F464">
        <f t="shared" si="21"/>
        <v>-6.3521434115459963E-3</v>
      </c>
      <c r="G464" s="2">
        <f t="shared" si="22"/>
        <v>1.3835393250294446E-4</v>
      </c>
      <c r="M464">
        <v>2.35356195608429</v>
      </c>
      <c r="N464">
        <v>2.3537899276369498</v>
      </c>
      <c r="O464" s="1">
        <v>2.0676468668472201E-8</v>
      </c>
      <c r="P464" s="2">
        <f t="shared" si="23"/>
        <v>2.5135350554996676</v>
      </c>
    </row>
    <row r="465" spans="2:16" x14ac:dyDescent="0.25">
      <c r="B465">
        <v>464</v>
      </c>
      <c r="C465">
        <v>-0.282266691725654</v>
      </c>
      <c r="D465">
        <v>-0.25887381816462601</v>
      </c>
      <c r="E465">
        <v>0.31869794103098098</v>
      </c>
      <c r="F465">
        <f t="shared" si="21"/>
        <v>-2.3392873561027983E-2</v>
      </c>
      <c r="G465" s="2">
        <f t="shared" si="22"/>
        <v>1.7170695601985253E-3</v>
      </c>
      <c r="M465">
        <v>1.10025945457406</v>
      </c>
      <c r="N465">
        <v>1.1004095397492999</v>
      </c>
      <c r="O465" s="1">
        <v>9.5525366488613594E-9</v>
      </c>
      <c r="P465" s="2">
        <f t="shared" si="23"/>
        <v>2.3580710187026477</v>
      </c>
    </row>
    <row r="466" spans="2:16" x14ac:dyDescent="0.25">
      <c r="B466">
        <v>465</v>
      </c>
      <c r="C466">
        <v>-0.29454627035365299</v>
      </c>
      <c r="D466">
        <v>-0.25814862787166398</v>
      </c>
      <c r="E466">
        <v>0.34703002151698897</v>
      </c>
      <c r="F466">
        <f t="shared" si="21"/>
        <v>-3.6397642481989012E-2</v>
      </c>
      <c r="G466" s="2">
        <f t="shared" si="22"/>
        <v>3.8175036628115928E-3</v>
      </c>
      <c r="M466">
        <v>2.3578631297235102</v>
      </c>
      <c r="N466">
        <v>2.35832170986196</v>
      </c>
      <c r="O466" s="1">
        <v>2.0537154734821199E-8</v>
      </c>
      <c r="P466" s="2">
        <f t="shared" si="23"/>
        <v>10.239770118889478</v>
      </c>
    </row>
    <row r="467" spans="2:16" x14ac:dyDescent="0.25">
      <c r="B467">
        <v>466</v>
      </c>
      <c r="C467">
        <v>-0.35972256942338499</v>
      </c>
      <c r="D467">
        <v>-0.236883847839955</v>
      </c>
      <c r="E467">
        <v>0.51760130781024905</v>
      </c>
      <c r="F467">
        <f t="shared" si="21"/>
        <v>-0.12283872158342998</v>
      </c>
      <c r="G467" s="2">
        <f t="shared" si="22"/>
        <v>2.9152460190040971E-2</v>
      </c>
      <c r="M467">
        <v>1.00301858990651</v>
      </c>
      <c r="N467">
        <v>1.0030357085485999</v>
      </c>
      <c r="O467" s="1">
        <v>1.10718278950139E-8</v>
      </c>
      <c r="P467" s="2">
        <f t="shared" si="23"/>
        <v>2.6467888570850327E-2</v>
      </c>
    </row>
    <row r="468" spans="2:16" x14ac:dyDescent="0.25">
      <c r="B468">
        <v>467</v>
      </c>
      <c r="C468">
        <v>-0.293313878951595</v>
      </c>
      <c r="D468">
        <v>-0.246548190840188</v>
      </c>
      <c r="E468">
        <v>0.34413212634252399</v>
      </c>
      <c r="F468">
        <f t="shared" si="21"/>
        <v>-4.6765688111406994E-2</v>
      </c>
      <c r="G468" s="2">
        <f t="shared" si="22"/>
        <v>6.3552031825025949E-3</v>
      </c>
      <c r="M468">
        <v>2.3549426997360898</v>
      </c>
      <c r="N468">
        <v>2.3549258732423901</v>
      </c>
      <c r="O468" s="1">
        <v>2.3419744774694701E-8</v>
      </c>
      <c r="P468" s="2">
        <f t="shared" si="23"/>
        <v>1.2089409724591058E-2</v>
      </c>
    </row>
    <row r="469" spans="2:16" x14ac:dyDescent="0.25">
      <c r="B469">
        <v>468</v>
      </c>
      <c r="C469">
        <v>-0.30307194480346999</v>
      </c>
      <c r="D469">
        <v>-0.22753938931441101</v>
      </c>
      <c r="E469">
        <v>0.367410414907831</v>
      </c>
      <c r="F469">
        <f t="shared" si="21"/>
        <v>-7.5532555489058989E-2</v>
      </c>
      <c r="G469" s="2">
        <f t="shared" si="22"/>
        <v>1.5528049035134129E-2</v>
      </c>
      <c r="M469">
        <v>1.10079739189564</v>
      </c>
      <c r="N469">
        <v>1.10075420249652</v>
      </c>
      <c r="O469" s="1">
        <v>5.1161333494134599E-9</v>
      </c>
      <c r="P469" s="2">
        <f t="shared" si="23"/>
        <v>0.36459647725110772</v>
      </c>
    </row>
    <row r="470" spans="2:16" x14ac:dyDescent="0.25">
      <c r="B470">
        <v>469</v>
      </c>
      <c r="C470">
        <v>-0.26118275749408898</v>
      </c>
      <c r="D470">
        <v>-0.21845620169025201</v>
      </c>
      <c r="E470">
        <v>0.27286573124886399</v>
      </c>
      <c r="F470">
        <f t="shared" si="21"/>
        <v>-4.2726555803836969E-2</v>
      </c>
      <c r="G470" s="2">
        <f t="shared" si="22"/>
        <v>6.6903182107298596E-3</v>
      </c>
      <c r="M470">
        <v>2.3587958688253501</v>
      </c>
      <c r="N470">
        <v>2.3587539210197499</v>
      </c>
      <c r="O470" s="1">
        <v>1.5717330605653201E-8</v>
      </c>
      <c r="P470" s="2">
        <f t="shared" si="23"/>
        <v>0.11195402316204728</v>
      </c>
    </row>
    <row r="471" spans="2:16" x14ac:dyDescent="0.25">
      <c r="B471">
        <v>470</v>
      </c>
      <c r="C471">
        <v>-0.31860375802176899</v>
      </c>
      <c r="D471">
        <v>-0.22066637526129401</v>
      </c>
      <c r="E471">
        <v>0.40603341850237601</v>
      </c>
      <c r="F471">
        <f t="shared" si="21"/>
        <v>-9.7937382760474978E-2</v>
      </c>
      <c r="G471" s="2">
        <f t="shared" si="22"/>
        <v>2.3623008611828471E-2</v>
      </c>
      <c r="M471">
        <v>1.0025870493118001</v>
      </c>
      <c r="N471">
        <v>1.0026107911692299</v>
      </c>
      <c r="O471" s="1">
        <v>3.6102796876601101E-9</v>
      </c>
      <c r="P471" s="2">
        <f t="shared" si="23"/>
        <v>0.15613078292640778</v>
      </c>
    </row>
    <row r="472" spans="2:16" x14ac:dyDescent="0.25">
      <c r="B472">
        <v>471</v>
      </c>
      <c r="C472">
        <v>-0.26462343588520598</v>
      </c>
      <c r="D472">
        <v>-0.26673855903274002</v>
      </c>
      <c r="E472">
        <v>0.28010225127876698</v>
      </c>
      <c r="F472">
        <f t="shared" si="21"/>
        <v>2.1151231475340371E-3</v>
      </c>
      <c r="G472" s="2">
        <f t="shared" si="22"/>
        <v>1.5971831389465959E-5</v>
      </c>
      <c r="M472">
        <v>2.3557767325578198</v>
      </c>
      <c r="N472">
        <v>2.35573196053338</v>
      </c>
      <c r="O472" s="1">
        <v>1.4487800459176899E-8</v>
      </c>
      <c r="P472" s="2">
        <f t="shared" si="23"/>
        <v>0.13836014501250093</v>
      </c>
    </row>
    <row r="473" spans="2:16" x14ac:dyDescent="0.25">
      <c r="B473">
        <v>472</v>
      </c>
      <c r="C473">
        <v>-0.25186005044339099</v>
      </c>
      <c r="D473">
        <v>-0.26140762644745402</v>
      </c>
      <c r="E473">
        <v>0.25373394003738903</v>
      </c>
      <c r="F473">
        <f t="shared" si="21"/>
        <v>9.5475760040630298E-3</v>
      </c>
      <c r="G473" s="2">
        <f t="shared" si="22"/>
        <v>3.5925902360530804E-4</v>
      </c>
      <c r="M473">
        <v>1.1010435213780501</v>
      </c>
      <c r="N473">
        <v>1.10099874594744</v>
      </c>
      <c r="O473" s="1">
        <v>6.1337659582323798E-9</v>
      </c>
      <c r="P473" s="2">
        <f t="shared" si="23"/>
        <v>0.32685289917674565</v>
      </c>
    </row>
    <row r="474" spans="2:16" x14ac:dyDescent="0.25">
      <c r="B474">
        <v>473</v>
      </c>
      <c r="C474">
        <v>-0.26921519994729598</v>
      </c>
      <c r="D474">
        <v>-0.254582857612552</v>
      </c>
      <c r="E474">
        <v>0.28990729553064998</v>
      </c>
      <c r="F474">
        <f t="shared" si="21"/>
        <v>-1.4632342334743975E-2</v>
      </c>
      <c r="G474" s="2">
        <f t="shared" si="22"/>
        <v>7.3853071482468029E-4</v>
      </c>
      <c r="M474">
        <v>2.3592269531331298</v>
      </c>
      <c r="N474">
        <v>2.3590605473508699</v>
      </c>
      <c r="O474" s="1">
        <v>2.08633352411548E-8</v>
      </c>
      <c r="P474" s="2">
        <f t="shared" si="23"/>
        <v>1.3272510866291338</v>
      </c>
    </row>
    <row r="475" spans="2:16" x14ac:dyDescent="0.25">
      <c r="B475">
        <v>474</v>
      </c>
      <c r="C475">
        <v>-0.28990292813453</v>
      </c>
      <c r="D475">
        <v>-0.24212739294670799</v>
      </c>
      <c r="E475">
        <v>0.336174830963898</v>
      </c>
      <c r="F475">
        <f t="shared" si="21"/>
        <v>-4.7775535187822016E-2</v>
      </c>
      <c r="G475" s="2">
        <f t="shared" si="22"/>
        <v>6.7896271589943588E-3</v>
      </c>
      <c r="M475">
        <v>1.00223482498768</v>
      </c>
      <c r="N475">
        <v>1.0023094956512499</v>
      </c>
      <c r="O475" s="1">
        <v>4.6911975125777896E-9</v>
      </c>
      <c r="P475" s="2">
        <f t="shared" si="23"/>
        <v>1.1885468439610369</v>
      </c>
    </row>
    <row r="476" spans="2:16" x14ac:dyDescent="0.25">
      <c r="B476">
        <v>475</v>
      </c>
      <c r="C476">
        <v>-0.26583575724644898</v>
      </c>
      <c r="D476">
        <v>-0.226465679381885</v>
      </c>
      <c r="E476">
        <v>0.28267459932317202</v>
      </c>
      <c r="F476">
        <f t="shared" si="21"/>
        <v>-3.9370077864563979E-2</v>
      </c>
      <c r="G476" s="2">
        <f t="shared" si="22"/>
        <v>5.4833474064281467E-3</v>
      </c>
      <c r="M476">
        <v>2.3565168239542702</v>
      </c>
      <c r="N476">
        <v>2.3564724214060599</v>
      </c>
      <c r="O476" s="1">
        <v>1.9729089356306E-8</v>
      </c>
      <c r="P476" s="2">
        <f t="shared" si="23"/>
        <v>9.9932959497380236E-2</v>
      </c>
    </row>
    <row r="477" spans="2:16" x14ac:dyDescent="0.25">
      <c r="B477">
        <v>476</v>
      </c>
      <c r="C477">
        <v>-0.30298401651990398</v>
      </c>
      <c r="D477">
        <v>-0.21467034591380299</v>
      </c>
      <c r="E477">
        <v>0.36719725706613399</v>
      </c>
      <c r="F477">
        <f t="shared" si="21"/>
        <v>-8.8313670606100986E-2</v>
      </c>
      <c r="G477" s="2">
        <f t="shared" si="22"/>
        <v>2.1240094433816026E-2</v>
      </c>
      <c r="M477">
        <v>1.1011763772916801</v>
      </c>
      <c r="N477">
        <v>1.10122335437513</v>
      </c>
      <c r="O477" s="1">
        <v>5.0399767041335596E-9</v>
      </c>
      <c r="P477" s="2">
        <f t="shared" si="23"/>
        <v>0.43786836706021548</v>
      </c>
    </row>
    <row r="478" spans="2:16" x14ac:dyDescent="0.25">
      <c r="B478">
        <v>477</v>
      </c>
      <c r="C478">
        <v>-0.25108020809153098</v>
      </c>
      <c r="D478">
        <v>-0.20029338626096099</v>
      </c>
      <c r="E478">
        <v>0.25216508358114598</v>
      </c>
      <c r="F478">
        <f t="shared" si="21"/>
        <v>-5.0786821830569984E-2</v>
      </c>
      <c r="G478" s="2">
        <f t="shared" si="22"/>
        <v>1.0228621802114203E-2</v>
      </c>
      <c r="M478">
        <v>2.3595439873215498</v>
      </c>
      <c r="N478">
        <v>2.3593421528123302</v>
      </c>
      <c r="O478" s="1">
        <v>1.43476957895352E-8</v>
      </c>
      <c r="P478" s="2">
        <f t="shared" si="23"/>
        <v>2.8392830256157588</v>
      </c>
    </row>
    <row r="479" spans="2:16" x14ac:dyDescent="0.25">
      <c r="B479">
        <v>478</v>
      </c>
      <c r="C479">
        <v>-0.281340718495036</v>
      </c>
      <c r="D479">
        <v>-0.19437639446709801</v>
      </c>
      <c r="E479">
        <v>0.31661039953321102</v>
      </c>
      <c r="F479">
        <f t="shared" si="21"/>
        <v>-8.6964324027937995E-2</v>
      </c>
      <c r="G479" s="2">
        <f t="shared" si="22"/>
        <v>2.3886750608275237E-2</v>
      </c>
      <c r="M479">
        <v>1.0020928485487199</v>
      </c>
      <c r="N479">
        <v>1.0020329002500501</v>
      </c>
      <c r="O479" s="1">
        <v>6.2229806317821603E-9</v>
      </c>
      <c r="P479" s="2">
        <f t="shared" si="23"/>
        <v>0.57750437066353055</v>
      </c>
    </row>
    <row r="480" spans="2:16" x14ac:dyDescent="0.25">
      <c r="B480">
        <v>479</v>
      </c>
      <c r="C480">
        <v>-0.27893420617502801</v>
      </c>
      <c r="D480">
        <v>-0.18127421784713901</v>
      </c>
      <c r="E480">
        <v>0.31121716549797201</v>
      </c>
      <c r="F480">
        <f t="shared" si="21"/>
        <v>-9.7659988327888997E-2</v>
      </c>
      <c r="G480" s="2">
        <f t="shared" si="22"/>
        <v>3.0645717452450625E-2</v>
      </c>
      <c r="M480">
        <v>0.25236193148358299</v>
      </c>
      <c r="N480">
        <v>0.25237055338466902</v>
      </c>
      <c r="O480" s="1">
        <v>3.6110531301901201E-10</v>
      </c>
      <c r="P480" s="2">
        <f t="shared" si="23"/>
        <v>0.20586010689157311</v>
      </c>
    </row>
    <row r="481" spans="2:16" x14ac:dyDescent="0.25">
      <c r="B481">
        <v>480</v>
      </c>
      <c r="C481">
        <v>-0.26969089053533801</v>
      </c>
      <c r="D481">
        <v>-0.1596363129128</v>
      </c>
      <c r="E481">
        <v>0.29093270575097502</v>
      </c>
      <c r="F481">
        <f t="shared" si="21"/>
        <v>-0.11005457762253801</v>
      </c>
      <c r="G481" s="2">
        <f t="shared" si="22"/>
        <v>4.1631655074361305E-2</v>
      </c>
      <c r="M481">
        <v>0.99520105829035799</v>
      </c>
      <c r="N481">
        <v>0.99522070148447594</v>
      </c>
      <c r="O481" s="1">
        <v>1.9745917054182899E-9</v>
      </c>
      <c r="P481" s="2">
        <f t="shared" si="23"/>
        <v>0.1954100557077062</v>
      </c>
    </row>
    <row r="482" spans="2:16" x14ac:dyDescent="0.25">
      <c r="B482">
        <v>481</v>
      </c>
      <c r="C482">
        <v>-0.28674129136253002</v>
      </c>
      <c r="D482">
        <v>-0.16132710178279899</v>
      </c>
      <c r="E482">
        <v>0.32888227268900599</v>
      </c>
      <c r="F482">
        <f t="shared" si="21"/>
        <v>-0.12541418957973102</v>
      </c>
      <c r="G482" s="2">
        <f t="shared" si="22"/>
        <v>4.782476969445517E-2</v>
      </c>
      <c r="M482">
        <v>0.25238369058021798</v>
      </c>
      <c r="N482">
        <v>0.25238524391544898</v>
      </c>
      <c r="O482" s="1">
        <v>3.7671638667428598E-10</v>
      </c>
      <c r="P482" s="2">
        <f t="shared" si="23"/>
        <v>6.4049519086702075E-3</v>
      </c>
    </row>
    <row r="483" spans="2:16" x14ac:dyDescent="0.25">
      <c r="B483">
        <v>482</v>
      </c>
      <c r="C483">
        <v>-0.28259636265247801</v>
      </c>
      <c r="D483">
        <v>-0.146817200027856</v>
      </c>
      <c r="E483">
        <v>0.31944281673764402</v>
      </c>
      <c r="F483">
        <f t="shared" si="21"/>
        <v>-0.135779162624622</v>
      </c>
      <c r="G483" s="2">
        <f t="shared" si="22"/>
        <v>5.7712930255635959E-2</v>
      </c>
      <c r="M483">
        <v>0.99517878788157199</v>
      </c>
      <c r="N483">
        <v>0.99518167430368998</v>
      </c>
      <c r="O483" s="1">
        <v>1.5460495179796E-9</v>
      </c>
      <c r="P483" s="2">
        <f t="shared" si="23"/>
        <v>5.3888523920578727E-3</v>
      </c>
    </row>
    <row r="484" spans="2:16" x14ac:dyDescent="0.25">
      <c r="B484">
        <v>483</v>
      </c>
      <c r="C484">
        <v>-0.29384884262035499</v>
      </c>
      <c r="D484">
        <v>-0.13082426125055599</v>
      </c>
      <c r="E484">
        <v>0.345388569237289</v>
      </c>
      <c r="F484">
        <f t="shared" si="21"/>
        <v>-0.163024581369799</v>
      </c>
      <c r="G484" s="2">
        <f t="shared" si="22"/>
        <v>7.6948157808138878E-2</v>
      </c>
      <c r="M484">
        <v>0.25239007554322401</v>
      </c>
      <c r="N484">
        <v>0.25237364049768901</v>
      </c>
      <c r="O484" s="1">
        <v>2.4540857722947798E-10</v>
      </c>
      <c r="P484" s="2">
        <f t="shared" si="23"/>
        <v>1.1006572173921898</v>
      </c>
    </row>
    <row r="485" spans="2:16" x14ac:dyDescent="0.25">
      <c r="B485">
        <v>484</v>
      </c>
      <c r="C485">
        <v>-0.26847432726475201</v>
      </c>
      <c r="D485">
        <v>-0.117063587760775</v>
      </c>
      <c r="E485">
        <v>0.288313857601045</v>
      </c>
      <c r="F485">
        <f t="shared" si="21"/>
        <v>-0.15141073950397702</v>
      </c>
      <c r="G485" s="2">
        <f t="shared" si="22"/>
        <v>7.9514776805712908E-2</v>
      </c>
      <c r="M485">
        <v>0.99524815360330299</v>
      </c>
      <c r="N485">
        <v>0.99521249987791904</v>
      </c>
      <c r="O485" s="1">
        <v>1.32006978391152E-9</v>
      </c>
      <c r="P485" s="2">
        <f t="shared" si="23"/>
        <v>0.96297040447892968</v>
      </c>
    </row>
    <row r="486" spans="2:16" x14ac:dyDescent="0.25">
      <c r="B486">
        <v>485</v>
      </c>
      <c r="C486">
        <v>-0.26419444504351502</v>
      </c>
      <c r="D486">
        <v>-0.10566782620417201</v>
      </c>
      <c r="E486">
        <v>0.27919481916740302</v>
      </c>
      <c r="F486">
        <f t="shared" si="21"/>
        <v>-0.15852661883934302</v>
      </c>
      <c r="G486" s="2">
        <f t="shared" si="22"/>
        <v>9.0011300910158298E-2</v>
      </c>
      <c r="M486">
        <v>0.25235191094061299</v>
      </c>
      <c r="N486">
        <v>0.25235913600833898</v>
      </c>
      <c r="O486" s="1">
        <v>2.3699998360268799E-10</v>
      </c>
      <c r="P486" s="2">
        <f t="shared" si="23"/>
        <v>0.22025994623134557</v>
      </c>
    </row>
    <row r="487" spans="2:16" x14ac:dyDescent="0.25">
      <c r="B487">
        <v>486</v>
      </c>
      <c r="C487">
        <v>-0.231905656201604</v>
      </c>
      <c r="D487">
        <v>-9.2147780293069706E-2</v>
      </c>
      <c r="E487">
        <v>0.21512093351318701</v>
      </c>
      <c r="F487">
        <f t="shared" si="21"/>
        <v>-0.13975787590853428</v>
      </c>
      <c r="G487" s="2">
        <f t="shared" si="22"/>
        <v>9.0796667527792835E-2</v>
      </c>
      <c r="M487">
        <v>0.99523761699746505</v>
      </c>
      <c r="N487">
        <v>0.99525103575858298</v>
      </c>
      <c r="O487" s="1">
        <v>1.1475785189810399E-9</v>
      </c>
      <c r="P487" s="2">
        <f t="shared" si="23"/>
        <v>0.15690704118446885</v>
      </c>
    </row>
    <row r="488" spans="2:16" x14ac:dyDescent="0.25">
      <c r="B488">
        <v>487</v>
      </c>
      <c r="C488">
        <v>-0.25839840952284199</v>
      </c>
      <c r="D488">
        <v>-7.9046433988301301E-2</v>
      </c>
      <c r="E488">
        <v>0.26707895217573802</v>
      </c>
      <c r="F488">
        <f t="shared" si="21"/>
        <v>-0.17935197553454069</v>
      </c>
      <c r="G488" s="2">
        <f t="shared" si="22"/>
        <v>0.12044053215760897</v>
      </c>
      <c r="M488">
        <v>0.25235201098723198</v>
      </c>
      <c r="N488">
        <v>0.25236052823254901</v>
      </c>
      <c r="O488" s="1">
        <v>2.8073147118291502E-10</v>
      </c>
      <c r="P488" s="2">
        <f t="shared" si="23"/>
        <v>0.25840874728008267</v>
      </c>
    </row>
    <row r="489" spans="2:16" x14ac:dyDescent="0.25">
      <c r="B489">
        <v>488</v>
      </c>
      <c r="C489">
        <v>-0.27433859650024001</v>
      </c>
      <c r="D489">
        <v>-6.4699635095849806E-2</v>
      </c>
      <c r="E489">
        <v>0.30104666211888698</v>
      </c>
      <c r="F489">
        <f t="shared" si="21"/>
        <v>-0.2096389614043902</v>
      </c>
      <c r="G489" s="2">
        <f t="shared" si="22"/>
        <v>0.14598565494592863</v>
      </c>
      <c r="M489">
        <v>0.99523123094910004</v>
      </c>
      <c r="N489">
        <v>0.99524733670254995</v>
      </c>
      <c r="O489" s="1">
        <v>1.2197674467777101E-9</v>
      </c>
      <c r="P489" s="2">
        <f t="shared" si="23"/>
        <v>0.21265963022236992</v>
      </c>
    </row>
    <row r="490" spans="2:16" x14ac:dyDescent="0.25">
      <c r="B490">
        <v>489</v>
      </c>
      <c r="C490">
        <v>-0.27896725970533198</v>
      </c>
      <c r="D490">
        <v>-5.8520403489956102E-2</v>
      </c>
      <c r="E490">
        <v>0.31129092795000901</v>
      </c>
      <c r="F490">
        <f t="shared" si="21"/>
        <v>-0.22044685621537588</v>
      </c>
      <c r="G490" s="2">
        <f t="shared" si="22"/>
        <v>0.15611382167567339</v>
      </c>
      <c r="M490">
        <v>0.25235078558141799</v>
      </c>
      <c r="N490">
        <v>0.25236540015270398</v>
      </c>
      <c r="O490" s="1">
        <v>4.5591538573596201E-10</v>
      </c>
      <c r="P490" s="2">
        <f t="shared" si="23"/>
        <v>0.46847660894007959</v>
      </c>
    </row>
    <row r="491" spans="2:16" x14ac:dyDescent="0.25">
      <c r="B491">
        <v>490</v>
      </c>
      <c r="C491">
        <v>-0.28087204790405002</v>
      </c>
      <c r="D491">
        <v>-4.98578970764939E-2</v>
      </c>
      <c r="E491">
        <v>0.315556429175259</v>
      </c>
      <c r="F491">
        <f t="shared" si="21"/>
        <v>-0.23101415082755611</v>
      </c>
      <c r="G491" s="2">
        <f t="shared" si="22"/>
        <v>0.16912201098883867</v>
      </c>
      <c r="M491">
        <v>0.99520432578371298</v>
      </c>
      <c r="N491">
        <v>0.99523439257245905</v>
      </c>
      <c r="O491" s="1">
        <v>2.3882432900572401E-9</v>
      </c>
      <c r="P491" s="2">
        <f t="shared" si="23"/>
        <v>0.37852583497837744</v>
      </c>
    </row>
    <row r="492" spans="2:16" x14ac:dyDescent="0.25">
      <c r="B492">
        <v>491</v>
      </c>
      <c r="C492">
        <v>-0.26779603789123402</v>
      </c>
      <c r="D492">
        <v>-4.6505822785201503E-2</v>
      </c>
      <c r="E492">
        <v>0.28685887164097301</v>
      </c>
      <c r="F492">
        <f t="shared" si="21"/>
        <v>-0.22129021510603253</v>
      </c>
      <c r="G492" s="2">
        <f t="shared" si="22"/>
        <v>0.17070888908383927</v>
      </c>
      <c r="M492">
        <v>0.25241923243679698</v>
      </c>
      <c r="N492">
        <v>0.25240750380924798</v>
      </c>
      <c r="O492" s="1">
        <v>5.9663303300236204E-10</v>
      </c>
      <c r="P492" s="2">
        <f t="shared" si="23"/>
        <v>0.2305616628213909</v>
      </c>
    </row>
    <row r="493" spans="2:16" x14ac:dyDescent="0.25">
      <c r="B493">
        <v>492</v>
      </c>
      <c r="C493">
        <v>-0.27184483512334201</v>
      </c>
      <c r="D493">
        <v>-2.5803338581808999E-2</v>
      </c>
      <c r="E493">
        <v>0.295598457532948</v>
      </c>
      <c r="F493">
        <f t="shared" si="21"/>
        <v>-0.24604149654153301</v>
      </c>
      <c r="G493" s="2">
        <f t="shared" si="22"/>
        <v>0.20479273987297342</v>
      </c>
      <c r="M493">
        <v>0.99513361709224901</v>
      </c>
      <c r="N493">
        <v>0.99512254543468803</v>
      </c>
      <c r="O493" s="1">
        <v>1.19473029683927E-9</v>
      </c>
      <c r="P493" s="2">
        <f t="shared" si="23"/>
        <v>0.10260190226353719</v>
      </c>
    </row>
    <row r="494" spans="2:16" x14ac:dyDescent="0.25">
      <c r="B494">
        <v>493</v>
      </c>
      <c r="C494">
        <v>-0.246521962611773</v>
      </c>
      <c r="D494">
        <v>-2.1684346519915201E-2</v>
      </c>
      <c r="E494">
        <v>0.24309231219984201</v>
      </c>
      <c r="F494">
        <f t="shared" si="21"/>
        <v>-0.22483761609185782</v>
      </c>
      <c r="G494" s="2">
        <f t="shared" si="22"/>
        <v>0.20795373227727479</v>
      </c>
      <c r="M494">
        <v>2.1546619147705299</v>
      </c>
      <c r="N494">
        <v>2.1547452781620602</v>
      </c>
      <c r="O494" s="1">
        <v>1.68843596976335E-8</v>
      </c>
      <c r="P494" s="2">
        <f t="shared" si="23"/>
        <v>0.41159126978328503</v>
      </c>
    </row>
    <row r="495" spans="2:16" x14ac:dyDescent="0.25">
      <c r="B495">
        <v>494</v>
      </c>
      <c r="C495">
        <v>-0.28639319737788999</v>
      </c>
      <c r="D495">
        <v>-1.5918078227667599E-2</v>
      </c>
      <c r="E495">
        <v>0.328084254017324</v>
      </c>
      <c r="F495">
        <f t="shared" si="21"/>
        <v>-0.27047511915022238</v>
      </c>
      <c r="G495" s="2">
        <f t="shared" si="22"/>
        <v>0.22298171638393854</v>
      </c>
      <c r="M495">
        <v>1.0077582649160499</v>
      </c>
      <c r="N495">
        <v>1.00763879808961</v>
      </c>
      <c r="O495" s="1">
        <v>4.7550320497930697E-9</v>
      </c>
      <c r="P495" s="2">
        <f t="shared" si="23"/>
        <v>3.0015197521642838</v>
      </c>
    </row>
    <row r="496" spans="2:16" x14ac:dyDescent="0.25">
      <c r="B496">
        <v>495</v>
      </c>
      <c r="C496">
        <v>-0.26798412028326302</v>
      </c>
      <c r="D496">
        <v>-8.2016724758282502E-3</v>
      </c>
      <c r="E496">
        <v>0.287261954895978</v>
      </c>
      <c r="F496">
        <f t="shared" si="21"/>
        <v>-0.25978244780743476</v>
      </c>
      <c r="G496" s="2">
        <f t="shared" si="22"/>
        <v>0.23493163309168671</v>
      </c>
      <c r="M496">
        <v>2.16013291910361</v>
      </c>
      <c r="N496">
        <v>2.1600310011132602</v>
      </c>
      <c r="O496" s="1">
        <v>1.27893573727531E-8</v>
      </c>
      <c r="P496" s="2">
        <f t="shared" si="23"/>
        <v>0.81218128903681386</v>
      </c>
    </row>
    <row r="497" spans="2:16" x14ac:dyDescent="0.25">
      <c r="B497">
        <v>496</v>
      </c>
      <c r="C497">
        <v>-0.28860770884877801</v>
      </c>
      <c r="D497">
        <v>3.2786413364914E-3</v>
      </c>
      <c r="E497">
        <v>0.33317763842776299</v>
      </c>
      <c r="F497">
        <f t="shared" si="21"/>
        <v>-0.29188635018526943</v>
      </c>
      <c r="G497" s="2">
        <f t="shared" si="22"/>
        <v>0.25571236361034966</v>
      </c>
      <c r="M497">
        <v>1.0040124155998</v>
      </c>
      <c r="N497">
        <v>1.0039377322330301</v>
      </c>
      <c r="O497" s="1">
        <v>1.07745264139002E-8</v>
      </c>
      <c r="P497" s="2">
        <f t="shared" si="23"/>
        <v>0.51766593331673816</v>
      </c>
    </row>
    <row r="498" spans="2:16" x14ac:dyDescent="0.25">
      <c r="B498">
        <v>497</v>
      </c>
      <c r="C498">
        <v>-0.29044056348841901</v>
      </c>
      <c r="D498">
        <v>8.3725403070313998E-3</v>
      </c>
      <c r="E498">
        <v>0.33742288367788198</v>
      </c>
      <c r="F498">
        <f t="shared" si="21"/>
        <v>-0.2988131037954504</v>
      </c>
      <c r="G498" s="2">
        <f t="shared" si="22"/>
        <v>0.26462126701848082</v>
      </c>
      <c r="M498">
        <v>2.1554459146178901</v>
      </c>
      <c r="N498">
        <v>2.1554102837157401</v>
      </c>
      <c r="O498" s="1">
        <v>2.2457590380045701E-8</v>
      </c>
      <c r="P498" s="2">
        <f t="shared" si="23"/>
        <v>5.6531496324602089E-2</v>
      </c>
    </row>
    <row r="499" spans="2:16" x14ac:dyDescent="0.25">
      <c r="B499">
        <v>498</v>
      </c>
      <c r="C499">
        <v>-0.28987000934288698</v>
      </c>
      <c r="D499">
        <v>-0.307409731385694</v>
      </c>
      <c r="E499">
        <v>0.33609848926578101</v>
      </c>
      <c r="F499">
        <f t="shared" si="21"/>
        <v>1.7539722042807016E-2</v>
      </c>
      <c r="G499" s="2">
        <f t="shared" si="22"/>
        <v>9.1533243725963999E-4</v>
      </c>
      <c r="M499">
        <v>1.0078575580989799</v>
      </c>
      <c r="N499">
        <v>1.0078405691496499</v>
      </c>
      <c r="O499" s="1">
        <v>9.29544643588039E-9</v>
      </c>
      <c r="P499" s="2">
        <f t="shared" si="23"/>
        <v>3.1050084719243431E-2</v>
      </c>
    </row>
    <row r="500" spans="2:16" x14ac:dyDescent="0.25">
      <c r="B500">
        <v>499</v>
      </c>
      <c r="C500">
        <v>-0.34152702411304198</v>
      </c>
      <c r="D500">
        <v>-0.28998003866466299</v>
      </c>
      <c r="E500">
        <v>0.466562832798042</v>
      </c>
      <c r="F500">
        <f t="shared" si="21"/>
        <v>-5.154698544837899E-2</v>
      </c>
      <c r="G500" s="2">
        <f t="shared" si="22"/>
        <v>5.6950350993036636E-3</v>
      </c>
      <c r="M500">
        <v>2.16028222932125</v>
      </c>
      <c r="N500">
        <v>2.16027656733627</v>
      </c>
      <c r="O500" s="1">
        <v>1.9391232995772101E-8</v>
      </c>
      <c r="P500" s="2">
        <f t="shared" si="23"/>
        <v>1.6532251415095876E-3</v>
      </c>
    </row>
    <row r="501" spans="2:16" x14ac:dyDescent="0.25">
      <c r="B501">
        <v>500</v>
      </c>
      <c r="C501">
        <v>-0.31202562856661498</v>
      </c>
      <c r="D501">
        <v>-0.28549499240566301</v>
      </c>
      <c r="E501">
        <v>0.389439971529565</v>
      </c>
      <c r="F501">
        <f t="shared" si="21"/>
        <v>-2.653063616095197E-2</v>
      </c>
      <c r="G501" s="2">
        <f t="shared" si="22"/>
        <v>1.807402184065167E-3</v>
      </c>
      <c r="M501">
        <v>1.0037037841506899</v>
      </c>
      <c r="N501">
        <v>1.0036550079404101</v>
      </c>
      <c r="O501" s="1">
        <v>2.8166268732605102E-9</v>
      </c>
      <c r="P501" s="2">
        <f t="shared" si="23"/>
        <v>0.84466945616859312</v>
      </c>
    </row>
    <row r="502" spans="2:16" x14ac:dyDescent="0.25">
      <c r="B502">
        <v>501</v>
      </c>
      <c r="C502">
        <v>-0.30069095016769098</v>
      </c>
      <c r="D502">
        <v>-0.27303774552979698</v>
      </c>
      <c r="E502">
        <v>0.36166019005099398</v>
      </c>
      <c r="F502">
        <f t="shared" si="21"/>
        <v>-2.7653204637894002E-2</v>
      </c>
      <c r="G502" s="2">
        <f t="shared" si="22"/>
        <v>2.1144149889359399E-3</v>
      </c>
      <c r="M502">
        <v>2.1565904505659899</v>
      </c>
      <c r="N502">
        <v>2.1565921166041502</v>
      </c>
      <c r="O502" s="1">
        <v>2.30479893484366E-8</v>
      </c>
      <c r="P502" s="2">
        <f t="shared" si="23"/>
        <v>1.2043059850811321E-4</v>
      </c>
    </row>
    <row r="503" spans="2:16" x14ac:dyDescent="0.25">
      <c r="B503">
        <v>502</v>
      </c>
      <c r="C503">
        <v>-0.29706636647060602</v>
      </c>
      <c r="D503">
        <v>-0.25660976280427</v>
      </c>
      <c r="E503">
        <v>0.35299370435219402</v>
      </c>
      <c r="F503">
        <f t="shared" si="21"/>
        <v>-4.0456603666336022E-2</v>
      </c>
      <c r="G503" s="2">
        <f t="shared" si="22"/>
        <v>4.6367307972778023E-3</v>
      </c>
      <c r="M503">
        <v>1.0081117972426501</v>
      </c>
      <c r="N503">
        <v>1.00819909819658</v>
      </c>
      <c r="O503" s="1">
        <v>7.4256680313821296E-9</v>
      </c>
      <c r="P503" s="2">
        <f t="shared" si="23"/>
        <v>1.0263664528052203</v>
      </c>
    </row>
    <row r="504" spans="2:16" x14ac:dyDescent="0.25">
      <c r="B504">
        <v>503</v>
      </c>
      <c r="C504">
        <v>-0.31504425219931598</v>
      </c>
      <c r="D504">
        <v>-0.25565079002020702</v>
      </c>
      <c r="E504">
        <v>0.39701152337530399</v>
      </c>
      <c r="F504">
        <f t="shared" si="21"/>
        <v>-5.9393462179108958E-2</v>
      </c>
      <c r="G504" s="2">
        <f t="shared" si="22"/>
        <v>8.8853424697361797E-3</v>
      </c>
      <c r="M504">
        <v>2.1607459193400702</v>
      </c>
      <c r="N504">
        <v>2.1607128640334801</v>
      </c>
      <c r="O504" s="1">
        <v>1.5498889873874399E-8</v>
      </c>
      <c r="P504" s="2">
        <f t="shared" si="23"/>
        <v>7.0498810086417077E-2</v>
      </c>
    </row>
    <row r="505" spans="2:16" x14ac:dyDescent="0.25">
      <c r="B505">
        <v>504</v>
      </c>
      <c r="C505">
        <v>-0.29260154237599201</v>
      </c>
      <c r="D505">
        <v>-0.23996649115134999</v>
      </c>
      <c r="E505">
        <v>0.34246265040323898</v>
      </c>
      <c r="F505">
        <f t="shared" si="21"/>
        <v>-5.2635051224642015E-2</v>
      </c>
      <c r="G505" s="2">
        <f t="shared" si="22"/>
        <v>8.0897832629589616E-3</v>
      </c>
      <c r="M505">
        <v>1.00304931437903</v>
      </c>
      <c r="N505">
        <v>1.0031529682193601</v>
      </c>
      <c r="O505" s="1">
        <v>1.56351784952148E-8</v>
      </c>
      <c r="P505" s="2">
        <f t="shared" si="23"/>
        <v>0.68717594867617338</v>
      </c>
    </row>
    <row r="506" spans="2:16" x14ac:dyDescent="0.25">
      <c r="B506">
        <v>505</v>
      </c>
      <c r="C506">
        <v>-0.30744538336309701</v>
      </c>
      <c r="D506">
        <v>-0.223571094102818</v>
      </c>
      <c r="E506">
        <v>0.37809065500512701</v>
      </c>
      <c r="F506">
        <f t="shared" si="21"/>
        <v>-8.3874289260279011E-2</v>
      </c>
      <c r="G506" s="2">
        <f t="shared" si="22"/>
        <v>1.8606374703499507E-2</v>
      </c>
      <c r="M506">
        <v>2.1576616835860598</v>
      </c>
      <c r="N506">
        <v>2.1576257508769001</v>
      </c>
      <c r="O506" s="1">
        <v>1.46997985433835E-8</v>
      </c>
      <c r="P506" s="2">
        <f t="shared" si="23"/>
        <v>8.7835189288097706E-2</v>
      </c>
    </row>
    <row r="507" spans="2:16" x14ac:dyDescent="0.25">
      <c r="B507">
        <v>506</v>
      </c>
      <c r="C507">
        <v>-0.35688338606537601</v>
      </c>
      <c r="D507">
        <v>-0.210428116412441</v>
      </c>
      <c r="E507">
        <v>0.50946300499795405</v>
      </c>
      <c r="F507">
        <f t="shared" si="21"/>
        <v>-0.14645526965293501</v>
      </c>
      <c r="G507" s="2">
        <f t="shared" si="22"/>
        <v>4.2101479005722982E-2</v>
      </c>
      <c r="M507">
        <v>1.0085717092527</v>
      </c>
      <c r="N507">
        <v>1.0085126121269401</v>
      </c>
      <c r="O507" s="1">
        <v>4.3933889852503398E-9</v>
      </c>
      <c r="P507" s="2">
        <f t="shared" si="23"/>
        <v>0.79493764035184011</v>
      </c>
    </row>
    <row r="508" spans="2:16" x14ac:dyDescent="0.25">
      <c r="B508">
        <v>507</v>
      </c>
      <c r="C508">
        <v>-0.30955149613330601</v>
      </c>
      <c r="D508">
        <v>-0.196579145165585</v>
      </c>
      <c r="E508">
        <v>0.383288515033472</v>
      </c>
      <c r="F508">
        <f t="shared" si="21"/>
        <v>-0.11297235096772101</v>
      </c>
      <c r="G508" s="2">
        <f t="shared" si="22"/>
        <v>3.3298028984926363E-2</v>
      </c>
      <c r="M508">
        <v>2.1612799764837698</v>
      </c>
      <c r="N508">
        <v>2.1610943265391298</v>
      </c>
      <c r="O508" s="1">
        <v>2.21868366279284E-8</v>
      </c>
      <c r="P508" s="2">
        <f t="shared" si="23"/>
        <v>1.5534392091500453</v>
      </c>
    </row>
    <row r="509" spans="2:16" x14ac:dyDescent="0.25">
      <c r="B509">
        <v>508</v>
      </c>
      <c r="C509">
        <v>-0.31905909067829402</v>
      </c>
      <c r="D509">
        <v>-0.186502906798477</v>
      </c>
      <c r="E509">
        <v>0.40719481337784003</v>
      </c>
      <c r="F509">
        <f t="shared" si="21"/>
        <v>-0.13255618387981702</v>
      </c>
      <c r="G509" s="2">
        <f t="shared" si="22"/>
        <v>4.3151683929911526E-2</v>
      </c>
      <c r="M509">
        <v>1.00266815103024</v>
      </c>
      <c r="N509">
        <v>1.00271431410653</v>
      </c>
      <c r="O509" s="1">
        <v>4.5089599348252398E-9</v>
      </c>
      <c r="P509" s="2">
        <f t="shared" si="23"/>
        <v>0.47262110184188189</v>
      </c>
    </row>
    <row r="510" spans="2:16" x14ac:dyDescent="0.25">
      <c r="B510">
        <v>509</v>
      </c>
      <c r="C510">
        <v>-0.27994976712814901</v>
      </c>
      <c r="D510">
        <v>-0.17187609359730999</v>
      </c>
      <c r="E510">
        <v>0.31348748846041902</v>
      </c>
      <c r="F510">
        <f t="shared" si="21"/>
        <v>-0.10807367353083902</v>
      </c>
      <c r="G510" s="2">
        <f t="shared" si="22"/>
        <v>3.7258006588435449E-2</v>
      </c>
      <c r="M510">
        <v>2.1584722841954198</v>
      </c>
      <c r="N510">
        <v>2.1584070106231898</v>
      </c>
      <c r="O510" s="1">
        <v>1.30692268757309E-8</v>
      </c>
      <c r="P510" s="2">
        <f t="shared" si="23"/>
        <v>0.32600545328140124</v>
      </c>
    </row>
    <row r="511" spans="2:16" x14ac:dyDescent="0.25">
      <c r="B511">
        <v>510</v>
      </c>
      <c r="C511">
        <v>-0.27011827388580101</v>
      </c>
      <c r="D511">
        <v>-0.171709513008905</v>
      </c>
      <c r="E511">
        <v>0.29185552754817901</v>
      </c>
      <c r="F511">
        <f t="shared" si="21"/>
        <v>-9.8408760876896012E-2</v>
      </c>
      <c r="G511" s="2">
        <f t="shared" si="22"/>
        <v>3.3181774210966193E-2</v>
      </c>
      <c r="M511">
        <v>1.00876254300837</v>
      </c>
      <c r="N511">
        <v>1.0087495427787301</v>
      </c>
      <c r="O511" s="1">
        <v>2.3551233742973302E-9</v>
      </c>
      <c r="P511" s="2">
        <f t="shared" si="23"/>
        <v>7.1760983961465769E-2</v>
      </c>
    </row>
    <row r="512" spans="2:16" x14ac:dyDescent="0.25">
      <c r="B512">
        <v>511</v>
      </c>
      <c r="C512">
        <v>-0.28782064071589503</v>
      </c>
      <c r="D512">
        <v>-0.17009413610617</v>
      </c>
      <c r="E512">
        <v>0.33136288488843302</v>
      </c>
      <c r="F512">
        <f t="shared" si="21"/>
        <v>-0.11772650460972503</v>
      </c>
      <c r="G512" s="2">
        <f t="shared" si="22"/>
        <v>4.1825836627086319E-2</v>
      </c>
      <c r="M512">
        <v>2.1615140576258298</v>
      </c>
      <c r="N512">
        <v>2.16138257369786</v>
      </c>
      <c r="O512" s="1">
        <v>6.5009977838641902E-9</v>
      </c>
      <c r="P512" s="2">
        <f t="shared" si="23"/>
        <v>2.6592876800046432</v>
      </c>
    </row>
    <row r="513" spans="2:16" x14ac:dyDescent="0.25">
      <c r="B513">
        <v>512</v>
      </c>
      <c r="C513">
        <v>-0.310380556739552</v>
      </c>
      <c r="D513">
        <v>-0.16516602999958699</v>
      </c>
      <c r="E513">
        <v>0.38534436000781802</v>
      </c>
      <c r="F513">
        <f t="shared" si="21"/>
        <v>-0.14521452673996502</v>
      </c>
      <c r="G513" s="2">
        <f t="shared" si="22"/>
        <v>5.4723154053387957E-2</v>
      </c>
      <c r="M513">
        <v>1.0022932369987501</v>
      </c>
      <c r="N513">
        <v>1.00238302942115</v>
      </c>
      <c r="O513" s="1">
        <v>7.6028984921563602E-9</v>
      </c>
      <c r="P513" s="2">
        <f t="shared" si="23"/>
        <v>1.0604743873359188</v>
      </c>
    </row>
    <row r="514" spans="2:16" x14ac:dyDescent="0.25">
      <c r="B514">
        <v>513</v>
      </c>
      <c r="C514">
        <v>-0.30495673665381101</v>
      </c>
      <c r="D514">
        <v>-0.16082710501453901</v>
      </c>
      <c r="E514">
        <v>0.37199444492216699</v>
      </c>
      <c r="F514">
        <f t="shared" si="21"/>
        <v>-0.144129631639272</v>
      </c>
      <c r="G514" s="2">
        <f t="shared" si="22"/>
        <v>5.5843174542078662E-2</v>
      </c>
      <c r="M514">
        <v>2.1591041774242798</v>
      </c>
      <c r="N514">
        <v>2.1592289110384302</v>
      </c>
      <c r="O514" s="1">
        <v>2.9194451623329701E-8</v>
      </c>
      <c r="P514" s="2">
        <f t="shared" si="23"/>
        <v>0.53292573190757686</v>
      </c>
    </row>
    <row r="515" spans="2:16" x14ac:dyDescent="0.25">
      <c r="B515">
        <v>514</v>
      </c>
      <c r="C515">
        <v>-0.31761450143055803</v>
      </c>
      <c r="D515">
        <v>-0.15799483648467899</v>
      </c>
      <c r="E515">
        <v>0.40351588607592798</v>
      </c>
      <c r="F515">
        <f t="shared" ref="F515:F578" si="24">C515-D515</f>
        <v>-0.15961966494587904</v>
      </c>
      <c r="G515" s="2">
        <f t="shared" ref="G515:G578" si="25">F515^2/E515</f>
        <v>6.3141101296419616E-2</v>
      </c>
      <c r="M515">
        <v>1.0089999148312601</v>
      </c>
      <c r="N515">
        <v>1.0089987659203901</v>
      </c>
      <c r="O515" s="1">
        <v>7.18973385114305E-9</v>
      </c>
      <c r="P515" s="2">
        <f t="shared" ref="P515:P578" si="26">(M515-N515)^2/O515</f>
        <v>1.835945828491552E-4</v>
      </c>
    </row>
    <row r="516" spans="2:16" x14ac:dyDescent="0.25">
      <c r="B516">
        <v>515</v>
      </c>
      <c r="C516">
        <v>-0.33412112298701802</v>
      </c>
      <c r="D516">
        <v>-0.137587634681931</v>
      </c>
      <c r="E516">
        <v>0.44654769930442501</v>
      </c>
      <c r="F516">
        <f t="shared" si="24"/>
        <v>-0.19653348830508702</v>
      </c>
      <c r="G516" s="2">
        <f t="shared" si="25"/>
        <v>8.6497841295636535E-2</v>
      </c>
      <c r="M516">
        <v>2.1616380701227</v>
      </c>
      <c r="N516">
        <v>2.1616857441833499</v>
      </c>
      <c r="O516" s="1">
        <v>1.8807305828752499E-8</v>
      </c>
      <c r="P516" s="2">
        <f t="shared" si="26"/>
        <v>0.12084750891714455</v>
      </c>
    </row>
    <row r="517" spans="2:16" x14ac:dyDescent="0.25">
      <c r="B517">
        <v>516</v>
      </c>
      <c r="C517">
        <v>-0.29863800912053201</v>
      </c>
      <c r="D517">
        <v>-0.12108221043536201</v>
      </c>
      <c r="E517">
        <v>0.35673864196589899</v>
      </c>
      <c r="F517">
        <f t="shared" si="24"/>
        <v>-0.17755579868517002</v>
      </c>
      <c r="G517" s="2">
        <f t="shared" si="25"/>
        <v>8.8372993385286897E-2</v>
      </c>
      <c r="M517">
        <v>1.0019586707804999</v>
      </c>
      <c r="N517">
        <v>1.00203475898286</v>
      </c>
      <c r="O517" s="1">
        <v>8.2255719743530397E-9</v>
      </c>
      <c r="P517" s="2">
        <f t="shared" si="26"/>
        <v>0.70383124194094249</v>
      </c>
    </row>
    <row r="518" spans="2:16" x14ac:dyDescent="0.25">
      <c r="B518">
        <v>517</v>
      </c>
      <c r="C518">
        <v>-0.29367473799882599</v>
      </c>
      <c r="D518">
        <v>-0.112743896680877</v>
      </c>
      <c r="E518">
        <v>0.34497940695471502</v>
      </c>
      <c r="F518">
        <f t="shared" si="24"/>
        <v>-0.18093084131794898</v>
      </c>
      <c r="G518" s="2">
        <f t="shared" si="25"/>
        <v>9.4892531786159751E-2</v>
      </c>
      <c r="M518">
        <v>2.1603507324084998</v>
      </c>
      <c r="N518">
        <v>2.1604530087079801</v>
      </c>
      <c r="O518" s="1">
        <v>1.8511127128079399E-8</v>
      </c>
      <c r="P518" s="2">
        <f t="shared" si="26"/>
        <v>0.56508938450876167</v>
      </c>
    </row>
    <row r="519" spans="2:16" x14ac:dyDescent="0.25">
      <c r="B519">
        <v>518</v>
      </c>
      <c r="C519">
        <v>-0.294490999237634</v>
      </c>
      <c r="D519">
        <v>-9.8495818331631096E-2</v>
      </c>
      <c r="E519">
        <v>0.34689979452792102</v>
      </c>
      <c r="F519">
        <f t="shared" si="24"/>
        <v>-0.1959951809060029</v>
      </c>
      <c r="G519" s="2">
        <f t="shared" si="25"/>
        <v>0.11073546754518172</v>
      </c>
      <c r="M519">
        <v>1.0092962960913201</v>
      </c>
      <c r="N519">
        <v>1.00936988475103</v>
      </c>
      <c r="O519" s="1">
        <v>4.6879785801291498E-9</v>
      </c>
      <c r="P519" s="2">
        <f t="shared" si="26"/>
        <v>1.1551441085602703</v>
      </c>
    </row>
    <row r="520" spans="2:16" x14ac:dyDescent="0.25">
      <c r="B520">
        <v>519</v>
      </c>
      <c r="C520">
        <v>-0.27691841777299803</v>
      </c>
      <c r="D520">
        <v>-9.1695524340111106E-2</v>
      </c>
      <c r="E520">
        <v>0.30673524040760303</v>
      </c>
      <c r="F520">
        <f t="shared" si="24"/>
        <v>-0.18522289343288692</v>
      </c>
      <c r="G520" s="2">
        <f t="shared" si="25"/>
        <v>0.11184733846056055</v>
      </c>
      <c r="M520">
        <v>2.16197896018075</v>
      </c>
      <c r="N520">
        <v>2.16213713616709</v>
      </c>
      <c r="O520" s="1">
        <v>1.3304848111674799E-8</v>
      </c>
      <c r="P520" s="2">
        <f t="shared" si="26"/>
        <v>1.8804906636019874</v>
      </c>
    </row>
    <row r="521" spans="2:16" x14ac:dyDescent="0.25">
      <c r="B521">
        <v>520</v>
      </c>
      <c r="C521">
        <v>-0.31880297298968702</v>
      </c>
      <c r="D521">
        <v>-8.1918222331301901E-2</v>
      </c>
      <c r="E521">
        <v>0.40654134234825301</v>
      </c>
      <c r="F521">
        <f t="shared" si="24"/>
        <v>-0.2368847506583851</v>
      </c>
      <c r="G521" s="2">
        <f t="shared" si="25"/>
        <v>0.13802872979746389</v>
      </c>
      <c r="M521">
        <v>1.00150911624807</v>
      </c>
      <c r="N521">
        <v>1.00151653208461</v>
      </c>
      <c r="O521" s="1">
        <v>5.6675233978400603E-9</v>
      </c>
      <c r="P521" s="2">
        <f t="shared" si="26"/>
        <v>9.7034679395148916E-3</v>
      </c>
    </row>
    <row r="522" spans="2:16" x14ac:dyDescent="0.25">
      <c r="B522">
        <v>521</v>
      </c>
      <c r="C522">
        <v>-0.302370284722914</v>
      </c>
      <c r="D522">
        <v>-7.2955076684373996E-2</v>
      </c>
      <c r="E522">
        <v>0.36571115633366402</v>
      </c>
      <c r="F522">
        <f t="shared" si="24"/>
        <v>-0.22941520803853999</v>
      </c>
      <c r="G522" s="2">
        <f t="shared" si="25"/>
        <v>0.14391504543369005</v>
      </c>
      <c r="M522">
        <v>2.1613435958287801</v>
      </c>
      <c r="N522">
        <v>2.1613755296583199</v>
      </c>
      <c r="O522" s="1">
        <v>1.7631695784762001E-8</v>
      </c>
      <c r="P522" s="2">
        <f t="shared" si="26"/>
        <v>5.7837288116038645E-2</v>
      </c>
    </row>
    <row r="523" spans="2:16" x14ac:dyDescent="0.25">
      <c r="B523">
        <v>522</v>
      </c>
      <c r="C523">
        <v>-0.30436046992118199</v>
      </c>
      <c r="D523">
        <v>-6.8038552723627105E-2</v>
      </c>
      <c r="E523">
        <v>0.37054118260257102</v>
      </c>
      <c r="F523">
        <f t="shared" si="24"/>
        <v>-0.23632191719755488</v>
      </c>
      <c r="G523" s="2">
        <f t="shared" si="25"/>
        <v>0.15072021996493859</v>
      </c>
      <c r="M523">
        <v>1.0095792153118499</v>
      </c>
      <c r="N523">
        <v>1.00964952352676</v>
      </c>
      <c r="O523" s="1">
        <v>4.5461931090448198E-9</v>
      </c>
      <c r="P523" s="2">
        <f t="shared" si="26"/>
        <v>1.0873372435507518</v>
      </c>
    </row>
    <row r="524" spans="2:16" x14ac:dyDescent="0.25">
      <c r="B524">
        <v>523</v>
      </c>
      <c r="C524">
        <v>-0.295879187777431</v>
      </c>
      <c r="D524">
        <v>-4.5250948136500303E-2</v>
      </c>
      <c r="E524">
        <v>0.35017797503932802</v>
      </c>
      <c r="F524">
        <f t="shared" si="24"/>
        <v>-0.25062823964093067</v>
      </c>
      <c r="G524" s="2">
        <f t="shared" si="25"/>
        <v>0.1793788272904861</v>
      </c>
      <c r="M524">
        <v>2.1624194910760601</v>
      </c>
      <c r="N524">
        <v>2.16247721353434</v>
      </c>
      <c r="O524" s="1">
        <v>1.5764184030590701E-8</v>
      </c>
      <c r="P524" s="2">
        <f t="shared" si="26"/>
        <v>0.21135773240165048</v>
      </c>
    </row>
    <row r="525" spans="2:16" x14ac:dyDescent="0.25">
      <c r="B525">
        <v>524</v>
      </c>
      <c r="C525">
        <v>-0.27063515026135099</v>
      </c>
      <c r="D525">
        <v>-4.0203741731330102E-2</v>
      </c>
      <c r="E525">
        <v>0.29297353822793698</v>
      </c>
      <c r="F525">
        <f t="shared" si="24"/>
        <v>-0.23043140853002089</v>
      </c>
      <c r="G525" s="2">
        <f t="shared" si="25"/>
        <v>0.18124037535368812</v>
      </c>
      <c r="M525">
        <v>1.0010839345794</v>
      </c>
      <c r="N525">
        <v>1.0011263499332701</v>
      </c>
      <c r="O525" s="1">
        <v>4.3997521838019996E-9</v>
      </c>
      <c r="P525" s="2">
        <f t="shared" si="26"/>
        <v>0.40890081276531409</v>
      </c>
    </row>
    <row r="526" spans="2:16" x14ac:dyDescent="0.25">
      <c r="B526">
        <v>525</v>
      </c>
      <c r="C526">
        <v>-0.32774513205609901</v>
      </c>
      <c r="D526">
        <v>-3.3681517435888098E-2</v>
      </c>
      <c r="E526">
        <v>0.42966748634587898</v>
      </c>
      <c r="F526">
        <f t="shared" si="24"/>
        <v>-0.29406361462021091</v>
      </c>
      <c r="G526" s="2">
        <f t="shared" si="25"/>
        <v>0.20125658140651931</v>
      </c>
      <c r="M526">
        <v>2.1621059582819799</v>
      </c>
      <c r="N526">
        <v>2.1623121776533201</v>
      </c>
      <c r="O526" s="1">
        <v>2.4880368919726099E-8</v>
      </c>
      <c r="P526" s="2">
        <f t="shared" si="26"/>
        <v>1.7092362759220592</v>
      </c>
    </row>
    <row r="527" spans="2:16" x14ac:dyDescent="0.25">
      <c r="B527">
        <v>526</v>
      </c>
      <c r="C527">
        <v>-0.26887690571246498</v>
      </c>
      <c r="D527">
        <v>-4.3767495747833701E-2</v>
      </c>
      <c r="E527">
        <v>0.289179161702039</v>
      </c>
      <c r="F527">
        <f t="shared" si="24"/>
        <v>-0.22510940996463127</v>
      </c>
      <c r="G527" s="2">
        <f t="shared" si="25"/>
        <v>0.17523477886984665</v>
      </c>
      <c r="M527">
        <v>1.00998776609674</v>
      </c>
      <c r="N527">
        <v>1.0099334016816099</v>
      </c>
      <c r="O527" s="1">
        <v>5.0439955169626096E-9</v>
      </c>
      <c r="P527" s="2">
        <f t="shared" si="26"/>
        <v>0.58594216083172934</v>
      </c>
    </row>
    <row r="528" spans="2:16" x14ac:dyDescent="0.25">
      <c r="B528">
        <v>527</v>
      </c>
      <c r="C528">
        <v>-0.38198724271783402</v>
      </c>
      <c r="D528">
        <v>-0.35185642114016502</v>
      </c>
      <c r="E528">
        <v>0.58365701439669504</v>
      </c>
      <c r="F528">
        <f t="shared" si="24"/>
        <v>-3.0130821577668998E-2</v>
      </c>
      <c r="G528" s="2">
        <f t="shared" si="25"/>
        <v>1.5554793081408473E-3</v>
      </c>
      <c r="M528">
        <v>2.16273058213666</v>
      </c>
      <c r="N528">
        <v>2.1628224049022098</v>
      </c>
      <c r="O528" s="1">
        <v>2.01797036555114E-8</v>
      </c>
      <c r="P528" s="2">
        <f t="shared" si="26"/>
        <v>0.41781685287049852</v>
      </c>
    </row>
    <row r="529" spans="2:16" x14ac:dyDescent="0.25">
      <c r="B529">
        <v>528</v>
      </c>
      <c r="C529">
        <v>-0.30641249696431999</v>
      </c>
      <c r="D529">
        <v>-0.33417124271417897</v>
      </c>
      <c r="E529">
        <v>0.37555447318363799</v>
      </c>
      <c r="F529">
        <f t="shared" si="24"/>
        <v>2.7758745749858982E-2</v>
      </c>
      <c r="G529" s="2">
        <f t="shared" si="25"/>
        <v>2.0517608512907602E-3</v>
      </c>
      <c r="M529">
        <v>1.0006060947427</v>
      </c>
      <c r="N529">
        <v>1.00073051848524</v>
      </c>
      <c r="O529" s="1">
        <v>8.1697391567291508E-9</v>
      </c>
      <c r="P529" s="2">
        <f t="shared" si="26"/>
        <v>1.8949525083549916</v>
      </c>
    </row>
    <row r="530" spans="2:16" x14ac:dyDescent="0.25">
      <c r="B530">
        <v>529</v>
      </c>
      <c r="C530">
        <v>-0.34223965770473203</v>
      </c>
      <c r="D530">
        <v>-0.29284123716390198</v>
      </c>
      <c r="E530">
        <v>0.46851193322340901</v>
      </c>
      <c r="F530">
        <f t="shared" si="24"/>
        <v>-4.9398420540830046E-2</v>
      </c>
      <c r="G530" s="2">
        <f t="shared" si="25"/>
        <v>5.2084136579827372E-3</v>
      </c>
      <c r="M530">
        <v>2.16313970952136</v>
      </c>
      <c r="N530">
        <v>2.1631611724531901</v>
      </c>
      <c r="O530" s="1">
        <v>1.1291726908612901E-8</v>
      </c>
      <c r="P530" s="2">
        <f t="shared" si="26"/>
        <v>4.0796013441409831E-2</v>
      </c>
    </row>
    <row r="531" spans="2:16" x14ac:dyDescent="0.25">
      <c r="B531">
        <v>530</v>
      </c>
      <c r="C531">
        <v>-0.399941417397497</v>
      </c>
      <c r="D531">
        <v>-0.293143201011832</v>
      </c>
      <c r="E531">
        <v>0.63981254939967702</v>
      </c>
      <c r="F531">
        <f t="shared" si="24"/>
        <v>-0.106798216385665</v>
      </c>
      <c r="G531" s="2">
        <f t="shared" si="25"/>
        <v>1.7826876065280696E-2</v>
      </c>
      <c r="M531">
        <v>1.01013190393261</v>
      </c>
      <c r="N531">
        <v>1.01019067670583</v>
      </c>
      <c r="O531" s="1">
        <v>3.6973104888235199E-9</v>
      </c>
      <c r="P531" s="2">
        <f t="shared" si="26"/>
        <v>0.93425718029579996</v>
      </c>
    </row>
    <row r="532" spans="2:16" x14ac:dyDescent="0.25">
      <c r="B532">
        <v>531</v>
      </c>
      <c r="C532">
        <v>-0.40341653752115803</v>
      </c>
      <c r="D532">
        <v>-0.25722866060135402</v>
      </c>
      <c r="E532">
        <v>0.650979610982238</v>
      </c>
      <c r="F532">
        <f t="shared" si="24"/>
        <v>-0.14618787691980401</v>
      </c>
      <c r="G532" s="2">
        <f t="shared" si="25"/>
        <v>3.2828824432879003E-2</v>
      </c>
      <c r="M532">
        <v>2.1631882085571901</v>
      </c>
      <c r="N532">
        <v>2.1631352110563702</v>
      </c>
      <c r="O532" s="1">
        <v>1.0881239793826599E-8</v>
      </c>
      <c r="P532" s="2">
        <f t="shared" si="26"/>
        <v>0.25812638507858177</v>
      </c>
    </row>
    <row r="533" spans="2:16" x14ac:dyDescent="0.25">
      <c r="B533">
        <v>532</v>
      </c>
      <c r="C533">
        <v>-0.36023937509262599</v>
      </c>
      <c r="D533">
        <v>-0.27389255055274803</v>
      </c>
      <c r="E533">
        <v>0.51908962946850201</v>
      </c>
      <c r="F533">
        <f t="shared" si="24"/>
        <v>-8.6346824539877964E-2</v>
      </c>
      <c r="G533" s="2">
        <f t="shared" si="25"/>
        <v>1.436317291823855E-2</v>
      </c>
      <c r="M533">
        <v>1.0003288422489101</v>
      </c>
      <c r="N533">
        <v>1.00037201291027</v>
      </c>
      <c r="O533" s="1">
        <v>3.7663780589641796E-9</v>
      </c>
      <c r="P533" s="2">
        <f t="shared" si="26"/>
        <v>0.49482711854153727</v>
      </c>
    </row>
    <row r="534" spans="2:16" x14ac:dyDescent="0.25">
      <c r="B534">
        <v>533</v>
      </c>
      <c r="C534">
        <v>-0.27796176118061899</v>
      </c>
      <c r="D534">
        <v>-0.24590442476536301</v>
      </c>
      <c r="E534">
        <v>0.30905096271452598</v>
      </c>
      <c r="F534">
        <f t="shared" si="24"/>
        <v>-3.2057336415255988E-2</v>
      </c>
      <c r="G534" s="2">
        <f t="shared" si="25"/>
        <v>3.3252535731143188E-3</v>
      </c>
      <c r="M534">
        <v>2.1635145261097102</v>
      </c>
      <c r="N534">
        <v>2.1634984289117201</v>
      </c>
      <c r="O534" s="1">
        <v>1.2350983368372E-8</v>
      </c>
      <c r="P534" s="2">
        <f t="shared" si="26"/>
        <v>2.097968845108902E-2</v>
      </c>
    </row>
    <row r="535" spans="2:16" x14ac:dyDescent="0.25">
      <c r="B535">
        <v>534</v>
      </c>
      <c r="C535">
        <v>-0.39546959485808802</v>
      </c>
      <c r="D535">
        <v>-0.236477802532333</v>
      </c>
      <c r="E535">
        <v>0.62558480182887999</v>
      </c>
      <c r="F535">
        <f t="shared" si="24"/>
        <v>-0.15899179232575503</v>
      </c>
      <c r="G535" s="2">
        <f t="shared" si="25"/>
        <v>4.0407615327379014E-2</v>
      </c>
      <c r="M535">
        <v>1.0102266134069999</v>
      </c>
      <c r="N535">
        <v>1.0102928673306699</v>
      </c>
      <c r="O535" s="1">
        <v>3.1054918371703E-9</v>
      </c>
      <c r="P535" s="2">
        <f t="shared" si="26"/>
        <v>1.4134902398161213</v>
      </c>
    </row>
    <row r="536" spans="2:16" x14ac:dyDescent="0.25">
      <c r="B536">
        <v>535</v>
      </c>
      <c r="C536">
        <v>-0.37762358553206599</v>
      </c>
      <c r="D536">
        <v>-0.20988354489995001</v>
      </c>
      <c r="E536">
        <v>0.57039828940037296</v>
      </c>
      <c r="F536">
        <f t="shared" si="24"/>
        <v>-0.16774004063211598</v>
      </c>
      <c r="G536" s="2">
        <f t="shared" si="25"/>
        <v>4.9328200582162404E-2</v>
      </c>
      <c r="M536">
        <v>2.1631686083456398</v>
      </c>
      <c r="N536">
        <v>2.1632594493036099</v>
      </c>
      <c r="O536" s="1">
        <v>7.1521086659063201E-9</v>
      </c>
      <c r="P536" s="2">
        <f t="shared" si="26"/>
        <v>1.1537967374933438</v>
      </c>
    </row>
    <row r="537" spans="2:16" x14ac:dyDescent="0.25">
      <c r="B537">
        <v>536</v>
      </c>
      <c r="C537">
        <v>-0.25486706633860201</v>
      </c>
      <c r="D537">
        <v>-0.225957482722003</v>
      </c>
      <c r="E537">
        <v>0.25982888601618098</v>
      </c>
      <c r="F537">
        <f t="shared" si="24"/>
        <v>-2.8909583616599011E-2</v>
      </c>
      <c r="G537" s="2">
        <f t="shared" si="25"/>
        <v>3.216593958044689E-3</v>
      </c>
      <c r="M537">
        <v>1.00024793532467</v>
      </c>
      <c r="N537">
        <v>1.00022967409089</v>
      </c>
      <c r="O537" s="1">
        <v>3.7272991087261999E-9</v>
      </c>
      <c r="P537" s="2">
        <f t="shared" si="26"/>
        <v>8.9467641163447201E-2</v>
      </c>
    </row>
    <row r="538" spans="2:16" x14ac:dyDescent="0.25">
      <c r="B538">
        <v>537</v>
      </c>
      <c r="C538">
        <v>-0.44039396354101301</v>
      </c>
      <c r="D538">
        <v>-0.201885075407849</v>
      </c>
      <c r="E538">
        <v>0.77578737249345298</v>
      </c>
      <c r="F538">
        <f t="shared" si="24"/>
        <v>-0.23850888813316401</v>
      </c>
      <c r="G538" s="2">
        <f t="shared" si="25"/>
        <v>7.3327424157059506E-2</v>
      </c>
      <c r="M538">
        <v>2.1635686008473201</v>
      </c>
      <c r="N538">
        <v>2.1637500396712501</v>
      </c>
      <c r="O538" s="1">
        <v>1.55102123937126E-8</v>
      </c>
      <c r="P538" s="2">
        <f t="shared" si="26"/>
        <v>2.1224755660000794</v>
      </c>
    </row>
    <row r="539" spans="2:16" x14ac:dyDescent="0.25">
      <c r="B539">
        <v>538</v>
      </c>
      <c r="C539">
        <v>-0.185693886724829</v>
      </c>
      <c r="D539">
        <v>-0.16358329140404401</v>
      </c>
      <c r="E539">
        <v>0.13792887826789499</v>
      </c>
      <c r="F539">
        <f t="shared" si="24"/>
        <v>-2.2110595320784993E-2</v>
      </c>
      <c r="G539" s="2">
        <f t="shared" si="25"/>
        <v>3.5444239928493133E-3</v>
      </c>
      <c r="M539">
        <v>1.01031243243161</v>
      </c>
      <c r="N539">
        <v>1.0103691031783899</v>
      </c>
      <c r="O539" s="1">
        <v>6.8923899143467396E-9</v>
      </c>
      <c r="P539" s="2">
        <f t="shared" si="26"/>
        <v>0.46595935234488889</v>
      </c>
    </row>
    <row r="540" spans="2:16" x14ac:dyDescent="0.25">
      <c r="B540">
        <v>539</v>
      </c>
      <c r="C540">
        <v>-0.33256059798040599</v>
      </c>
      <c r="D540">
        <v>-0.15250785709701001</v>
      </c>
      <c r="E540">
        <v>0.44238620531634099</v>
      </c>
      <c r="F540">
        <f t="shared" si="24"/>
        <v>-0.18005274088339598</v>
      </c>
      <c r="G540" s="2">
        <f t="shared" si="25"/>
        <v>7.3282098560105882E-2</v>
      </c>
      <c r="M540">
        <v>2.1631111765155202</v>
      </c>
      <c r="N540">
        <v>2.1633521294943199</v>
      </c>
      <c r="O540" s="1">
        <v>2.34482274681056E-8</v>
      </c>
      <c r="P540" s="2">
        <f t="shared" si="26"/>
        <v>2.4760224657238998</v>
      </c>
    </row>
    <row r="541" spans="2:16" x14ac:dyDescent="0.25">
      <c r="B541">
        <v>540</v>
      </c>
      <c r="C541">
        <v>-0.37321700548377101</v>
      </c>
      <c r="D541">
        <v>-0.15860755479763899</v>
      </c>
      <c r="E541">
        <v>0.55716373272909303</v>
      </c>
      <c r="F541">
        <f t="shared" si="24"/>
        <v>-0.21460945068613202</v>
      </c>
      <c r="G541" s="2">
        <f t="shared" si="25"/>
        <v>8.2663701203605625E-2</v>
      </c>
      <c r="M541">
        <v>0.99999761784894303</v>
      </c>
      <c r="N541">
        <v>1.0001235096102701</v>
      </c>
      <c r="O541" s="1">
        <v>3.7461752615673298E-9</v>
      </c>
      <c r="P541" s="2">
        <f t="shared" si="26"/>
        <v>4.2306444475838836</v>
      </c>
    </row>
    <row r="542" spans="2:16" x14ac:dyDescent="0.25">
      <c r="B542">
        <v>541</v>
      </c>
      <c r="C542">
        <v>-0.31781643063702503</v>
      </c>
      <c r="D542">
        <v>-0.13920385025554599</v>
      </c>
      <c r="E542">
        <v>0.404029134331436</v>
      </c>
      <c r="F542">
        <f t="shared" si="24"/>
        <v>-0.17861258038147904</v>
      </c>
      <c r="G542" s="2">
        <f t="shared" si="25"/>
        <v>7.8960775745344811E-2</v>
      </c>
      <c r="M542">
        <v>0.23154843762883401</v>
      </c>
      <c r="N542">
        <v>0.231532801516624</v>
      </c>
      <c r="O542" s="1">
        <v>2.8009497773416801E-10</v>
      </c>
      <c r="P542" s="2">
        <f t="shared" si="26"/>
        <v>0.87287536185633896</v>
      </c>
    </row>
    <row r="543" spans="2:16" x14ac:dyDescent="0.25">
      <c r="B543">
        <v>542</v>
      </c>
      <c r="C543">
        <v>-0.42033670577814802</v>
      </c>
      <c r="D543">
        <v>-9.8979620760114698E-2</v>
      </c>
      <c r="E543">
        <v>0.70673178489770305</v>
      </c>
      <c r="F543">
        <f t="shared" si="24"/>
        <v>-0.32135708501803334</v>
      </c>
      <c r="G543" s="2">
        <f t="shared" si="25"/>
        <v>0.14612385957175469</v>
      </c>
      <c r="M543">
        <v>0.99528816703118805</v>
      </c>
      <c r="N543">
        <v>0.99525469698644797</v>
      </c>
      <c r="O543" s="1">
        <v>1.45907291147187E-9</v>
      </c>
      <c r="P543" s="2">
        <f t="shared" si="26"/>
        <v>0.76777787189052504</v>
      </c>
    </row>
    <row r="544" spans="2:16" x14ac:dyDescent="0.25">
      <c r="B544">
        <v>543</v>
      </c>
      <c r="C544">
        <v>-0.30432726660772103</v>
      </c>
      <c r="D544">
        <v>-0.153812380782264</v>
      </c>
      <c r="E544">
        <v>0.37046034080370699</v>
      </c>
      <c r="F544">
        <f t="shared" si="24"/>
        <v>-0.15051488582545702</v>
      </c>
      <c r="G544" s="2">
        <f t="shared" si="25"/>
        <v>6.1152918031391265E-2</v>
      </c>
      <c r="M544">
        <v>0.23155274448624799</v>
      </c>
      <c r="N544">
        <v>0.231546538190573</v>
      </c>
      <c r="O544" s="1">
        <v>2.21169506611434E-10</v>
      </c>
      <c r="P544" s="2">
        <f t="shared" si="26"/>
        <v>0.17415649469756797</v>
      </c>
    </row>
    <row r="545" spans="2:16" x14ac:dyDescent="0.25">
      <c r="B545">
        <v>544</v>
      </c>
      <c r="C545">
        <v>-0.38610961109403602</v>
      </c>
      <c r="D545">
        <v>-0.120639895284048</v>
      </c>
      <c r="E545">
        <v>0.59632252711675104</v>
      </c>
      <c r="F545">
        <f t="shared" si="24"/>
        <v>-0.26546971580998802</v>
      </c>
      <c r="G545" s="2">
        <f t="shared" si="25"/>
        <v>0.1181812975487978</v>
      </c>
      <c r="M545">
        <v>0.99523575337968395</v>
      </c>
      <c r="N545">
        <v>0.99521491816937802</v>
      </c>
      <c r="O545" s="1">
        <v>2.18399689298817E-9</v>
      </c>
      <c r="P545" s="2">
        <f t="shared" si="26"/>
        <v>0.19876676101797902</v>
      </c>
    </row>
    <row r="546" spans="2:16" x14ac:dyDescent="0.25">
      <c r="B546">
        <v>545</v>
      </c>
      <c r="C546">
        <v>-0.365744024862168</v>
      </c>
      <c r="D546">
        <v>-0.107796916588991</v>
      </c>
      <c r="E546">
        <v>0.53507476688951305</v>
      </c>
      <c r="F546">
        <f t="shared" si="24"/>
        <v>-0.25794710827317702</v>
      </c>
      <c r="G546" s="2">
        <f t="shared" si="25"/>
        <v>0.12435030538495416</v>
      </c>
      <c r="M546">
        <v>0.231510186956045</v>
      </c>
      <c r="N546">
        <v>0.231500581931668</v>
      </c>
      <c r="O546" s="1">
        <v>3.6535738278983901E-10</v>
      </c>
      <c r="P546" s="2">
        <f t="shared" si="26"/>
        <v>0.25251027522211228</v>
      </c>
    </row>
    <row r="547" spans="2:16" x14ac:dyDescent="0.25">
      <c r="B547">
        <v>546</v>
      </c>
      <c r="C547">
        <v>-0.316801696816777</v>
      </c>
      <c r="D547">
        <v>-9.0003882134398194E-2</v>
      </c>
      <c r="E547">
        <v>0.40145326042395701</v>
      </c>
      <c r="F547">
        <f t="shared" si="24"/>
        <v>-0.22679781468237881</v>
      </c>
      <c r="G547" s="2">
        <f t="shared" si="25"/>
        <v>0.12812761488194674</v>
      </c>
      <c r="M547">
        <v>0.99536780453343299</v>
      </c>
      <c r="N547">
        <v>0.99534801432771103</v>
      </c>
      <c r="O547" s="1">
        <v>1.9446480451179301E-9</v>
      </c>
      <c r="P547" s="2">
        <f t="shared" si="26"/>
        <v>0.20140006491185275</v>
      </c>
    </row>
    <row r="548" spans="2:16" x14ac:dyDescent="0.25">
      <c r="B548">
        <v>547</v>
      </c>
      <c r="C548">
        <v>-0.26759607172510702</v>
      </c>
      <c r="D548">
        <v>-7.4205794789149696E-2</v>
      </c>
      <c r="E548">
        <v>0.286430630410835</v>
      </c>
      <c r="F548">
        <f t="shared" si="24"/>
        <v>-0.19339027693595734</v>
      </c>
      <c r="G548" s="2">
        <f t="shared" si="25"/>
        <v>0.13057192647211913</v>
      </c>
      <c r="M548">
        <v>0.23159545470117601</v>
      </c>
      <c r="N548">
        <v>0.23156296833909501</v>
      </c>
      <c r="O548" s="1">
        <v>7.5226781244070703E-10</v>
      </c>
      <c r="P548" s="2">
        <f t="shared" si="26"/>
        <v>1.4029095806105185</v>
      </c>
    </row>
    <row r="549" spans="2:16" x14ac:dyDescent="0.25">
      <c r="B549">
        <v>548</v>
      </c>
      <c r="C549">
        <v>-0.35007902551674802</v>
      </c>
      <c r="D549">
        <v>-3.4299637816746699E-2</v>
      </c>
      <c r="E549">
        <v>0.490221296427025</v>
      </c>
      <c r="F549">
        <f t="shared" si="24"/>
        <v>-0.3157793877000013</v>
      </c>
      <c r="G549" s="2">
        <f t="shared" si="25"/>
        <v>0.20341144381725507</v>
      </c>
      <c r="M549">
        <v>0.99520780855008495</v>
      </c>
      <c r="N549">
        <v>0.99516734474503898</v>
      </c>
      <c r="O549" s="1">
        <v>1.67053502964265E-9</v>
      </c>
      <c r="P549" s="2">
        <f t="shared" si="26"/>
        <v>0.98011684265495513</v>
      </c>
    </row>
    <row r="550" spans="2:16" x14ac:dyDescent="0.25">
      <c r="B550">
        <v>549</v>
      </c>
      <c r="C550">
        <v>-0.29781890437693198</v>
      </c>
      <c r="D550">
        <v>-5.8991324226734997E-2</v>
      </c>
      <c r="E550">
        <v>0.35478439921710497</v>
      </c>
      <c r="F550">
        <f t="shared" si="24"/>
        <v>-0.23882758015019698</v>
      </c>
      <c r="G550" s="2">
        <f t="shared" si="25"/>
        <v>0.16076978910646755</v>
      </c>
      <c r="M550">
        <v>0.23153079348878799</v>
      </c>
      <c r="N550">
        <v>0.23154595612171999</v>
      </c>
      <c r="O550" s="1">
        <v>9.8124315313192292E-10</v>
      </c>
      <c r="P550" s="2">
        <f t="shared" si="26"/>
        <v>0.23430016983730081</v>
      </c>
    </row>
    <row r="551" spans="2:16" x14ac:dyDescent="0.25">
      <c r="B551">
        <v>550</v>
      </c>
      <c r="C551">
        <v>-0.31833673896025499</v>
      </c>
      <c r="D551">
        <v>-5.9842050065225E-2</v>
      </c>
      <c r="E551">
        <v>0.405353117487398</v>
      </c>
      <c r="F551">
        <f t="shared" si="24"/>
        <v>-0.25849468889503002</v>
      </c>
      <c r="G551" s="2">
        <f t="shared" si="25"/>
        <v>0.16484270455627051</v>
      </c>
      <c r="M551">
        <v>0.99520012751632703</v>
      </c>
      <c r="N551">
        <v>0.99521660365086095</v>
      </c>
      <c r="O551" s="1">
        <v>1.9830897757884702E-9</v>
      </c>
      <c r="P551" s="2">
        <f t="shared" si="26"/>
        <v>0.13688891571846792</v>
      </c>
    </row>
    <row r="552" spans="2:16" x14ac:dyDescent="0.25">
      <c r="B552">
        <v>551</v>
      </c>
      <c r="C552">
        <v>-0.39110907270092798</v>
      </c>
      <c r="D552">
        <v>-0.35428050931331301</v>
      </c>
      <c r="E552">
        <v>0.61186522699592005</v>
      </c>
      <c r="F552">
        <f t="shared" si="24"/>
        <v>-3.6828563387614976E-2</v>
      </c>
      <c r="G552" s="2">
        <f t="shared" si="25"/>
        <v>2.2167350281610599E-3</v>
      </c>
      <c r="M552">
        <v>0.231518967736663</v>
      </c>
      <c r="N552">
        <v>0.23153837833218099</v>
      </c>
      <c r="O552" s="1">
        <v>5.0945503567648198E-10</v>
      </c>
      <c r="P552" s="2">
        <f t="shared" si="26"/>
        <v>0.73955735438526504</v>
      </c>
    </row>
    <row r="553" spans="2:16" x14ac:dyDescent="0.25">
      <c r="B553">
        <v>552</v>
      </c>
      <c r="C553">
        <v>-0.33211153713039898</v>
      </c>
      <c r="D553">
        <v>-0.32967868093368902</v>
      </c>
      <c r="E553">
        <v>0.44119229238046498</v>
      </c>
      <c r="F553">
        <f t="shared" si="24"/>
        <v>-2.4328561967099649E-3</v>
      </c>
      <c r="G553" s="2">
        <f t="shared" si="25"/>
        <v>1.3415441239771183E-5</v>
      </c>
      <c r="M553">
        <v>0.99519392462927803</v>
      </c>
      <c r="N553">
        <v>0.99523854710408</v>
      </c>
      <c r="O553" s="1">
        <v>3.41098044871629E-9</v>
      </c>
      <c r="P553" s="2">
        <f t="shared" si="26"/>
        <v>0.58375158913672076</v>
      </c>
    </row>
    <row r="554" spans="2:16" x14ac:dyDescent="0.25">
      <c r="B554">
        <v>553</v>
      </c>
      <c r="C554">
        <v>-0.26431647547086901</v>
      </c>
      <c r="D554">
        <v>-0.315863584331597</v>
      </c>
      <c r="E554">
        <v>0.27945279682136898</v>
      </c>
      <c r="F554">
        <f t="shared" si="24"/>
        <v>5.1547108860727997E-2</v>
      </c>
      <c r="G554" s="2">
        <f t="shared" si="25"/>
        <v>9.5082406120923883E-3</v>
      </c>
      <c r="M554">
        <v>0.23173299847920201</v>
      </c>
      <c r="N554">
        <v>0.231702769602083</v>
      </c>
      <c r="O554" s="1">
        <v>1.61246997907115E-9</v>
      </c>
      <c r="P554" s="2">
        <f t="shared" si="26"/>
        <v>0.56669893004926419</v>
      </c>
    </row>
    <row r="555" spans="2:16" x14ac:dyDescent="0.25">
      <c r="B555">
        <v>554</v>
      </c>
      <c r="C555">
        <v>-0.37634555254000601</v>
      </c>
      <c r="D555">
        <v>-0.29205047623570102</v>
      </c>
      <c r="E555">
        <v>0.56654389966657104</v>
      </c>
      <c r="F555">
        <f t="shared" si="24"/>
        <v>-8.4295076304304994E-2</v>
      </c>
      <c r="G555" s="2">
        <f t="shared" si="25"/>
        <v>1.2542117024524501E-2</v>
      </c>
      <c r="M555">
        <v>0.99479803303422198</v>
      </c>
      <c r="N555">
        <v>0.99476277921824496</v>
      </c>
      <c r="O555" s="1">
        <v>7.6742069276015707E-9</v>
      </c>
      <c r="P555" s="2">
        <f t="shared" si="26"/>
        <v>0.16194918284931986</v>
      </c>
    </row>
    <row r="556" spans="2:16" x14ac:dyDescent="0.25">
      <c r="B556">
        <v>555</v>
      </c>
      <c r="C556">
        <v>-0.31405543365488398</v>
      </c>
      <c r="D556">
        <v>-0.27904079398485099</v>
      </c>
      <c r="E556">
        <v>0.39452326163262902</v>
      </c>
      <c r="F556">
        <f t="shared" si="24"/>
        <v>-3.5014639670032988E-2</v>
      </c>
      <c r="G556" s="2">
        <f t="shared" si="25"/>
        <v>3.1076114147203164E-3</v>
      </c>
      <c r="M556">
        <v>2.3135142984232</v>
      </c>
      <c r="N556">
        <v>2.31331364315034</v>
      </c>
      <c r="O556" s="1">
        <v>6.77442218090903E-8</v>
      </c>
      <c r="P556" s="2">
        <f t="shared" si="26"/>
        <v>0.59433170019968684</v>
      </c>
    </row>
    <row r="557" spans="2:16" x14ac:dyDescent="0.25">
      <c r="B557">
        <v>556</v>
      </c>
      <c r="C557">
        <v>-0.32311053185245497</v>
      </c>
      <c r="D557">
        <v>-0.24996121797745799</v>
      </c>
      <c r="E557">
        <v>0.41760166317590403</v>
      </c>
      <c r="F557">
        <f t="shared" si="24"/>
        <v>-7.3149313874996985E-2</v>
      </c>
      <c r="G557" s="2">
        <f t="shared" si="25"/>
        <v>1.2813220329845597E-2</v>
      </c>
      <c r="M557">
        <v>1.08199141231648</v>
      </c>
      <c r="N557">
        <v>1.0817165821478401</v>
      </c>
      <c r="O557" s="1">
        <v>2.5778447356735199E-8</v>
      </c>
      <c r="P557" s="2">
        <f t="shared" si="26"/>
        <v>2.9300299024767678</v>
      </c>
    </row>
    <row r="558" spans="2:16" x14ac:dyDescent="0.25">
      <c r="B558">
        <v>557</v>
      </c>
      <c r="C558">
        <v>-0.40147363500629701</v>
      </c>
      <c r="D558">
        <v>-0.23092829976903401</v>
      </c>
      <c r="E558">
        <v>0.64472431842067701</v>
      </c>
      <c r="F558">
        <f t="shared" si="24"/>
        <v>-0.17054533523726301</v>
      </c>
      <c r="G558" s="2">
        <f t="shared" si="25"/>
        <v>4.5113408227626758E-2</v>
      </c>
      <c r="M558">
        <v>2.3176692616012202</v>
      </c>
      <c r="N558">
        <v>2.3174201505742702</v>
      </c>
      <c r="O558" s="1">
        <v>6.1606875580764501E-8</v>
      </c>
      <c r="P558" s="2">
        <f t="shared" si="26"/>
        <v>1.0072950975535326</v>
      </c>
    </row>
    <row r="559" spans="2:16" x14ac:dyDescent="0.25">
      <c r="B559">
        <v>558</v>
      </c>
      <c r="C559">
        <v>-0.32737475914585201</v>
      </c>
      <c r="D559">
        <v>-0.21259087542997801</v>
      </c>
      <c r="E559">
        <v>0.42869693170321899</v>
      </c>
      <c r="F559">
        <f t="shared" si="24"/>
        <v>-0.114783883715874</v>
      </c>
      <c r="G559" s="2">
        <f t="shared" si="25"/>
        <v>3.0733459902671737E-2</v>
      </c>
      <c r="M559">
        <v>2.3135563368054699</v>
      </c>
      <c r="N559">
        <v>2.3139684322481799</v>
      </c>
      <c r="O559" s="1">
        <v>7.0711859999306095E-8</v>
      </c>
      <c r="P559" s="2">
        <f t="shared" si="26"/>
        <v>2.401614862118568</v>
      </c>
    </row>
    <row r="560" spans="2:16" x14ac:dyDescent="0.25">
      <c r="B560">
        <v>559</v>
      </c>
      <c r="C560">
        <v>-0.313339356820589</v>
      </c>
      <c r="D560">
        <v>-0.20688791323421801</v>
      </c>
      <c r="E560">
        <v>0.39272621013095999</v>
      </c>
      <c r="F560">
        <f t="shared" si="24"/>
        <v>-0.10645144358637099</v>
      </c>
      <c r="G560" s="2">
        <f t="shared" si="25"/>
        <v>2.8854478130816742E-2</v>
      </c>
      <c r="M560">
        <v>1.0817301031436499</v>
      </c>
      <c r="N560">
        <v>1.0818807375959401</v>
      </c>
      <c r="O560" s="1">
        <v>1.6183029473931199E-8</v>
      </c>
      <c r="P560" s="2">
        <f t="shared" si="26"/>
        <v>1.4021316746224883</v>
      </c>
    </row>
    <row r="561" spans="2:16" x14ac:dyDescent="0.25">
      <c r="B561">
        <v>560</v>
      </c>
      <c r="C561">
        <v>-0.37511310100470002</v>
      </c>
      <c r="D561">
        <v>-0.18483105214964801</v>
      </c>
      <c r="E561">
        <v>0.56283935418145004</v>
      </c>
      <c r="F561">
        <f t="shared" si="24"/>
        <v>-0.19028204885505201</v>
      </c>
      <c r="G561" s="2">
        <f t="shared" si="25"/>
        <v>6.4329649033041461E-2</v>
      </c>
      <c r="M561">
        <v>2.3172018248897701</v>
      </c>
      <c r="N561">
        <v>2.3176450672842699</v>
      </c>
      <c r="O561" s="1">
        <v>5.4991114755785101E-8</v>
      </c>
      <c r="P561" s="2">
        <f t="shared" si="26"/>
        <v>3.5726466203565628</v>
      </c>
    </row>
    <row r="562" spans="2:16" x14ac:dyDescent="0.25">
      <c r="B562">
        <v>561</v>
      </c>
      <c r="C562">
        <v>-0.31393357641173703</v>
      </c>
      <c r="D562">
        <v>-0.14973304890925501</v>
      </c>
      <c r="E562">
        <v>0.39421716159465697</v>
      </c>
      <c r="F562">
        <f t="shared" si="24"/>
        <v>-0.16420052750248201</v>
      </c>
      <c r="G562" s="2">
        <f t="shared" si="25"/>
        <v>6.8393301608254436E-2</v>
      </c>
      <c r="M562">
        <v>2.3133588306212598</v>
      </c>
      <c r="N562">
        <v>2.31368811816137</v>
      </c>
      <c r="O562" s="1">
        <v>3.9580966314322701E-8</v>
      </c>
      <c r="P562" s="2">
        <f t="shared" si="26"/>
        <v>2.739455202047044</v>
      </c>
    </row>
    <row r="563" spans="2:16" x14ac:dyDescent="0.25">
      <c r="B563">
        <v>562</v>
      </c>
      <c r="C563">
        <v>-0.35661726945262801</v>
      </c>
      <c r="D563">
        <v>-0.135278950811133</v>
      </c>
      <c r="E563">
        <v>0.50870350748739301</v>
      </c>
      <c r="F563">
        <f t="shared" si="24"/>
        <v>-0.221338318641495</v>
      </c>
      <c r="G563" s="2">
        <f t="shared" si="25"/>
        <v>9.6304921389318482E-2</v>
      </c>
      <c r="M563">
        <v>1.08159575262741</v>
      </c>
      <c r="N563">
        <v>1.08181046556873</v>
      </c>
      <c r="O563" s="1">
        <v>8.2986255005113599E-9</v>
      </c>
      <c r="P563" s="2">
        <f t="shared" si="26"/>
        <v>5.5553352982863506</v>
      </c>
    </row>
    <row r="564" spans="2:16" x14ac:dyDescent="0.25">
      <c r="B564">
        <v>563</v>
      </c>
      <c r="C564">
        <v>-0.33100503176427398</v>
      </c>
      <c r="D564">
        <v>-0.11816680749304299</v>
      </c>
      <c r="E564">
        <v>0.43825732421307201</v>
      </c>
      <c r="F564">
        <f t="shared" si="24"/>
        <v>-0.212838224271231</v>
      </c>
      <c r="G564" s="2">
        <f t="shared" si="25"/>
        <v>0.10336418174475691</v>
      </c>
      <c r="M564">
        <v>2.3169744550651501</v>
      </c>
      <c r="N564">
        <v>2.3175487859475599</v>
      </c>
      <c r="O564" s="1">
        <v>3.9296417555154401E-8</v>
      </c>
      <c r="P564" s="2">
        <f t="shared" si="26"/>
        <v>8.3940466590017859</v>
      </c>
    </row>
    <row r="565" spans="2:16" x14ac:dyDescent="0.25">
      <c r="B565">
        <v>564</v>
      </c>
      <c r="C565">
        <v>-0.31383214798266901</v>
      </c>
      <c r="D565">
        <v>-0.111486775140467</v>
      </c>
      <c r="E565">
        <v>0.39396246842966198</v>
      </c>
      <c r="F565">
        <f t="shared" si="24"/>
        <v>-0.202345372842202</v>
      </c>
      <c r="G565" s="2">
        <f t="shared" si="25"/>
        <v>0.10392779310641316</v>
      </c>
      <c r="M565">
        <v>2.31437943875537</v>
      </c>
      <c r="N565">
        <v>2.3141624181843499</v>
      </c>
      <c r="O565" s="1">
        <v>4.0573343157366098E-8</v>
      </c>
      <c r="P565" s="2">
        <f t="shared" si="26"/>
        <v>1.1608096494102591</v>
      </c>
    </row>
    <row r="566" spans="2:16" x14ac:dyDescent="0.25">
      <c r="B566">
        <v>565</v>
      </c>
      <c r="C566">
        <v>-0.34223910624168802</v>
      </c>
      <c r="D566">
        <v>-9.9566859705560298E-2</v>
      </c>
      <c r="E566">
        <v>0.46851042336443799</v>
      </c>
      <c r="F566">
        <f t="shared" si="24"/>
        <v>-0.24267224653612773</v>
      </c>
      <c r="G566" s="2">
        <f t="shared" si="25"/>
        <v>0.1256958571294855</v>
      </c>
      <c r="M566">
        <v>1.0820695826870701</v>
      </c>
      <c r="N566">
        <v>1.0819293656800399</v>
      </c>
      <c r="O566" s="1">
        <v>1.41281186103425E-8</v>
      </c>
      <c r="P566" s="2">
        <f t="shared" si="26"/>
        <v>1.3916084372409687</v>
      </c>
    </row>
    <row r="567" spans="2:16" x14ac:dyDescent="0.25">
      <c r="B567">
        <v>566</v>
      </c>
      <c r="C567">
        <v>-0.34614522521817598</v>
      </c>
      <c r="D567">
        <v>-8.7748743742001895E-2</v>
      </c>
      <c r="E567">
        <v>0.47926606776536801</v>
      </c>
      <c r="F567">
        <f t="shared" si="24"/>
        <v>-0.25839648147617411</v>
      </c>
      <c r="G567" s="2">
        <f t="shared" si="25"/>
        <v>0.13931456059592026</v>
      </c>
      <c r="M567">
        <v>2.3180211177555501</v>
      </c>
      <c r="N567">
        <v>2.3177116924322001</v>
      </c>
      <c r="O567" s="1">
        <v>4.35747628922871E-8</v>
      </c>
      <c r="P567" s="2">
        <f t="shared" si="26"/>
        <v>2.1972358396284362</v>
      </c>
    </row>
    <row r="568" spans="2:16" x14ac:dyDescent="0.25">
      <c r="B568">
        <v>567</v>
      </c>
      <c r="C568">
        <v>-0.35744077323877399</v>
      </c>
      <c r="D568">
        <v>-7.8213003265537595E-2</v>
      </c>
      <c r="E568">
        <v>0.51105562549412997</v>
      </c>
      <c r="F568">
        <f t="shared" si="24"/>
        <v>-0.27922776997323639</v>
      </c>
      <c r="G568" s="2">
        <f t="shared" si="25"/>
        <v>0.15256293764272863</v>
      </c>
      <c r="M568">
        <v>2.3144548487054299</v>
      </c>
      <c r="N568">
        <v>2.3145398867384599</v>
      </c>
      <c r="O568" s="1">
        <v>4.60245324687812E-8</v>
      </c>
      <c r="P568" s="2">
        <f t="shared" si="26"/>
        <v>0.15712201023460529</v>
      </c>
    </row>
    <row r="569" spans="2:16" x14ac:dyDescent="0.25">
      <c r="B569">
        <v>568</v>
      </c>
      <c r="C569">
        <v>-0.39465799741702101</v>
      </c>
      <c r="D569">
        <v>-7.6109023313753493E-2</v>
      </c>
      <c r="E569">
        <v>0.623019739700854</v>
      </c>
      <c r="F569">
        <f t="shared" si="24"/>
        <v>-0.31854897410326755</v>
      </c>
      <c r="G569" s="2">
        <f t="shared" si="25"/>
        <v>0.16287356954527185</v>
      </c>
      <c r="M569">
        <v>1.08184856065708</v>
      </c>
      <c r="N569">
        <v>1.0820239834746299</v>
      </c>
      <c r="O569" s="1">
        <v>2.0963907010947701E-8</v>
      </c>
      <c r="P569" s="2">
        <f t="shared" si="26"/>
        <v>1.4679117256661318</v>
      </c>
    </row>
    <row r="570" spans="2:16" x14ac:dyDescent="0.25">
      <c r="B570">
        <v>569</v>
      </c>
      <c r="C570">
        <v>-0.29770578391928998</v>
      </c>
      <c r="D570">
        <v>-7.5142700637339105E-2</v>
      </c>
      <c r="E570">
        <v>0.35451493511599602</v>
      </c>
      <c r="F570">
        <f t="shared" si="24"/>
        <v>-0.22256308328195087</v>
      </c>
      <c r="G570" s="2">
        <f t="shared" si="25"/>
        <v>0.13972422917460769</v>
      </c>
      <c r="M570">
        <v>2.3176922697234401</v>
      </c>
      <c r="N570">
        <v>2.3178413248096201</v>
      </c>
      <c r="O570" s="1">
        <v>6.1168669026617005E-8</v>
      </c>
      <c r="P570" s="2">
        <f t="shared" si="26"/>
        <v>0.36321566366703956</v>
      </c>
    </row>
    <row r="571" spans="2:16" x14ac:dyDescent="0.25">
      <c r="B571">
        <v>570</v>
      </c>
      <c r="C571">
        <v>-0.37283863074429402</v>
      </c>
      <c r="D571">
        <v>-6.8246127548340099E-2</v>
      </c>
      <c r="E571">
        <v>0.55603457830112102</v>
      </c>
      <c r="F571">
        <f t="shared" si="24"/>
        <v>-0.30459250319595393</v>
      </c>
      <c r="G571" s="2">
        <f t="shared" si="25"/>
        <v>0.16685399905639314</v>
      </c>
      <c r="M571">
        <v>2.3144764500912101</v>
      </c>
      <c r="N571">
        <v>2.3142106038288799</v>
      </c>
      <c r="O571" s="1">
        <v>5.79760924919658E-8</v>
      </c>
      <c r="P571" s="2">
        <f t="shared" si="26"/>
        <v>1.2190237761317961</v>
      </c>
    </row>
    <row r="572" spans="2:16" x14ac:dyDescent="0.25">
      <c r="B572">
        <v>571</v>
      </c>
      <c r="C572">
        <v>-0.27951962525562202</v>
      </c>
      <c r="D572">
        <v>-5.2982741808391701E-2</v>
      </c>
      <c r="E572">
        <v>0.31252488361217301</v>
      </c>
      <c r="F572">
        <f t="shared" si="24"/>
        <v>-0.22653688344723033</v>
      </c>
      <c r="G572" s="2">
        <f t="shared" si="25"/>
        <v>0.16420759514838554</v>
      </c>
      <c r="M572">
        <v>1.08200832645001</v>
      </c>
      <c r="N572">
        <v>1.08194144448716</v>
      </c>
      <c r="O572" s="1">
        <v>1.1828815970500601E-8</v>
      </c>
      <c r="P572" s="2">
        <f t="shared" si="26"/>
        <v>0.37816100663179664</v>
      </c>
    </row>
    <row r="573" spans="2:16" x14ac:dyDescent="0.25">
      <c r="B573">
        <v>572</v>
      </c>
      <c r="C573">
        <v>-0.39815576634445998</v>
      </c>
      <c r="D573">
        <v>-4.8778544951891899E-2</v>
      </c>
      <c r="E573">
        <v>0.63411205709337704</v>
      </c>
      <c r="F573">
        <f t="shared" si="24"/>
        <v>-0.3493772213925681</v>
      </c>
      <c r="G573" s="2">
        <f t="shared" si="25"/>
        <v>0.19249664387002308</v>
      </c>
      <c r="M573">
        <v>2.3181048347009301</v>
      </c>
      <c r="N573">
        <v>2.3177282413912699</v>
      </c>
      <c r="O573" s="1">
        <v>3.6563652948605701E-8</v>
      </c>
      <c r="P573" s="2">
        <f t="shared" si="26"/>
        <v>3.8787842418312972</v>
      </c>
    </row>
    <row r="574" spans="2:16" x14ac:dyDescent="0.25">
      <c r="B574">
        <v>573</v>
      </c>
      <c r="C574">
        <v>-0.34518664008891298</v>
      </c>
      <c r="D574">
        <v>-0.30180290615911398</v>
      </c>
      <c r="E574">
        <v>0.47661526598349102</v>
      </c>
      <c r="F574">
        <f t="shared" si="24"/>
        <v>-4.3383733929798995E-2</v>
      </c>
      <c r="G574" s="2">
        <f t="shared" si="25"/>
        <v>3.9489888470269569E-3</v>
      </c>
      <c r="M574">
        <v>2.3149666021474098</v>
      </c>
      <c r="N574">
        <v>2.3147766777822598</v>
      </c>
      <c r="O574" s="1">
        <v>4.1145716937395003E-8</v>
      </c>
      <c r="P574" s="2">
        <f t="shared" si="26"/>
        <v>0.87667118627449314</v>
      </c>
    </row>
    <row r="575" spans="2:16" x14ac:dyDescent="0.25">
      <c r="B575">
        <v>574</v>
      </c>
      <c r="C575">
        <v>-0.24426475840644901</v>
      </c>
      <c r="D575">
        <v>-0.28216560724463602</v>
      </c>
      <c r="E575">
        <v>0.23866108879744399</v>
      </c>
      <c r="F575">
        <f t="shared" si="24"/>
        <v>3.7900848838187007E-2</v>
      </c>
      <c r="G575" s="2">
        <f t="shared" si="25"/>
        <v>6.0188879129528458E-3</v>
      </c>
      <c r="M575">
        <v>1.0821337378739999</v>
      </c>
      <c r="N575">
        <v>1.0820833348223</v>
      </c>
      <c r="O575" s="1">
        <v>1.6071755736350799E-8</v>
      </c>
      <c r="P575" s="2">
        <f t="shared" si="26"/>
        <v>0.15807032301497009</v>
      </c>
    </row>
    <row r="576" spans="2:16" x14ac:dyDescent="0.25">
      <c r="B576">
        <v>575</v>
      </c>
      <c r="C576">
        <v>-0.32325455081760901</v>
      </c>
      <c r="D576">
        <v>-0.26108833953546401</v>
      </c>
      <c r="E576">
        <v>0.41797401849717702</v>
      </c>
      <c r="F576">
        <f t="shared" si="24"/>
        <v>-6.2166211282145001E-2</v>
      </c>
      <c r="G576" s="2">
        <f t="shared" si="25"/>
        <v>9.2461197446472247E-3</v>
      </c>
      <c r="M576">
        <v>2.3182365825238298</v>
      </c>
      <c r="N576">
        <v>2.3179226378335902</v>
      </c>
      <c r="O576" s="1">
        <v>4.3684516289539097E-8</v>
      </c>
      <c r="P576" s="2">
        <f t="shared" si="26"/>
        <v>2.2562060176282457</v>
      </c>
    </row>
    <row r="577" spans="2:16" x14ac:dyDescent="0.25">
      <c r="B577">
        <v>576</v>
      </c>
      <c r="C577">
        <v>-0.29755830906165798</v>
      </c>
      <c r="D577">
        <v>-0.22891219201798901</v>
      </c>
      <c r="E577">
        <v>0.35416378916653202</v>
      </c>
      <c r="F577">
        <f t="shared" si="24"/>
        <v>-6.8646117043668964E-2</v>
      </c>
      <c r="G577" s="2">
        <f t="shared" si="25"/>
        <v>1.3305395778215273E-2</v>
      </c>
      <c r="M577">
        <v>2.3149316099878101</v>
      </c>
      <c r="N577">
        <v>2.31490917463181</v>
      </c>
      <c r="O577" s="1">
        <v>8.8634674595947998E-8</v>
      </c>
      <c r="P577" s="2">
        <f t="shared" si="26"/>
        <v>5.6788745617449938E-3</v>
      </c>
    </row>
    <row r="578" spans="2:16" x14ac:dyDescent="0.25">
      <c r="B578">
        <v>577</v>
      </c>
      <c r="C578">
        <v>-0.24574510254535301</v>
      </c>
      <c r="D578">
        <v>-0.21796440629404201</v>
      </c>
      <c r="E578">
        <v>0.24156262170010501</v>
      </c>
      <c r="F578">
        <f t="shared" si="24"/>
        <v>-2.7780696251310993E-2</v>
      </c>
      <c r="G578" s="2">
        <f t="shared" si="25"/>
        <v>3.194894469914048E-3</v>
      </c>
      <c r="M578">
        <v>1.08211467046164</v>
      </c>
      <c r="N578">
        <v>1.0821165437456799</v>
      </c>
      <c r="O578" s="1">
        <v>2.73816973492116E-8</v>
      </c>
      <c r="P578" s="2">
        <f t="shared" si="26"/>
        <v>1.2815834786813289E-4</v>
      </c>
    </row>
    <row r="579" spans="2:16" x14ac:dyDescent="0.25">
      <c r="B579">
        <v>578</v>
      </c>
      <c r="C579">
        <v>-0.37339274989017601</v>
      </c>
      <c r="D579">
        <v>-0.180390159474383</v>
      </c>
      <c r="E579">
        <v>0.55768858268219101</v>
      </c>
      <c r="F579">
        <f t="shared" ref="F579:F642" si="27">C579-D579</f>
        <v>-0.19300259041579301</v>
      </c>
      <c r="G579" s="2">
        <f t="shared" ref="G579:G642" si="28">F579^2/E579</f>
        <v>6.6793549417944506E-2</v>
      </c>
      <c r="M579">
        <v>2.3179985987601799</v>
      </c>
      <c r="N579">
        <v>2.3179681342959699</v>
      </c>
      <c r="O579" s="1">
        <v>9.3620878216384396E-8</v>
      </c>
      <c r="P579" s="2">
        <f t="shared" ref="P579:P642" si="29">(M579-N579)^2/O579</f>
        <v>9.9132116391242395E-3</v>
      </c>
    </row>
    <row r="580" spans="2:16" x14ac:dyDescent="0.25">
      <c r="B580">
        <v>579</v>
      </c>
      <c r="C580">
        <v>-0.33532802098201903</v>
      </c>
      <c r="D580">
        <v>-0.165318236869543</v>
      </c>
      <c r="E580">
        <v>0.44977952662286902</v>
      </c>
      <c r="F580">
        <f t="shared" si="27"/>
        <v>-0.17000978411247603</v>
      </c>
      <c r="G580" s="2">
        <f t="shared" si="28"/>
        <v>6.4261099012195719E-2</v>
      </c>
      <c r="M580">
        <v>2.31574246503618</v>
      </c>
      <c r="N580">
        <v>2.3158374400738801</v>
      </c>
      <c r="O580" s="1">
        <v>8.6607690894072106E-8</v>
      </c>
      <c r="P580" s="2">
        <f t="shared" si="29"/>
        <v>0.10415077105775562</v>
      </c>
    </row>
    <row r="581" spans="2:16" x14ac:dyDescent="0.25">
      <c r="B581">
        <v>580</v>
      </c>
      <c r="C581">
        <v>-0.31245794070525101</v>
      </c>
      <c r="D581">
        <v>-0.15197201207636701</v>
      </c>
      <c r="E581">
        <v>0.39051985883906498</v>
      </c>
      <c r="F581">
        <f t="shared" si="27"/>
        <v>-0.160485928628884</v>
      </c>
      <c r="G581" s="2">
        <f t="shared" si="28"/>
        <v>6.5952429063253618E-2</v>
      </c>
      <c r="M581">
        <v>1.08239863468211</v>
      </c>
      <c r="N581">
        <v>1.08234917886631</v>
      </c>
      <c r="O581" s="1">
        <v>2.3227751088270999E-8</v>
      </c>
      <c r="P581" s="2">
        <f t="shared" si="29"/>
        <v>0.10529980742193128</v>
      </c>
    </row>
    <row r="582" spans="2:16" x14ac:dyDescent="0.25">
      <c r="B582">
        <v>581</v>
      </c>
      <c r="C582">
        <v>-0.2567222726276</v>
      </c>
      <c r="D582">
        <v>-0.14167505369167299</v>
      </c>
      <c r="E582">
        <v>0.26362530105231902</v>
      </c>
      <c r="F582">
        <f t="shared" si="27"/>
        <v>-0.11504721893592701</v>
      </c>
      <c r="G582" s="2">
        <f t="shared" si="28"/>
        <v>5.020710277828886E-2</v>
      </c>
      <c r="M582">
        <v>2.3181424696040702</v>
      </c>
      <c r="N582">
        <v>2.31828683196456</v>
      </c>
      <c r="O582" s="1">
        <v>1.1418791135778E-7</v>
      </c>
      <c r="P582" s="2">
        <f t="shared" si="29"/>
        <v>0.18251048537770587</v>
      </c>
    </row>
    <row r="583" spans="2:16" x14ac:dyDescent="0.25">
      <c r="B583">
        <v>582</v>
      </c>
      <c r="C583">
        <v>-0.31372510933889602</v>
      </c>
      <c r="D583">
        <v>-0.11909505975649801</v>
      </c>
      <c r="E583">
        <v>0.39369377691880902</v>
      </c>
      <c r="F583">
        <f t="shared" si="27"/>
        <v>-0.19463004958239802</v>
      </c>
      <c r="G583" s="2">
        <f t="shared" si="28"/>
        <v>9.6219088086471921E-2</v>
      </c>
      <c r="M583">
        <v>2.31566090920558</v>
      </c>
      <c r="N583">
        <v>2.3155981482302601</v>
      </c>
      <c r="O583" s="1">
        <v>3.3348772735558399E-8</v>
      </c>
      <c r="P583" s="2">
        <f t="shared" si="29"/>
        <v>0.11811349264142754</v>
      </c>
    </row>
    <row r="584" spans="2:16" x14ac:dyDescent="0.25">
      <c r="B584">
        <v>583</v>
      </c>
      <c r="C584">
        <v>-0.228942911186891</v>
      </c>
      <c r="D584">
        <v>-0.10417654663204901</v>
      </c>
      <c r="E584">
        <v>0.209659426330914</v>
      </c>
      <c r="F584">
        <f t="shared" si="27"/>
        <v>-0.124766364554842</v>
      </c>
      <c r="G584" s="2">
        <f t="shared" si="28"/>
        <v>7.4247297136367546E-2</v>
      </c>
      <c r="M584">
        <v>1.0824249158133199</v>
      </c>
      <c r="N584">
        <v>1.0822892134265101</v>
      </c>
      <c r="O584" s="1">
        <v>1.45939603109236E-8</v>
      </c>
      <c r="P584" s="2">
        <f t="shared" si="29"/>
        <v>1.261832798880419</v>
      </c>
    </row>
    <row r="585" spans="2:16" x14ac:dyDescent="0.25">
      <c r="B585">
        <v>584</v>
      </c>
      <c r="C585">
        <v>-0.222247510668894</v>
      </c>
      <c r="D585">
        <v>-9.3426530348400302E-2</v>
      </c>
      <c r="E585">
        <v>0.197575823994081</v>
      </c>
      <c r="F585">
        <f t="shared" si="27"/>
        <v>-0.12882098032049372</v>
      </c>
      <c r="G585" s="2">
        <f t="shared" si="28"/>
        <v>8.3992285266795502E-2</v>
      </c>
      <c r="M585">
        <v>2.3184042894394001</v>
      </c>
      <c r="N585">
        <v>2.3182046848823799</v>
      </c>
      <c r="O585" s="1">
        <v>4.7689743628004898E-8</v>
      </c>
      <c r="P585" s="2">
        <f t="shared" si="29"/>
        <v>0.83544125323976393</v>
      </c>
    </row>
    <row r="586" spans="2:16" x14ac:dyDescent="0.25">
      <c r="B586">
        <v>585</v>
      </c>
      <c r="C586">
        <v>-0.35508239053916402</v>
      </c>
      <c r="D586">
        <v>-7.8346729171483595E-2</v>
      </c>
      <c r="E586">
        <v>0.50433401628402996</v>
      </c>
      <c r="F586">
        <f t="shared" si="27"/>
        <v>-0.27673566136768041</v>
      </c>
      <c r="G586" s="2">
        <f t="shared" si="28"/>
        <v>0.15184902029189681</v>
      </c>
      <c r="M586">
        <v>2.3167418034281999</v>
      </c>
      <c r="N586">
        <v>2.31713005135193</v>
      </c>
      <c r="O586" s="1">
        <v>5.5070226466538298E-8</v>
      </c>
      <c r="P586" s="2">
        <f t="shared" si="29"/>
        <v>2.7371677937856536</v>
      </c>
    </row>
    <row r="587" spans="2:16" x14ac:dyDescent="0.25">
      <c r="B587">
        <v>586</v>
      </c>
      <c r="C587">
        <v>-0.29726285611445502</v>
      </c>
      <c r="D587">
        <v>-8.20500958172585E-2</v>
      </c>
      <c r="E587">
        <v>0.35346082250129202</v>
      </c>
      <c r="F587">
        <f t="shared" si="27"/>
        <v>-0.21521276029719652</v>
      </c>
      <c r="G587" s="2">
        <f t="shared" si="28"/>
        <v>0.13103724443058823</v>
      </c>
      <c r="M587">
        <v>1.0825364900443499</v>
      </c>
      <c r="N587">
        <v>1.08267305165062</v>
      </c>
      <c r="O587" s="1">
        <v>7.6339114947122006E-9</v>
      </c>
      <c r="P587" s="2">
        <f t="shared" si="29"/>
        <v>2.4429248780234221</v>
      </c>
    </row>
    <row r="588" spans="2:16" x14ac:dyDescent="0.25">
      <c r="B588">
        <v>587</v>
      </c>
      <c r="C588">
        <v>-0.26820997302674499</v>
      </c>
      <c r="D588">
        <v>-7.2007728559857306E-2</v>
      </c>
      <c r="E588">
        <v>0.28774635852402902</v>
      </c>
      <c r="F588">
        <f t="shared" si="27"/>
        <v>-0.19620224446688767</v>
      </c>
      <c r="G588" s="2">
        <f t="shared" si="28"/>
        <v>0.13378212996787481</v>
      </c>
      <c r="M588">
        <v>2.3182560444484999</v>
      </c>
      <c r="N588">
        <v>2.31873047924149</v>
      </c>
      <c r="O588" s="1">
        <v>4.9273456301271402E-8</v>
      </c>
      <c r="P588" s="2">
        <f t="shared" si="29"/>
        <v>4.5681466188072246</v>
      </c>
    </row>
    <row r="589" spans="2:16" x14ac:dyDescent="0.25">
      <c r="B589">
        <v>588</v>
      </c>
      <c r="C589">
        <v>-0.27615016677573401</v>
      </c>
      <c r="D589">
        <v>-5.1093987860275601E-2</v>
      </c>
      <c r="E589">
        <v>0.30503565844106301</v>
      </c>
      <c r="F589">
        <f t="shared" si="27"/>
        <v>-0.2250561789154584</v>
      </c>
      <c r="G589" s="2">
        <f t="shared" si="28"/>
        <v>0.16604709077910357</v>
      </c>
      <c r="M589">
        <v>2.3176856328201101</v>
      </c>
      <c r="N589">
        <v>2.31762704682943</v>
      </c>
      <c r="O589" s="1">
        <v>4.5844832628360801E-8</v>
      </c>
      <c r="P589" s="2">
        <f t="shared" si="29"/>
        <v>7.4868160863230421E-2</v>
      </c>
    </row>
    <row r="590" spans="2:16" x14ac:dyDescent="0.25">
      <c r="B590">
        <v>589</v>
      </c>
      <c r="C590">
        <v>-0.33616745085323402</v>
      </c>
      <c r="D590">
        <v>-5.8928046658389702E-2</v>
      </c>
      <c r="E590">
        <v>0.45203422005264698</v>
      </c>
      <c r="F590">
        <f t="shared" si="27"/>
        <v>-0.27723940419484433</v>
      </c>
      <c r="G590" s="2">
        <f t="shared" si="28"/>
        <v>0.17003510758402413</v>
      </c>
      <c r="M590">
        <v>1.08285356374477</v>
      </c>
      <c r="N590">
        <v>1.0827975550334801</v>
      </c>
      <c r="O590" s="1">
        <v>1.18085540891901E-8</v>
      </c>
      <c r="P590" s="2">
        <f t="shared" si="29"/>
        <v>0.26565282393334083</v>
      </c>
    </row>
    <row r="591" spans="2:16" x14ac:dyDescent="0.25">
      <c r="B591">
        <v>590</v>
      </c>
      <c r="C591">
        <v>-0.30123374881473902</v>
      </c>
      <c r="D591">
        <v>-4.4988236038832202E-2</v>
      </c>
      <c r="E591">
        <v>0.36296708569992597</v>
      </c>
      <c r="F591">
        <f t="shared" si="27"/>
        <v>-0.25624551277590679</v>
      </c>
      <c r="G591" s="2">
        <f t="shared" si="28"/>
        <v>0.18090280194736896</v>
      </c>
      <c r="M591">
        <v>2.31902260385404</v>
      </c>
      <c r="N591">
        <v>2.31890101368236</v>
      </c>
      <c r="O591" s="1">
        <v>4.5362421908076499E-8</v>
      </c>
      <c r="P591" s="2">
        <f t="shared" si="29"/>
        <v>0.32591226895100284</v>
      </c>
    </row>
    <row r="592" spans="2:16" x14ac:dyDescent="0.25">
      <c r="B592">
        <v>591</v>
      </c>
      <c r="C592">
        <v>-0.209927391243144</v>
      </c>
      <c r="D592">
        <v>-0.17057823067839201</v>
      </c>
      <c r="E592">
        <v>0.17627803837660799</v>
      </c>
      <c r="F592">
        <f t="shared" si="27"/>
        <v>-3.9349160564751989E-2</v>
      </c>
      <c r="G592" s="2">
        <f t="shared" si="28"/>
        <v>8.7836037399205546E-3</v>
      </c>
      <c r="M592">
        <v>0.24831133650459999</v>
      </c>
      <c r="N592">
        <v>0.24843914989262</v>
      </c>
      <c r="O592" s="1">
        <v>4.5141612376279804E-9</v>
      </c>
      <c r="P592" s="2">
        <f t="shared" si="29"/>
        <v>3.6188920371257205</v>
      </c>
    </row>
    <row r="593" spans="2:16" x14ac:dyDescent="0.25">
      <c r="B593">
        <v>592</v>
      </c>
      <c r="C593">
        <v>-0.22323426566188301</v>
      </c>
      <c r="D593">
        <v>-0.14695020429608599</v>
      </c>
      <c r="E593">
        <v>0.1993341494624</v>
      </c>
      <c r="F593">
        <f t="shared" si="27"/>
        <v>-7.6284061365797018E-2</v>
      </c>
      <c r="G593" s="2">
        <f t="shared" si="28"/>
        <v>2.9193482572630436E-2</v>
      </c>
      <c r="M593">
        <v>0.99392372775419702</v>
      </c>
      <c r="N593">
        <v>0.99399760081838795</v>
      </c>
      <c r="O593" s="1">
        <v>1.3072858916830901E-8</v>
      </c>
      <c r="P593" s="2">
        <f t="shared" si="29"/>
        <v>0.41744729654594592</v>
      </c>
    </row>
    <row r="594" spans="2:16" x14ac:dyDescent="0.25">
      <c r="B594">
        <v>593</v>
      </c>
      <c r="C594">
        <v>-0.226522474185192</v>
      </c>
      <c r="D594">
        <v>-0.122668397856491</v>
      </c>
      <c r="E594">
        <v>0.20524972524392299</v>
      </c>
      <c r="F594">
        <f t="shared" si="27"/>
        <v>-0.103854076328701</v>
      </c>
      <c r="G594" s="2">
        <f t="shared" si="28"/>
        <v>5.2549006617522841E-2</v>
      </c>
      <c r="M594">
        <v>0.24840382474464201</v>
      </c>
      <c r="N594">
        <v>0.248403817608079</v>
      </c>
      <c r="O594" s="1">
        <v>5.9576139620748001E-9</v>
      </c>
      <c r="P594" s="2">
        <f t="shared" si="29"/>
        <v>8.5488136492506111E-9</v>
      </c>
    </row>
    <row r="595" spans="2:16" x14ac:dyDescent="0.25">
      <c r="B595">
        <v>594</v>
      </c>
      <c r="C595">
        <v>-0.19219905473405599</v>
      </c>
      <c r="D595">
        <v>-0.105597006100215</v>
      </c>
      <c r="E595">
        <v>0.147761906562659</v>
      </c>
      <c r="F595">
        <f t="shared" si="27"/>
        <v>-8.6602048633840994E-2</v>
      </c>
      <c r="G595" s="2">
        <f t="shared" si="28"/>
        <v>5.0756754579352928E-2</v>
      </c>
      <c r="M595">
        <v>0.99440664774952003</v>
      </c>
      <c r="N595">
        <v>0.99409284947054699</v>
      </c>
      <c r="O595" s="1">
        <v>6.8321588793526998E-9</v>
      </c>
      <c r="P595" s="2">
        <f t="shared" si="29"/>
        <v>14.412627344487793</v>
      </c>
    </row>
    <row r="596" spans="2:16" x14ac:dyDescent="0.25">
      <c r="B596">
        <v>595</v>
      </c>
      <c r="C596">
        <v>-0.241311447199517</v>
      </c>
      <c r="D596">
        <v>-8.5480203391638407E-2</v>
      </c>
      <c r="E596">
        <v>0.23292485819810099</v>
      </c>
      <c r="F596">
        <f t="shared" si="27"/>
        <v>-0.15583124380787861</v>
      </c>
      <c r="G596" s="2">
        <f t="shared" si="28"/>
        <v>0.10425412184240834</v>
      </c>
      <c r="M596">
        <v>0.248300866561777</v>
      </c>
      <c r="N596">
        <v>0.24821265318576799</v>
      </c>
      <c r="O596" s="1">
        <v>1.6240126380133899E-9</v>
      </c>
      <c r="P596" s="2">
        <f t="shared" si="29"/>
        <v>4.7915881470141635</v>
      </c>
    </row>
    <row r="597" spans="2:16" x14ac:dyDescent="0.25">
      <c r="B597">
        <v>596</v>
      </c>
      <c r="C597">
        <v>-0.22431907380400201</v>
      </c>
      <c r="D597">
        <v>-7.0307083513062404E-2</v>
      </c>
      <c r="E597">
        <v>0.201276187489141</v>
      </c>
      <c r="F597">
        <f t="shared" si="27"/>
        <v>-0.15401199029093959</v>
      </c>
      <c r="G597" s="2">
        <f t="shared" si="28"/>
        <v>0.11784649465628499</v>
      </c>
      <c r="M597">
        <v>0.99471126424564604</v>
      </c>
      <c r="N597">
        <v>0.99460858336527103</v>
      </c>
      <c r="O597" s="1">
        <v>5.54904998769356E-9</v>
      </c>
      <c r="P597" s="2">
        <f t="shared" si="29"/>
        <v>1.900030314733353</v>
      </c>
    </row>
    <row r="598" spans="2:16" x14ac:dyDescent="0.25">
      <c r="B598">
        <v>597</v>
      </c>
      <c r="C598">
        <v>-0.25543455356292299</v>
      </c>
      <c r="D598">
        <v>-5.2602994903125401E-2</v>
      </c>
      <c r="E598">
        <v>0.26098724461556</v>
      </c>
      <c r="F598">
        <f t="shared" si="27"/>
        <v>-0.2028315586597976</v>
      </c>
      <c r="G598" s="2">
        <f t="shared" si="28"/>
        <v>0.15763468152998814</v>
      </c>
      <c r="M598">
        <v>0.24809090558126601</v>
      </c>
      <c r="N598">
        <v>0.24810130926506299</v>
      </c>
      <c r="O598" s="1">
        <v>8.0882710125919398E-10</v>
      </c>
      <c r="P598" s="2">
        <f t="shared" si="29"/>
        <v>0.13381925059028185</v>
      </c>
    </row>
    <row r="599" spans="2:16" x14ac:dyDescent="0.25">
      <c r="B599">
        <v>598</v>
      </c>
      <c r="C599">
        <v>-0.21680345629685699</v>
      </c>
      <c r="D599">
        <v>-3.6225795828161399E-2</v>
      </c>
      <c r="E599">
        <v>0.18801495464905199</v>
      </c>
      <c r="F599">
        <f t="shared" si="27"/>
        <v>-0.18057766046869558</v>
      </c>
      <c r="G599" s="2">
        <f t="shared" si="28"/>
        <v>0.17343456280493227</v>
      </c>
      <c r="M599">
        <v>0.99487983060919805</v>
      </c>
      <c r="N599">
        <v>0.99490927960040199</v>
      </c>
      <c r="O599" s="1">
        <v>6.5959294610195304E-9</v>
      </c>
      <c r="P599" s="2">
        <f t="shared" si="29"/>
        <v>0.1314815581420227</v>
      </c>
    </row>
    <row r="600" spans="2:16" x14ac:dyDescent="0.25">
      <c r="B600">
        <v>599</v>
      </c>
      <c r="C600">
        <v>-0.23058639068893699</v>
      </c>
      <c r="D600">
        <v>-2.7793816801676401E-2</v>
      </c>
      <c r="E600">
        <v>0.21268033428380401</v>
      </c>
      <c r="F600">
        <f t="shared" si="27"/>
        <v>-0.2027925738872606</v>
      </c>
      <c r="G600" s="2">
        <f t="shared" si="28"/>
        <v>0.19336450717132328</v>
      </c>
      <c r="M600">
        <v>0.24825395774940501</v>
      </c>
      <c r="N600">
        <v>0.24825765503958899</v>
      </c>
      <c r="O600" s="1">
        <v>4.1431658179302004E-9</v>
      </c>
      <c r="P600" s="2">
        <f t="shared" si="29"/>
        <v>3.2993984082008597E-3</v>
      </c>
    </row>
    <row r="601" spans="2:16" x14ac:dyDescent="0.25">
      <c r="B601">
        <v>600</v>
      </c>
      <c r="C601">
        <v>-0.25430615406039597</v>
      </c>
      <c r="D601">
        <v>-0.239839609298481</v>
      </c>
      <c r="E601">
        <v>0.25868647997195898</v>
      </c>
      <c r="F601">
        <f t="shared" si="27"/>
        <v>-1.4466544761914973E-2</v>
      </c>
      <c r="G601" s="2">
        <f t="shared" si="28"/>
        <v>8.0901374270188038E-4</v>
      </c>
      <c r="M601">
        <v>0.99447061288616301</v>
      </c>
      <c r="N601">
        <v>0.994487115071786</v>
      </c>
      <c r="O601" s="1">
        <v>4.0437039459163699E-8</v>
      </c>
      <c r="P601" s="2">
        <f t="shared" si="29"/>
        <v>6.7344725028807883E-3</v>
      </c>
    </row>
    <row r="602" spans="2:16" x14ac:dyDescent="0.25">
      <c r="B602">
        <v>601</v>
      </c>
      <c r="C602">
        <v>-0.236343242065256</v>
      </c>
      <c r="D602">
        <v>-0.218523008952657</v>
      </c>
      <c r="E602">
        <v>0.22343251227966501</v>
      </c>
      <c r="F602">
        <f t="shared" si="27"/>
        <v>-1.7820233112599004E-2</v>
      </c>
      <c r="G602" s="2">
        <f t="shared" si="28"/>
        <v>1.4212824487686332E-3</v>
      </c>
      <c r="M602">
        <v>0.24837929334292699</v>
      </c>
      <c r="N602">
        <v>0.248370567199795</v>
      </c>
      <c r="O602" s="1">
        <v>6.7091211683797303E-9</v>
      </c>
      <c r="P602" s="2">
        <f t="shared" si="29"/>
        <v>1.1349560106158708E-2</v>
      </c>
    </row>
    <row r="603" spans="2:16" x14ac:dyDescent="0.25">
      <c r="B603">
        <v>602</v>
      </c>
      <c r="C603">
        <v>-0.241997798551256</v>
      </c>
      <c r="D603">
        <v>-0.18694071566257001</v>
      </c>
      <c r="E603">
        <v>0.23425173801461799</v>
      </c>
      <c r="F603">
        <f t="shared" si="27"/>
        <v>-5.5057082888685993E-2</v>
      </c>
      <c r="G603" s="2">
        <f t="shared" si="28"/>
        <v>1.2940276993899952E-2</v>
      </c>
      <c r="M603">
        <v>0.99419917495079002</v>
      </c>
      <c r="N603">
        <v>0.99418250652054896</v>
      </c>
      <c r="O603" s="1">
        <v>9.8327765733078306E-9</v>
      </c>
      <c r="P603" s="2">
        <f t="shared" si="29"/>
        <v>2.8256165959814838E-2</v>
      </c>
    </row>
    <row r="604" spans="2:16" x14ac:dyDescent="0.25">
      <c r="B604">
        <v>603</v>
      </c>
      <c r="C604">
        <v>-0.21308930490724701</v>
      </c>
      <c r="D604">
        <v>-0.17046258815349299</v>
      </c>
      <c r="E604">
        <v>0.18162820746341499</v>
      </c>
      <c r="F604">
        <f t="shared" si="27"/>
        <v>-4.2626716753754013E-2</v>
      </c>
      <c r="G604" s="2">
        <f t="shared" si="28"/>
        <v>1.00041563289159E-2</v>
      </c>
      <c r="M604">
        <v>0.24831237057619199</v>
      </c>
      <c r="N604">
        <v>0.24826950122050001</v>
      </c>
      <c r="O604" s="1">
        <v>2.4446097460192299E-9</v>
      </c>
      <c r="P604" s="2">
        <f t="shared" si="29"/>
        <v>0.75176893180510451</v>
      </c>
    </row>
    <row r="605" spans="2:16" x14ac:dyDescent="0.25">
      <c r="B605">
        <v>604</v>
      </c>
      <c r="C605">
        <v>-0.235297333393889</v>
      </c>
      <c r="D605">
        <v>-0.161347691007907</v>
      </c>
      <c r="E605">
        <v>0.22145934040909901</v>
      </c>
      <c r="F605">
        <f t="shared" si="27"/>
        <v>-7.3949642385982006E-2</v>
      </c>
      <c r="G605" s="2">
        <f t="shared" si="28"/>
        <v>2.4693244362205019E-2</v>
      </c>
      <c r="M605">
        <v>0.99455221615636102</v>
      </c>
      <c r="N605">
        <v>0.994455146174412</v>
      </c>
      <c r="O605" s="1">
        <v>4.5682837778743499E-9</v>
      </c>
      <c r="P605" s="2">
        <f t="shared" si="29"/>
        <v>2.0626085973951609</v>
      </c>
    </row>
    <row r="606" spans="2:16" x14ac:dyDescent="0.25">
      <c r="B606">
        <v>605</v>
      </c>
      <c r="C606">
        <v>-0.22418915313145199</v>
      </c>
      <c r="D606">
        <v>-0.15874550415651401</v>
      </c>
      <c r="E606">
        <v>0.20104310552719001</v>
      </c>
      <c r="F606">
        <f t="shared" si="27"/>
        <v>-6.5443648974937985E-2</v>
      </c>
      <c r="G606" s="2">
        <f t="shared" si="28"/>
        <v>2.130324827565731E-2</v>
      </c>
      <c r="M606">
        <v>0.248220729997324</v>
      </c>
      <c r="N606">
        <v>0.24811932467027001</v>
      </c>
      <c r="O606" s="1">
        <v>1.1585640109638601E-9</v>
      </c>
      <c r="P606" s="2">
        <f t="shared" si="29"/>
        <v>8.8756773537031819</v>
      </c>
    </row>
    <row r="607" spans="2:16" x14ac:dyDescent="0.25">
      <c r="B607">
        <v>606</v>
      </c>
      <c r="C607">
        <v>-0.25085199757107701</v>
      </c>
      <c r="D607">
        <v>-0.152741670567133</v>
      </c>
      <c r="E607">
        <v>0.25170689874159802</v>
      </c>
      <c r="F607">
        <f t="shared" si="27"/>
        <v>-9.8110327003944009E-2</v>
      </c>
      <c r="G607" s="2">
        <f t="shared" si="28"/>
        <v>3.8241447941808268E-2</v>
      </c>
      <c r="M607">
        <v>0.99488727624835804</v>
      </c>
      <c r="N607">
        <v>0.99486061174628004</v>
      </c>
      <c r="O607" s="1">
        <v>3.2474039711637098E-9</v>
      </c>
      <c r="P607" s="2">
        <f t="shared" si="29"/>
        <v>0.21894278549301435</v>
      </c>
    </row>
    <row r="608" spans="2:16" x14ac:dyDescent="0.25">
      <c r="B608">
        <v>607</v>
      </c>
      <c r="C608">
        <v>-0.23779162899015599</v>
      </c>
      <c r="D608">
        <v>-0.16260224389528799</v>
      </c>
      <c r="E608">
        <v>0.22617943527116799</v>
      </c>
      <c r="F608">
        <f t="shared" si="27"/>
        <v>-7.5189385094868E-2</v>
      </c>
      <c r="G608" s="2">
        <f t="shared" si="28"/>
        <v>2.499539192927247E-2</v>
      </c>
      <c r="M608">
        <v>0.24809834176387399</v>
      </c>
      <c r="N608">
        <v>0.24810556533348599</v>
      </c>
      <c r="O608" s="1">
        <v>1.9245149931360602E-9</v>
      </c>
      <c r="P608" s="2">
        <f t="shared" si="29"/>
        <v>2.7113302897338855E-2</v>
      </c>
    </row>
    <row r="609" spans="2:16" x14ac:dyDescent="0.25">
      <c r="B609">
        <v>608</v>
      </c>
      <c r="C609">
        <v>-0.22374864540757</v>
      </c>
      <c r="D609">
        <v>-0.16298047481640099</v>
      </c>
      <c r="E609">
        <v>0.20025382528689001</v>
      </c>
      <c r="F609">
        <f t="shared" si="27"/>
        <v>-6.0768170591169013E-2</v>
      </c>
      <c r="G609" s="2">
        <f t="shared" si="28"/>
        <v>1.8440449523034266E-2</v>
      </c>
      <c r="M609">
        <v>0.99498395645739701</v>
      </c>
      <c r="N609">
        <v>0.99489778147822205</v>
      </c>
      <c r="O609" s="1">
        <v>1.30225962825057E-8</v>
      </c>
      <c r="P609" s="2">
        <f t="shared" si="29"/>
        <v>0.57024934772649871</v>
      </c>
    </row>
    <row r="610" spans="2:16" x14ac:dyDescent="0.25">
      <c r="B610">
        <v>609</v>
      </c>
      <c r="C610">
        <v>-0.181067299915246</v>
      </c>
      <c r="D610">
        <v>-0.16973474835588001</v>
      </c>
      <c r="E610">
        <v>0.131141468394391</v>
      </c>
      <c r="F610">
        <f t="shared" si="27"/>
        <v>-1.1332551559365994E-2</v>
      </c>
      <c r="G610" s="2">
        <f t="shared" si="28"/>
        <v>9.7929912191818593E-4</v>
      </c>
      <c r="M610">
        <v>0.248430428916005</v>
      </c>
      <c r="N610">
        <v>0.248668278801848</v>
      </c>
      <c r="O610" s="1">
        <v>1.0789891559806801E-8</v>
      </c>
      <c r="P610" s="2">
        <f t="shared" si="29"/>
        <v>5.2431081333813214</v>
      </c>
    </row>
    <row r="611" spans="2:16" x14ac:dyDescent="0.25">
      <c r="B611">
        <v>610</v>
      </c>
      <c r="C611">
        <v>-0.221890607239939</v>
      </c>
      <c r="D611">
        <v>-0.18142422660584001</v>
      </c>
      <c r="E611">
        <v>0.196941766325236</v>
      </c>
      <c r="F611">
        <f t="shared" si="27"/>
        <v>-4.0466380634098992E-2</v>
      </c>
      <c r="G611" s="2">
        <f t="shared" si="28"/>
        <v>8.3147825480528858E-3</v>
      </c>
      <c r="M611">
        <v>0.99352858305356695</v>
      </c>
      <c r="N611">
        <v>0.99338046568611804</v>
      </c>
      <c r="O611" s="1">
        <v>2.2223667225110001E-8</v>
      </c>
      <c r="P611" s="2">
        <f t="shared" si="29"/>
        <v>0.98717976280740416</v>
      </c>
    </row>
    <row r="612" spans="2:16" x14ac:dyDescent="0.25">
      <c r="B612">
        <v>611</v>
      </c>
      <c r="C612">
        <v>-0.23231682485466501</v>
      </c>
      <c r="D612">
        <v>-0.17873589619732</v>
      </c>
      <c r="E612">
        <v>0.21588442844221201</v>
      </c>
      <c r="F612">
        <f t="shared" si="27"/>
        <v>-5.3580928657345012E-2</v>
      </c>
      <c r="G612" s="2">
        <f t="shared" si="28"/>
        <v>1.3298392739576321E-2</v>
      </c>
      <c r="M612">
        <v>0.24830064052713699</v>
      </c>
      <c r="N612">
        <v>0.24856925967524199</v>
      </c>
      <c r="O612" s="1">
        <v>5.7648873330127901E-9</v>
      </c>
      <c r="P612" s="2">
        <f t="shared" si="29"/>
        <v>12.516505971495778</v>
      </c>
    </row>
    <row r="613" spans="2:16" x14ac:dyDescent="0.25">
      <c r="B613">
        <v>612</v>
      </c>
      <c r="C613">
        <v>-0.21532558667163601</v>
      </c>
      <c r="D613">
        <v>-0.18757442859776899</v>
      </c>
      <c r="E613">
        <v>0.18546043310193799</v>
      </c>
      <c r="F613">
        <f t="shared" si="27"/>
        <v>-2.7751158073867022E-2</v>
      </c>
      <c r="G613" s="2">
        <f t="shared" si="28"/>
        <v>4.1525125416775879E-3</v>
      </c>
      <c r="M613">
        <v>0.99426857679664404</v>
      </c>
      <c r="N613">
        <v>0.993647046686852</v>
      </c>
      <c r="O613" s="1">
        <v>5.1287462513686797E-9</v>
      </c>
      <c r="P613" s="2">
        <f t="shared" si="29"/>
        <v>75.32048934474436</v>
      </c>
    </row>
    <row r="614" spans="2:16" x14ac:dyDescent="0.25">
      <c r="B614">
        <v>613</v>
      </c>
      <c r="C614">
        <v>-0.21739889988959901</v>
      </c>
      <c r="D614">
        <v>-0.18114433382561199</v>
      </c>
      <c r="E614">
        <v>0.189049126692832</v>
      </c>
      <c r="F614">
        <f t="shared" si="27"/>
        <v>-3.6254566063987026E-2</v>
      </c>
      <c r="G614" s="2">
        <f t="shared" si="28"/>
        <v>6.9526560819486516E-3</v>
      </c>
      <c r="M614">
        <v>0.24836333036152899</v>
      </c>
      <c r="N614">
        <v>0.248256917998745</v>
      </c>
      <c r="O614" s="1">
        <v>2.5571236421064499E-8</v>
      </c>
      <c r="P614" s="2">
        <f t="shared" si="29"/>
        <v>0.44282532009070918</v>
      </c>
    </row>
    <row r="615" spans="2:16" x14ac:dyDescent="0.25">
      <c r="B615">
        <v>614</v>
      </c>
      <c r="C615">
        <v>-0.22298273957308901</v>
      </c>
      <c r="D615">
        <v>-0.18362109708770799</v>
      </c>
      <c r="E615">
        <v>0.19888520859007999</v>
      </c>
      <c r="F615">
        <f t="shared" si="27"/>
        <v>-3.9361642485381015E-2</v>
      </c>
      <c r="G615" s="2">
        <f t="shared" si="28"/>
        <v>7.7901162692308413E-3</v>
      </c>
      <c r="M615">
        <v>0.99451085102133296</v>
      </c>
      <c r="N615">
        <v>0.99448910418394898</v>
      </c>
      <c r="O615" s="1">
        <v>1.4220760312325301E-8</v>
      </c>
      <c r="P615" s="2">
        <f t="shared" si="29"/>
        <v>3.3255952974299292E-2</v>
      </c>
    </row>
    <row r="616" spans="2:16" x14ac:dyDescent="0.25">
      <c r="B616">
        <v>615</v>
      </c>
      <c r="C616">
        <v>-0.227787128377681</v>
      </c>
      <c r="D616">
        <v>-0.188041129983296</v>
      </c>
      <c r="E616">
        <v>0.20754790341820101</v>
      </c>
      <c r="F616">
        <f t="shared" si="27"/>
        <v>-3.9745998394385001E-2</v>
      </c>
      <c r="G616" s="2">
        <f t="shared" si="28"/>
        <v>7.6114687855137293E-3</v>
      </c>
      <c r="M616">
        <v>0.248131923644552</v>
      </c>
      <c r="N616">
        <v>0.248144766837778</v>
      </c>
      <c r="O616" s="1">
        <v>6.6707439334758398E-10</v>
      </c>
      <c r="P616" s="2">
        <f t="shared" si="29"/>
        <v>0.2472701903796593</v>
      </c>
    </row>
    <row r="617" spans="2:16" x14ac:dyDescent="0.25">
      <c r="B617">
        <v>616</v>
      </c>
      <c r="C617">
        <v>-0.21350098618309901</v>
      </c>
      <c r="D617">
        <v>-0.18813103427849001</v>
      </c>
      <c r="E617">
        <v>0.18233068440462299</v>
      </c>
      <c r="F617">
        <f t="shared" si="27"/>
        <v>-2.5369951904609001E-2</v>
      </c>
      <c r="G617" s="2">
        <f t="shared" si="28"/>
        <v>3.5300391798773639E-3</v>
      </c>
      <c r="M617">
        <v>0.99474815022174301</v>
      </c>
      <c r="N617">
        <v>0.99479189088158204</v>
      </c>
      <c r="O617" s="1">
        <v>6.0543703824053197E-9</v>
      </c>
      <c r="P617" s="2">
        <f t="shared" si="29"/>
        <v>0.31601061750598086</v>
      </c>
    </row>
    <row r="618" spans="2:16" x14ac:dyDescent="0.25">
      <c r="B618">
        <v>617</v>
      </c>
      <c r="C618">
        <v>-0.23211834588494301</v>
      </c>
      <c r="D618">
        <v>-0.18098168273221699</v>
      </c>
      <c r="E618">
        <v>0.215515705985448</v>
      </c>
      <c r="F618">
        <f t="shared" si="27"/>
        <v>-5.1136663152726025E-2</v>
      </c>
      <c r="G618" s="2">
        <f t="shared" si="28"/>
        <v>1.2133493039119543E-2</v>
      </c>
      <c r="M618">
        <v>2.3108780231785202</v>
      </c>
      <c r="N618">
        <v>2.3108764728320899</v>
      </c>
      <c r="O618" s="1">
        <v>3.5392637652131802E-8</v>
      </c>
      <c r="P618" s="2">
        <f t="shared" si="29"/>
        <v>6.7911696147371757E-5</v>
      </c>
    </row>
    <row r="619" spans="2:16" x14ac:dyDescent="0.25">
      <c r="B619">
        <v>618</v>
      </c>
      <c r="C619">
        <v>-0.21076715257339301</v>
      </c>
      <c r="D619">
        <v>-0.18468407109104701</v>
      </c>
      <c r="E619">
        <v>0.17769117041558399</v>
      </c>
      <c r="F619">
        <f t="shared" si="27"/>
        <v>-2.6083081482346004E-2</v>
      </c>
      <c r="G619" s="2">
        <f t="shared" si="28"/>
        <v>3.8287053769951113E-3</v>
      </c>
      <c r="M619">
        <v>1.0806135132760799</v>
      </c>
      <c r="N619">
        <v>1.08056152819539</v>
      </c>
      <c r="O619" s="1">
        <v>9.0079324477365306E-9</v>
      </c>
      <c r="P619" s="2">
        <f t="shared" si="29"/>
        <v>0.30000764659572149</v>
      </c>
    </row>
    <row r="620" spans="2:16" x14ac:dyDescent="0.25">
      <c r="B620">
        <v>619</v>
      </c>
      <c r="C620">
        <v>-0.193368524307519</v>
      </c>
      <c r="D620">
        <v>-0.18450904900345</v>
      </c>
      <c r="E620">
        <v>0.14956554477147099</v>
      </c>
      <c r="F620">
        <f t="shared" si="27"/>
        <v>-8.8594753040689977E-3</v>
      </c>
      <c r="G620" s="2">
        <f t="shared" si="28"/>
        <v>5.2478866562040004E-4</v>
      </c>
      <c r="M620">
        <v>2.3162925018877001</v>
      </c>
      <c r="N620">
        <v>2.3162849390294902</v>
      </c>
      <c r="O620" s="1">
        <v>4.7967992676889102E-8</v>
      </c>
      <c r="P620" s="2">
        <f t="shared" si="29"/>
        <v>1.1923956186463134E-3</v>
      </c>
    </row>
    <row r="621" spans="2:16" x14ac:dyDescent="0.25">
      <c r="B621">
        <v>620</v>
      </c>
      <c r="C621">
        <v>-0.16701650823426101</v>
      </c>
      <c r="D621">
        <v>-0.20104234073513799</v>
      </c>
      <c r="E621">
        <v>0.11157805609106</v>
      </c>
      <c r="F621">
        <f t="shared" si="27"/>
        <v>3.4025832500876985E-2</v>
      </c>
      <c r="G621" s="2">
        <f t="shared" si="28"/>
        <v>1.0376209426277143E-2</v>
      </c>
      <c r="M621">
        <v>2.3106753142182899</v>
      </c>
      <c r="N621">
        <v>2.3108067278597901</v>
      </c>
      <c r="O621" s="1">
        <v>2.1131400660615899E-8</v>
      </c>
      <c r="P621" s="2">
        <f t="shared" si="29"/>
        <v>0.81724564546007783</v>
      </c>
    </row>
    <row r="622" spans="2:16" x14ac:dyDescent="0.25">
      <c r="B622">
        <v>621</v>
      </c>
      <c r="C622">
        <v>-0.21316967191942601</v>
      </c>
      <c r="D622">
        <v>-0.17617156857944599</v>
      </c>
      <c r="E622">
        <v>0.181765236104942</v>
      </c>
      <c r="F622">
        <f t="shared" si="27"/>
        <v>-3.6998103339980021E-2</v>
      </c>
      <c r="G622" s="2">
        <f t="shared" si="28"/>
        <v>7.5309210940948624E-3</v>
      </c>
      <c r="M622">
        <v>1.0802241058870701</v>
      </c>
      <c r="N622">
        <v>1.08054014851854</v>
      </c>
      <c r="O622" s="1">
        <v>1.3474973949932499E-8</v>
      </c>
      <c r="P622" s="2">
        <f t="shared" si="29"/>
        <v>7.4124777738004308</v>
      </c>
    </row>
    <row r="623" spans="2:16" x14ac:dyDescent="0.25">
      <c r="B623">
        <v>622</v>
      </c>
      <c r="C623">
        <v>-0.215453105397272</v>
      </c>
      <c r="D623">
        <v>-0.171021485132445</v>
      </c>
      <c r="E623">
        <v>0.185680162501312</v>
      </c>
      <c r="F623">
        <f t="shared" si="27"/>
        <v>-4.4431620264826999E-2</v>
      </c>
      <c r="G623" s="2">
        <f t="shared" si="28"/>
        <v>1.0632093664522916E-2</v>
      </c>
      <c r="M623">
        <v>2.3161617998017801</v>
      </c>
      <c r="N623">
        <v>2.3162573623163798</v>
      </c>
      <c r="O623" s="1">
        <v>4.01789738858471E-8</v>
      </c>
      <c r="P623" s="2">
        <f t="shared" si="29"/>
        <v>0.22728788999370875</v>
      </c>
    </row>
    <row r="624" spans="2:16" x14ac:dyDescent="0.25">
      <c r="B624">
        <v>623</v>
      </c>
      <c r="C624">
        <v>-0.17347959402658999</v>
      </c>
      <c r="D624">
        <v>-0.15898663774674299</v>
      </c>
      <c r="E624">
        <v>0.120380678174522</v>
      </c>
      <c r="F624">
        <f t="shared" si="27"/>
        <v>-1.4492956279847008E-2</v>
      </c>
      <c r="G624" s="2">
        <f t="shared" si="28"/>
        <v>1.7448463068553473E-3</v>
      </c>
      <c r="M624">
        <v>2.3113146960326501</v>
      </c>
      <c r="N624">
        <v>2.3114073492778999</v>
      </c>
      <c r="O624" s="1">
        <v>2.3957369903493E-8</v>
      </c>
      <c r="P624" s="2">
        <f t="shared" si="29"/>
        <v>0.35832914422219891</v>
      </c>
    </row>
    <row r="625" spans="2:16" x14ac:dyDescent="0.25">
      <c r="B625">
        <v>624</v>
      </c>
      <c r="C625">
        <v>-0.20576820118570299</v>
      </c>
      <c r="D625">
        <v>-0.142534080153221</v>
      </c>
      <c r="E625">
        <v>0.1693622104768</v>
      </c>
      <c r="F625">
        <f t="shared" si="27"/>
        <v>-6.3234121032481994E-2</v>
      </c>
      <c r="G625" s="2">
        <f t="shared" si="28"/>
        <v>2.3609482017821922E-2</v>
      </c>
      <c r="M625">
        <v>1.08061231034284</v>
      </c>
      <c r="N625">
        <v>1.0807242561811801</v>
      </c>
      <c r="O625" s="1">
        <v>6.6554661140348003E-9</v>
      </c>
      <c r="P625" s="2">
        <f t="shared" si="29"/>
        <v>1.8829441104408142</v>
      </c>
    </row>
    <row r="626" spans="2:16" x14ac:dyDescent="0.25">
      <c r="B626">
        <v>625</v>
      </c>
      <c r="C626">
        <v>-0.22784003747500101</v>
      </c>
      <c r="D626">
        <v>-0.125327101346697</v>
      </c>
      <c r="E626">
        <v>0.20764433070644001</v>
      </c>
      <c r="F626">
        <f t="shared" si="27"/>
        <v>-0.10251293612830401</v>
      </c>
      <c r="G626" s="2">
        <f t="shared" si="28"/>
        <v>5.0610108341955354E-2</v>
      </c>
      <c r="M626">
        <v>2.3163456914640999</v>
      </c>
      <c r="N626">
        <v>2.3164948276429902</v>
      </c>
      <c r="O626" s="1">
        <v>3.2776721564819903E-8</v>
      </c>
      <c r="P626" s="2">
        <f t="shared" si="29"/>
        <v>0.67857914984042567</v>
      </c>
    </row>
    <row r="627" spans="2:16" x14ac:dyDescent="0.25">
      <c r="B627">
        <v>626</v>
      </c>
      <c r="C627">
        <v>-0.172167368864799</v>
      </c>
      <c r="D627">
        <v>-0.12891443888330301</v>
      </c>
      <c r="E627">
        <v>0.118566411607311</v>
      </c>
      <c r="F627">
        <f t="shared" si="27"/>
        <v>-4.3252929981495991E-2</v>
      </c>
      <c r="G627" s="2">
        <f t="shared" si="28"/>
        <v>1.5778633481632984E-2</v>
      </c>
      <c r="M627">
        <v>2.31144986051837</v>
      </c>
      <c r="N627">
        <v>2.3114433183004599</v>
      </c>
      <c r="O627" s="1">
        <v>2.7829712373009701E-8</v>
      </c>
      <c r="P627" s="2">
        <f t="shared" si="29"/>
        <v>1.5379467315100161E-3</v>
      </c>
    </row>
    <row r="628" spans="2:16" x14ac:dyDescent="0.25">
      <c r="B628">
        <v>627</v>
      </c>
      <c r="C628">
        <v>-0.182088458174884</v>
      </c>
      <c r="D628">
        <v>-0.112301670542463</v>
      </c>
      <c r="E628">
        <v>0.132624826402026</v>
      </c>
      <c r="F628">
        <f t="shared" si="27"/>
        <v>-6.9786787632421007E-2</v>
      </c>
      <c r="G628" s="2">
        <f t="shared" si="28"/>
        <v>3.6721599267467403E-2</v>
      </c>
      <c r="M628">
        <v>1.0805183227567501</v>
      </c>
      <c r="N628">
        <v>1.08073528119353</v>
      </c>
      <c r="O628" s="1">
        <v>7.6197987379022099E-9</v>
      </c>
      <c r="P628" s="2">
        <f t="shared" si="29"/>
        <v>6.1774549314345801</v>
      </c>
    </row>
    <row r="629" spans="2:16" x14ac:dyDescent="0.25">
      <c r="B629">
        <v>628</v>
      </c>
      <c r="C629">
        <v>-0.204441506515675</v>
      </c>
      <c r="D629">
        <v>-8.7982401324245604E-2</v>
      </c>
      <c r="E629">
        <v>0.167185318345595</v>
      </c>
      <c r="F629">
        <f t="shared" si="27"/>
        <v>-0.11645910519142939</v>
      </c>
      <c r="G629" s="2">
        <f t="shared" si="28"/>
        <v>8.1123888845026484E-2</v>
      </c>
      <c r="M629">
        <v>2.31635645330838</v>
      </c>
      <c r="N629">
        <v>2.3165090473880201</v>
      </c>
      <c r="O629" s="1">
        <v>3.3637717521963499E-8</v>
      </c>
      <c r="P629" s="2">
        <f t="shared" si="29"/>
        <v>0.69222750104845232</v>
      </c>
    </row>
    <row r="630" spans="2:16" x14ac:dyDescent="0.25">
      <c r="B630">
        <v>629</v>
      </c>
      <c r="C630">
        <v>-0.21677899139326401</v>
      </c>
      <c r="D630">
        <v>-8.4540576959760999E-2</v>
      </c>
      <c r="E630">
        <v>0.187972524437924</v>
      </c>
      <c r="F630">
        <f t="shared" si="27"/>
        <v>-0.13223841443350301</v>
      </c>
      <c r="G630" s="2">
        <f t="shared" si="28"/>
        <v>9.3029544100535808E-2</v>
      </c>
      <c r="M630">
        <v>2.31161334718198</v>
      </c>
      <c r="N630">
        <v>2.3115600726858299</v>
      </c>
      <c r="O630" s="1">
        <v>3.0033697715706202E-8</v>
      </c>
      <c r="P630" s="2">
        <f t="shared" si="29"/>
        <v>9.449958399774995E-2</v>
      </c>
    </row>
    <row r="631" spans="2:16" x14ac:dyDescent="0.25">
      <c r="B631">
        <v>630</v>
      </c>
      <c r="C631">
        <v>-0.14665645722224699</v>
      </c>
      <c r="D631">
        <v>-0.101780871246161</v>
      </c>
      <c r="E631">
        <v>8.6032465779923198E-2</v>
      </c>
      <c r="F631">
        <f t="shared" si="27"/>
        <v>-4.4875585976085985E-2</v>
      </c>
      <c r="G631" s="2">
        <f t="shared" si="28"/>
        <v>2.3407654290051004E-2</v>
      </c>
      <c r="M631">
        <v>1.08087201369791</v>
      </c>
      <c r="N631">
        <v>1.0807710676509199</v>
      </c>
      <c r="O631" s="1">
        <v>8.6654839621895798E-9</v>
      </c>
      <c r="P631" s="2">
        <f t="shared" si="29"/>
        <v>1.1759417532112575</v>
      </c>
    </row>
    <row r="632" spans="2:16" x14ac:dyDescent="0.25">
      <c r="B632">
        <v>631</v>
      </c>
      <c r="C632">
        <v>-0.199447030320483</v>
      </c>
      <c r="D632">
        <v>-8.3816046459334798E-2</v>
      </c>
      <c r="E632">
        <v>0.15911647161463899</v>
      </c>
      <c r="F632">
        <f t="shared" si="27"/>
        <v>-0.1156309838611482</v>
      </c>
      <c r="G632" s="2">
        <f t="shared" si="28"/>
        <v>8.4029794609064248E-2</v>
      </c>
      <c r="M632">
        <v>2.3167806686759098</v>
      </c>
      <c r="N632">
        <v>2.3165552033372498</v>
      </c>
      <c r="O632" s="1">
        <v>1.74857931999313E-8</v>
      </c>
      <c r="P632" s="2">
        <f t="shared" si="29"/>
        <v>2.9071954789705696</v>
      </c>
    </row>
    <row r="633" spans="2:16" x14ac:dyDescent="0.25">
      <c r="B633">
        <v>632</v>
      </c>
      <c r="C633">
        <v>-0.183044836217783</v>
      </c>
      <c r="D633">
        <v>-8.8408999915278202E-2</v>
      </c>
      <c r="E633">
        <v>0.13402164826398</v>
      </c>
      <c r="F633">
        <f t="shared" si="27"/>
        <v>-9.46358363025048E-2</v>
      </c>
      <c r="G633" s="2">
        <f t="shared" si="28"/>
        <v>6.6824588629399106E-2</v>
      </c>
      <c r="M633">
        <v>2.3119471475454199</v>
      </c>
      <c r="N633">
        <v>2.3118289341858</v>
      </c>
      <c r="O633" s="1">
        <v>2.8761207620049801E-8</v>
      </c>
      <c r="P633" s="2">
        <f t="shared" si="29"/>
        <v>0.48587662163605683</v>
      </c>
    </row>
    <row r="634" spans="2:16" x14ac:dyDescent="0.25">
      <c r="B634">
        <v>633</v>
      </c>
      <c r="C634">
        <v>-0.333900429457609</v>
      </c>
      <c r="D634">
        <v>-0.32862896534997099</v>
      </c>
      <c r="E634">
        <v>0.44595798716790203</v>
      </c>
      <c r="F634">
        <f t="shared" si="27"/>
        <v>-5.2714641076380131E-3</v>
      </c>
      <c r="G634" s="2">
        <f t="shared" si="28"/>
        <v>6.2311550948079781E-5</v>
      </c>
      <c r="M634">
        <v>1.0807933053855101</v>
      </c>
      <c r="N634">
        <v>1.08085347418468</v>
      </c>
      <c r="O634" s="1">
        <v>1.8011518716063301E-8</v>
      </c>
      <c r="P634" s="2">
        <f t="shared" si="29"/>
        <v>0.20099828618682514</v>
      </c>
    </row>
    <row r="635" spans="2:16" x14ac:dyDescent="0.25">
      <c r="B635">
        <v>634</v>
      </c>
      <c r="C635">
        <v>-0.329376048782209</v>
      </c>
      <c r="D635">
        <v>-0.31508125718126201</v>
      </c>
      <c r="E635">
        <v>0.43395432604552198</v>
      </c>
      <c r="F635">
        <f t="shared" si="27"/>
        <v>-1.4294791600946988E-2</v>
      </c>
      <c r="G635" s="2">
        <f t="shared" si="28"/>
        <v>4.7088150676269347E-4</v>
      </c>
      <c r="M635">
        <v>2.3170307531944498</v>
      </c>
      <c r="N635">
        <v>2.3166614856919399</v>
      </c>
      <c r="O635" s="1">
        <v>2.58392894566621E-8</v>
      </c>
      <c r="P635" s="2">
        <f t="shared" si="29"/>
        <v>5.2771763959942932</v>
      </c>
    </row>
    <row r="636" spans="2:16" x14ac:dyDescent="0.25">
      <c r="B636">
        <v>635</v>
      </c>
      <c r="C636">
        <v>-0.333788343223416</v>
      </c>
      <c r="D636">
        <v>-0.29042371251978399</v>
      </c>
      <c r="E636">
        <v>0.44565863228733099</v>
      </c>
      <c r="F636">
        <f t="shared" si="27"/>
        <v>-4.3364630703632001E-2</v>
      </c>
      <c r="G636" s="2">
        <f t="shared" si="28"/>
        <v>4.2195776314503603E-3</v>
      </c>
      <c r="M636">
        <v>2.31156947049669</v>
      </c>
      <c r="N636">
        <v>2.3117120837808001</v>
      </c>
      <c r="O636" s="1">
        <v>2.3829637908213402E-8</v>
      </c>
      <c r="P636" s="2">
        <f t="shared" si="29"/>
        <v>0.8534980213709894</v>
      </c>
    </row>
    <row r="637" spans="2:16" x14ac:dyDescent="0.25">
      <c r="B637">
        <v>636</v>
      </c>
      <c r="C637">
        <v>-0.33137798022147502</v>
      </c>
      <c r="D637">
        <v>-0.26454987303963201</v>
      </c>
      <c r="E637">
        <v>0.439245463102656</v>
      </c>
      <c r="F637">
        <f t="shared" si="27"/>
        <v>-6.6828107181843011E-2</v>
      </c>
      <c r="G637" s="2">
        <f t="shared" si="28"/>
        <v>1.0167426381508578E-2</v>
      </c>
      <c r="M637">
        <v>1.0806446372976199</v>
      </c>
      <c r="N637">
        <v>1.0808176597307799</v>
      </c>
      <c r="O637" s="1">
        <v>9.5505122343849408E-9</v>
      </c>
      <c r="P637" s="2">
        <f t="shared" si="29"/>
        <v>3.1345713865289828</v>
      </c>
    </row>
    <row r="638" spans="2:16" x14ac:dyDescent="0.25">
      <c r="B638">
        <v>637</v>
      </c>
      <c r="C638">
        <v>-0.31840891502789898</v>
      </c>
      <c r="D638">
        <v>-0.22222796060213301</v>
      </c>
      <c r="E638">
        <v>0.40553694867697598</v>
      </c>
      <c r="F638">
        <f t="shared" si="27"/>
        <v>-9.6180954425765963E-2</v>
      </c>
      <c r="G638" s="2">
        <f t="shared" si="28"/>
        <v>2.2811179164884992E-2</v>
      </c>
      <c r="M638">
        <v>2.3163441421028899</v>
      </c>
      <c r="N638">
        <v>2.3166152950363901</v>
      </c>
      <c r="O638" s="1">
        <v>2.4702943985136701E-8</v>
      </c>
      <c r="P638" s="2">
        <f t="shared" si="29"/>
        <v>2.9763219068144986</v>
      </c>
    </row>
    <row r="639" spans="2:16" x14ac:dyDescent="0.25">
      <c r="B639">
        <v>638</v>
      </c>
      <c r="C639">
        <v>-0.33659662937414703</v>
      </c>
      <c r="D639">
        <v>-0.20861419403978301</v>
      </c>
      <c r="E639">
        <v>0.45318916362414802</v>
      </c>
      <c r="F639">
        <f t="shared" si="27"/>
        <v>-0.12798243533436401</v>
      </c>
      <c r="G639" s="2">
        <f t="shared" si="28"/>
        <v>3.6142752450495468E-2</v>
      </c>
      <c r="M639">
        <v>2.3125353892657299</v>
      </c>
      <c r="N639">
        <v>2.3124650556041901</v>
      </c>
      <c r="O639" s="1">
        <v>2.16247383348249E-8</v>
      </c>
      <c r="P639" s="2">
        <f t="shared" si="29"/>
        <v>0.22875763253148829</v>
      </c>
    </row>
    <row r="640" spans="2:16" x14ac:dyDescent="0.25">
      <c r="B640">
        <v>639</v>
      </c>
      <c r="C640">
        <v>-0.32409342739515401</v>
      </c>
      <c r="D640">
        <v>-0.188151165728938</v>
      </c>
      <c r="E640">
        <v>0.420146198722951</v>
      </c>
      <c r="F640">
        <f t="shared" si="27"/>
        <v>-0.13594226166621601</v>
      </c>
      <c r="G640" s="2">
        <f t="shared" si="28"/>
        <v>4.3985399756316851E-2</v>
      </c>
      <c r="M640">
        <v>1.0811328798456299</v>
      </c>
      <c r="N640">
        <v>1.0810484334014001</v>
      </c>
      <c r="O640" s="1">
        <v>1.26387215016194E-8</v>
      </c>
      <c r="P640" s="2">
        <f t="shared" si="29"/>
        <v>0.5642344395467217</v>
      </c>
    </row>
    <row r="641" spans="2:16" x14ac:dyDescent="0.25">
      <c r="B641">
        <v>640</v>
      </c>
      <c r="C641">
        <v>-0.32384967005785498</v>
      </c>
      <c r="D641">
        <v>-0.17550044403089299</v>
      </c>
      <c r="E641">
        <v>0.41951443518632597</v>
      </c>
      <c r="F641">
        <f t="shared" si="27"/>
        <v>-0.14834922602696199</v>
      </c>
      <c r="G641" s="2">
        <f t="shared" si="28"/>
        <v>5.2459441241930325E-2</v>
      </c>
      <c r="M641">
        <v>2.3170510367322201</v>
      </c>
      <c r="N641">
        <v>2.3169129180100998</v>
      </c>
      <c r="O641" s="1">
        <v>4.2523431872437899E-8</v>
      </c>
      <c r="P641" s="2">
        <f t="shared" si="29"/>
        <v>0.44861810442250183</v>
      </c>
    </row>
    <row r="642" spans="2:16" x14ac:dyDescent="0.25">
      <c r="B642">
        <v>641</v>
      </c>
      <c r="C642">
        <v>-0.33225187653773802</v>
      </c>
      <c r="D642">
        <v>-0.15954352846818501</v>
      </c>
      <c r="E642">
        <v>0.44156523785139301</v>
      </c>
      <c r="F642">
        <f t="shared" si="27"/>
        <v>-0.17270834806955301</v>
      </c>
      <c r="G642" s="2">
        <f t="shared" si="28"/>
        <v>6.7551000250958226E-2</v>
      </c>
      <c r="M642">
        <v>2.3123120725461299</v>
      </c>
      <c r="N642">
        <v>2.3122885924911301</v>
      </c>
      <c r="O642" s="1">
        <v>1.4112148156300401E-8</v>
      </c>
      <c r="P642" s="2">
        <f t="shared" si="29"/>
        <v>3.9066552922364953E-2</v>
      </c>
    </row>
    <row r="643" spans="2:16" x14ac:dyDescent="0.25">
      <c r="B643">
        <v>642</v>
      </c>
      <c r="C643">
        <v>-0.32843744841018502</v>
      </c>
      <c r="D643">
        <v>-0.15658364925934401</v>
      </c>
      <c r="E643">
        <v>0.43148463007277199</v>
      </c>
      <c r="F643">
        <f t="shared" ref="F643:F706" si="30">C643-D643</f>
        <v>-0.17185379915084101</v>
      </c>
      <c r="G643" s="2">
        <f t="shared" ref="G643:G706" si="31">F643^2/E643</f>
        <v>6.844676779702813E-2</v>
      </c>
      <c r="M643">
        <v>1.08106736846148</v>
      </c>
      <c r="N643">
        <v>1.0809943526371599</v>
      </c>
      <c r="O643" s="1">
        <v>3.4130740807088198E-9</v>
      </c>
      <c r="P643" s="2">
        <f t="shared" ref="P643:P706" si="32">(M643-N643)^2/O643</f>
        <v>1.562026043112309</v>
      </c>
    </row>
    <row r="644" spans="2:16" x14ac:dyDescent="0.25">
      <c r="B644">
        <v>643</v>
      </c>
      <c r="C644">
        <v>-0.33210652912801503</v>
      </c>
      <c r="D644">
        <v>-0.12149087474497899</v>
      </c>
      <c r="E644">
        <v>0.44117898675782902</v>
      </c>
      <c r="F644">
        <f t="shared" si="30"/>
        <v>-0.21061565438303603</v>
      </c>
      <c r="G644" s="2">
        <f t="shared" si="31"/>
        <v>0.10054638866003811</v>
      </c>
      <c r="M644">
        <v>2.31689466873758</v>
      </c>
      <c r="N644">
        <v>2.3168431736848398</v>
      </c>
      <c r="O644" s="1">
        <v>1.5889921039114201E-8</v>
      </c>
      <c r="P644" s="2">
        <f t="shared" si="32"/>
        <v>0.16688191528354421</v>
      </c>
    </row>
    <row r="645" spans="2:16" x14ac:dyDescent="0.25">
      <c r="B645">
        <v>644</v>
      </c>
      <c r="C645">
        <v>-0.335272061972893</v>
      </c>
      <c r="D645">
        <v>-0.12408850484629801</v>
      </c>
      <c r="E645">
        <v>0.44962942215822199</v>
      </c>
      <c r="F645">
        <f t="shared" si="30"/>
        <v>-0.21118355712659498</v>
      </c>
      <c r="G645" s="2">
        <f t="shared" si="31"/>
        <v>9.9189449361585275E-2</v>
      </c>
      <c r="M645">
        <v>2.3117496398932502</v>
      </c>
      <c r="N645">
        <v>2.3117840559354499</v>
      </c>
      <c r="O645" s="1">
        <v>1.28109902339101E-8</v>
      </c>
      <c r="P645" s="2">
        <f t="shared" si="32"/>
        <v>9.245686235512289E-2</v>
      </c>
    </row>
    <row r="646" spans="2:16" x14ac:dyDescent="0.25">
      <c r="B646">
        <v>645</v>
      </c>
      <c r="C646">
        <v>-0.32993569687343899</v>
      </c>
      <c r="D646">
        <v>-0.123025000682977</v>
      </c>
      <c r="E646">
        <v>0.43543025628544801</v>
      </c>
      <c r="F646">
        <f t="shared" si="30"/>
        <v>-0.20691069619046198</v>
      </c>
      <c r="G646" s="2">
        <f t="shared" si="31"/>
        <v>9.8321224995343598E-2</v>
      </c>
      <c r="M646">
        <v>1.08088916732983</v>
      </c>
      <c r="N646">
        <v>1.0808397191496799</v>
      </c>
      <c r="O646" s="1">
        <v>6.41906480494692E-9</v>
      </c>
      <c r="P646" s="2">
        <f t="shared" si="32"/>
        <v>0.38091569324386948</v>
      </c>
    </row>
    <row r="647" spans="2:16" x14ac:dyDescent="0.25">
      <c r="B647">
        <v>646</v>
      </c>
      <c r="C647">
        <v>-0.33304246354919298</v>
      </c>
      <c r="D647">
        <v>-0.12120661227467899</v>
      </c>
      <c r="E647">
        <v>0.44366913010766201</v>
      </c>
      <c r="F647">
        <f t="shared" si="30"/>
        <v>-0.21183585127451399</v>
      </c>
      <c r="G647" s="2">
        <f t="shared" si="31"/>
        <v>0.10114390395903508</v>
      </c>
      <c r="M647">
        <v>2.3165958770806201</v>
      </c>
      <c r="N647">
        <v>2.3166437456056799</v>
      </c>
      <c r="O647" s="1">
        <v>1.7157769295240699E-8</v>
      </c>
      <c r="P647" s="2">
        <f t="shared" si="32"/>
        <v>0.13354857802140832</v>
      </c>
    </row>
    <row r="648" spans="2:16" x14ac:dyDescent="0.25">
      <c r="B648">
        <v>647</v>
      </c>
      <c r="C648">
        <v>-0.32200382121554799</v>
      </c>
      <c r="D648">
        <v>-0.122784887214461</v>
      </c>
      <c r="E648">
        <v>0.41474584350965799</v>
      </c>
      <c r="F648">
        <f t="shared" si="30"/>
        <v>-0.19921893400108698</v>
      </c>
      <c r="G648" s="2">
        <f t="shared" si="31"/>
        <v>9.5692782183615169E-2</v>
      </c>
      <c r="M648">
        <v>2.3122522728170498</v>
      </c>
      <c r="N648">
        <v>2.3122946274324101</v>
      </c>
      <c r="O648" s="1">
        <v>9.4179001212542503E-9</v>
      </c>
      <c r="P648" s="2">
        <f t="shared" si="32"/>
        <v>0.19047913220795312</v>
      </c>
    </row>
    <row r="649" spans="2:16" x14ac:dyDescent="0.25">
      <c r="B649">
        <v>648</v>
      </c>
      <c r="C649">
        <v>-0.31711543594395902</v>
      </c>
      <c r="D649">
        <v>-0.11901100650206201</v>
      </c>
      <c r="E649">
        <v>0.40224879885570802</v>
      </c>
      <c r="F649">
        <f t="shared" si="30"/>
        <v>-0.19810442944189702</v>
      </c>
      <c r="G649" s="2">
        <f t="shared" si="31"/>
        <v>9.756490280677603E-2</v>
      </c>
      <c r="M649">
        <v>1.08106253099798</v>
      </c>
      <c r="N649">
        <v>1.08099620219299</v>
      </c>
      <c r="O649" s="1">
        <v>5.4633840657411799E-9</v>
      </c>
      <c r="P649" s="2">
        <f t="shared" si="32"/>
        <v>0.80527202892292193</v>
      </c>
    </row>
    <row r="650" spans="2:16" x14ac:dyDescent="0.25">
      <c r="B650">
        <v>649</v>
      </c>
      <c r="C650">
        <v>-0.330165959534853</v>
      </c>
      <c r="D650">
        <v>-0.11281775919503099</v>
      </c>
      <c r="E650">
        <v>0.43603824334227997</v>
      </c>
      <c r="F650">
        <f t="shared" si="30"/>
        <v>-0.217348200339822</v>
      </c>
      <c r="G650" s="2">
        <f t="shared" si="31"/>
        <v>0.10833967183441957</v>
      </c>
      <c r="M650">
        <v>2.3167872915635201</v>
      </c>
      <c r="N650">
        <v>2.3168455589555701</v>
      </c>
      <c r="O650" s="1">
        <v>1.33046354597602E-8</v>
      </c>
      <c r="P650" s="2">
        <f t="shared" si="32"/>
        <v>0.25518090943347266</v>
      </c>
    </row>
    <row r="651" spans="2:16" x14ac:dyDescent="0.25">
      <c r="B651">
        <v>650</v>
      </c>
      <c r="C651">
        <v>-0.31721949155979801</v>
      </c>
      <c r="D651">
        <v>-0.10931514691494899</v>
      </c>
      <c r="E651">
        <v>0.40251282330182703</v>
      </c>
      <c r="F651">
        <f t="shared" si="30"/>
        <v>-0.20790434464484903</v>
      </c>
      <c r="G651" s="2">
        <f t="shared" si="31"/>
        <v>0.10738593659609245</v>
      </c>
      <c r="M651">
        <v>2.31208901717716</v>
      </c>
      <c r="N651">
        <v>2.3120946462357002</v>
      </c>
      <c r="O651" s="1">
        <v>1.24904810149899E-8</v>
      </c>
      <c r="P651" s="2">
        <f t="shared" si="32"/>
        <v>2.5368358520975361E-3</v>
      </c>
    </row>
    <row r="652" spans="2:16" x14ac:dyDescent="0.25">
      <c r="B652">
        <v>651</v>
      </c>
      <c r="C652">
        <v>-0.31805985129381698</v>
      </c>
      <c r="D652">
        <v>-0.11073096019784801</v>
      </c>
      <c r="E652">
        <v>0.40464827602018</v>
      </c>
      <c r="F652">
        <f t="shared" si="30"/>
        <v>-0.20732889109596897</v>
      </c>
      <c r="G652" s="2">
        <f t="shared" si="31"/>
        <v>0.1062287216588573</v>
      </c>
      <c r="M652">
        <v>1.0809590247820999</v>
      </c>
      <c r="N652">
        <v>1.08093491216314</v>
      </c>
      <c r="O652" s="1">
        <v>3.4049039974495198E-9</v>
      </c>
      <c r="P652" s="2">
        <f t="shared" si="32"/>
        <v>0.17075911495411097</v>
      </c>
    </row>
    <row r="653" spans="2:16" x14ac:dyDescent="0.25">
      <c r="B653">
        <v>652</v>
      </c>
      <c r="C653">
        <v>-0.32661666494143399</v>
      </c>
      <c r="D653">
        <v>-0.106301093453624</v>
      </c>
      <c r="E653">
        <v>0.42671378326985998</v>
      </c>
      <c r="F653">
        <f t="shared" si="30"/>
        <v>-0.22031557148781</v>
      </c>
      <c r="G653" s="2">
        <f t="shared" si="31"/>
        <v>0.11375060507315177</v>
      </c>
      <c r="M653">
        <v>2.3166906899259998</v>
      </c>
      <c r="N653">
        <v>2.3167665156991699</v>
      </c>
      <c r="O653" s="1">
        <v>9.1205830072852895E-9</v>
      </c>
      <c r="P653" s="2">
        <f t="shared" si="32"/>
        <v>0.63039258260714404</v>
      </c>
    </row>
    <row r="654" spans="2:16" x14ac:dyDescent="0.25">
      <c r="B654">
        <v>653</v>
      </c>
      <c r="C654">
        <v>-0.33264722054685297</v>
      </c>
      <c r="D654">
        <v>-0.10898274875746999</v>
      </c>
      <c r="E654">
        <v>0.442616693350186</v>
      </c>
      <c r="F654">
        <f t="shared" si="30"/>
        <v>-0.22366447178938298</v>
      </c>
      <c r="G654" s="2">
        <f t="shared" si="31"/>
        <v>0.11302284051280614</v>
      </c>
      <c r="M654">
        <v>2.3124774156432601</v>
      </c>
      <c r="N654">
        <v>2.3125706755570801</v>
      </c>
      <c r="O654" s="1">
        <v>1.01770041284719E-8</v>
      </c>
      <c r="P654" s="2">
        <f t="shared" si="32"/>
        <v>0.85461412965005801</v>
      </c>
    </row>
    <row r="655" spans="2:16" x14ac:dyDescent="0.25">
      <c r="B655">
        <v>654</v>
      </c>
      <c r="C655">
        <v>-0.31902292179507502</v>
      </c>
      <c r="D655">
        <v>-0.110765758109533</v>
      </c>
      <c r="E655">
        <v>0.407102498522667</v>
      </c>
      <c r="F655">
        <f t="shared" si="30"/>
        <v>-0.20825716368554203</v>
      </c>
      <c r="G655" s="2">
        <f t="shared" si="31"/>
        <v>0.10653593722400551</v>
      </c>
      <c r="M655">
        <v>1.08102888812541</v>
      </c>
      <c r="N655">
        <v>1.0810808021365801</v>
      </c>
      <c r="O655" s="1">
        <v>2.5438281299845802E-9</v>
      </c>
      <c r="P655" s="2">
        <f t="shared" si="32"/>
        <v>1.0594522971118701</v>
      </c>
    </row>
    <row r="656" spans="2:16" x14ac:dyDescent="0.25">
      <c r="B656">
        <v>655</v>
      </c>
      <c r="C656">
        <v>-0.32490845006465102</v>
      </c>
      <c r="D656">
        <v>-0.102415669791555</v>
      </c>
      <c r="E656">
        <v>0.42226200369365402</v>
      </c>
      <c r="F656">
        <f t="shared" si="30"/>
        <v>-0.22249278027309602</v>
      </c>
      <c r="G656" s="2">
        <f t="shared" si="31"/>
        <v>0.11723299004086107</v>
      </c>
      <c r="M656">
        <v>2.3166914109122798</v>
      </c>
      <c r="N656">
        <v>2.3169546611266201</v>
      </c>
      <c r="O656" s="1">
        <v>1.4356870511645E-8</v>
      </c>
      <c r="P656" s="2">
        <f t="shared" si="32"/>
        <v>4.8270042760351277</v>
      </c>
    </row>
    <row r="657" spans="2:16" x14ac:dyDescent="0.25">
      <c r="B657">
        <v>656</v>
      </c>
      <c r="C657">
        <v>-0.31696876765469301</v>
      </c>
      <c r="D657">
        <v>-0.102626824042932</v>
      </c>
      <c r="E657">
        <v>0.401876798674139</v>
      </c>
      <c r="F657">
        <f t="shared" si="30"/>
        <v>-0.21434194361176101</v>
      </c>
      <c r="G657" s="2">
        <f t="shared" si="31"/>
        <v>0.11431978393089494</v>
      </c>
      <c r="M657">
        <v>2.3129153966014</v>
      </c>
      <c r="N657">
        <v>2.3129179778380902</v>
      </c>
      <c r="O657" s="1">
        <v>1.6841145929812E-8</v>
      </c>
      <c r="P657" s="2">
        <f t="shared" si="32"/>
        <v>3.956252667391267E-4</v>
      </c>
    </row>
    <row r="658" spans="2:16" x14ac:dyDescent="0.25">
      <c r="B658">
        <v>657</v>
      </c>
      <c r="C658">
        <v>-0.32563597869678701</v>
      </c>
      <c r="D658">
        <v>-0.10532537498158299</v>
      </c>
      <c r="E658">
        <v>0.42415516248725799</v>
      </c>
      <c r="F658">
        <f t="shared" si="30"/>
        <v>-0.220310603715204</v>
      </c>
      <c r="G658" s="2">
        <f t="shared" si="31"/>
        <v>0.11443161937423253</v>
      </c>
      <c r="M658">
        <v>1.0812654250507601</v>
      </c>
      <c r="N658">
        <v>1.0811872342651001</v>
      </c>
      <c r="O658" s="1">
        <v>4.6077919174440302E-9</v>
      </c>
      <c r="P658" s="2">
        <f t="shared" si="32"/>
        <v>1.326839204473689</v>
      </c>
    </row>
    <row r="659" spans="2:16" x14ac:dyDescent="0.25">
      <c r="B659">
        <v>658</v>
      </c>
      <c r="C659">
        <v>-0.33180898381003898</v>
      </c>
      <c r="D659">
        <v>-0.31725349893973998</v>
      </c>
      <c r="E659">
        <v>0.44038880694820198</v>
      </c>
      <c r="F659">
        <f t="shared" si="30"/>
        <v>-1.4555484870299007E-2</v>
      </c>
      <c r="G659" s="2">
        <f t="shared" si="31"/>
        <v>4.810797560402626E-4</v>
      </c>
      <c r="M659">
        <v>2.3171721707963702</v>
      </c>
      <c r="N659">
        <v>2.31709191379132</v>
      </c>
      <c r="O659" s="1">
        <v>1.4677179925822799E-8</v>
      </c>
      <c r="P659" s="2">
        <f t="shared" si="32"/>
        <v>0.43885725269995429</v>
      </c>
    </row>
    <row r="660" spans="2:16" x14ac:dyDescent="0.25">
      <c r="B660">
        <v>659</v>
      </c>
      <c r="C660">
        <v>-0.33736374492670002</v>
      </c>
      <c r="D660">
        <v>-0.2854868388488</v>
      </c>
      <c r="E660">
        <v>0.45525718556387101</v>
      </c>
      <c r="F660">
        <f t="shared" si="30"/>
        <v>-5.187690607790002E-2</v>
      </c>
      <c r="G660" s="2">
        <f t="shared" si="31"/>
        <v>5.9114133056065556E-3</v>
      </c>
      <c r="M660">
        <v>2.3124324266521499</v>
      </c>
      <c r="N660">
        <v>2.3125670264089502</v>
      </c>
      <c r="O660" s="1">
        <v>2.0742554005100501E-8</v>
      </c>
      <c r="P660" s="2">
        <f t="shared" si="32"/>
        <v>0.87342641249701281</v>
      </c>
    </row>
    <row r="661" spans="2:16" x14ac:dyDescent="0.25">
      <c r="B661">
        <v>660</v>
      </c>
      <c r="C661">
        <v>-0.32733107024152702</v>
      </c>
      <c r="D661">
        <v>-0.243274848151664</v>
      </c>
      <c r="E661">
        <v>0.428582518181854</v>
      </c>
      <c r="F661">
        <f t="shared" si="30"/>
        <v>-8.405622208986302E-2</v>
      </c>
      <c r="G661" s="2">
        <f t="shared" si="31"/>
        <v>1.6485619856809932E-2</v>
      </c>
      <c r="M661">
        <v>1.0810660517360899</v>
      </c>
      <c r="N661">
        <v>1.08107968381178</v>
      </c>
      <c r="O661" s="1">
        <v>4.9613525165933304E-9</v>
      </c>
      <c r="P661" s="2">
        <f t="shared" si="32"/>
        <v>3.7456215215055891E-2</v>
      </c>
    </row>
    <row r="662" spans="2:16" x14ac:dyDescent="0.25">
      <c r="B662">
        <v>661</v>
      </c>
      <c r="C662">
        <v>-0.32806427395162802</v>
      </c>
      <c r="D662">
        <v>-0.211365310505327</v>
      </c>
      <c r="E662">
        <v>0.43050467137363602</v>
      </c>
      <c r="F662">
        <f t="shared" si="30"/>
        <v>-0.11669896344630101</v>
      </c>
      <c r="G662" s="2">
        <f t="shared" si="31"/>
        <v>3.1634147025599732E-2</v>
      </c>
      <c r="M662">
        <v>2.3168282816590802</v>
      </c>
      <c r="N662">
        <v>2.3169532189295898</v>
      </c>
      <c r="O662" s="1">
        <v>1.7059481821210799E-8</v>
      </c>
      <c r="P662" s="2">
        <f t="shared" si="32"/>
        <v>0.91499388586332508</v>
      </c>
    </row>
    <row r="663" spans="2:16" x14ac:dyDescent="0.25">
      <c r="B663">
        <v>662</v>
      </c>
      <c r="C663">
        <v>-0.32330198872020999</v>
      </c>
      <c r="D663">
        <v>-0.17107803012571199</v>
      </c>
      <c r="E663">
        <v>0.41809670364177098</v>
      </c>
      <c r="F663">
        <f t="shared" si="30"/>
        <v>-0.152223958594498</v>
      </c>
      <c r="G663" s="2">
        <f t="shared" si="31"/>
        <v>5.5422904242826886E-2</v>
      </c>
      <c r="M663">
        <v>2.3126515478637</v>
      </c>
      <c r="N663">
        <v>2.3126032790487598</v>
      </c>
      <c r="O663" s="1">
        <v>1.27977711719999E-8</v>
      </c>
      <c r="P663" s="2">
        <f t="shared" si="32"/>
        <v>0.18205345793510952</v>
      </c>
    </row>
    <row r="664" spans="2:16" x14ac:dyDescent="0.25">
      <c r="B664">
        <v>663</v>
      </c>
      <c r="C664">
        <v>-0.32173967402169201</v>
      </c>
      <c r="D664">
        <v>-0.13809944976327301</v>
      </c>
      <c r="E664">
        <v>0.41406567135833899</v>
      </c>
      <c r="F664">
        <f t="shared" si="30"/>
        <v>-0.183640224258419</v>
      </c>
      <c r="G664" s="2">
        <f t="shared" si="31"/>
        <v>8.1445370380625853E-2</v>
      </c>
      <c r="M664">
        <v>1.0811516303284201</v>
      </c>
      <c r="N664">
        <v>1.08109079383697</v>
      </c>
      <c r="O664" s="1">
        <v>3.1659604748650598E-9</v>
      </c>
      <c r="P664" s="2">
        <f t="shared" si="32"/>
        <v>1.1690223934682791</v>
      </c>
    </row>
    <row r="665" spans="2:16" x14ac:dyDescent="0.25">
      <c r="B665">
        <v>664</v>
      </c>
      <c r="C665">
        <v>-0.32183198390866202</v>
      </c>
      <c r="D665">
        <v>-0.11107924214669</v>
      </c>
      <c r="E665">
        <v>0.41430330346633998</v>
      </c>
      <c r="F665">
        <f t="shared" si="30"/>
        <v>-0.21075274176197201</v>
      </c>
      <c r="G665" s="2">
        <f t="shared" si="31"/>
        <v>0.10720821627191561</v>
      </c>
      <c r="M665">
        <v>2.3170356346932901</v>
      </c>
      <c r="N665">
        <v>2.3169675464450301</v>
      </c>
      <c r="O665" s="1">
        <v>1.14019218501894E-8</v>
      </c>
      <c r="P665" s="2">
        <f t="shared" si="32"/>
        <v>0.4065989586691473</v>
      </c>
    </row>
    <row r="666" spans="2:16" x14ac:dyDescent="0.25">
      <c r="B666">
        <v>665</v>
      </c>
      <c r="C666">
        <v>-0.316628850884625</v>
      </c>
      <c r="D666">
        <v>-9.2913574411489105E-2</v>
      </c>
      <c r="E666">
        <v>0.40101531685007102</v>
      </c>
      <c r="F666">
        <f t="shared" si="30"/>
        <v>-0.22371527647313588</v>
      </c>
      <c r="G666" s="2">
        <f t="shared" si="31"/>
        <v>0.12480452198329232</v>
      </c>
      <c r="M666">
        <v>2.3129294308812698</v>
      </c>
      <c r="N666">
        <v>2.3130293520772298</v>
      </c>
      <c r="O666" s="1">
        <v>1.6522562742054798E-8</v>
      </c>
      <c r="P666" s="2">
        <f t="shared" si="32"/>
        <v>0.60427946668767218</v>
      </c>
    </row>
    <row r="667" spans="2:16" x14ac:dyDescent="0.25">
      <c r="B667">
        <v>666</v>
      </c>
      <c r="C667">
        <v>-0.31360454055096398</v>
      </c>
      <c r="D667">
        <v>-7.7590429537940597E-2</v>
      </c>
      <c r="E667">
        <v>0.39339123141672599</v>
      </c>
      <c r="F667">
        <f t="shared" si="30"/>
        <v>-0.23601411101302339</v>
      </c>
      <c r="G667" s="2">
        <f t="shared" si="31"/>
        <v>0.14159609098724663</v>
      </c>
      <c r="M667">
        <v>1.0812442241951901</v>
      </c>
      <c r="N667">
        <v>1.0812213641661399</v>
      </c>
      <c r="O667" s="1">
        <v>4.1847502417692201E-9</v>
      </c>
      <c r="P667" s="2">
        <f t="shared" si="32"/>
        <v>0.12487744739419232</v>
      </c>
    </row>
    <row r="668" spans="2:16" x14ac:dyDescent="0.25">
      <c r="B668">
        <v>667</v>
      </c>
      <c r="C668">
        <v>-0.2991089465008</v>
      </c>
      <c r="D668">
        <v>-7.7471899434816499E-2</v>
      </c>
      <c r="E668">
        <v>0.35786464750727398</v>
      </c>
      <c r="F668">
        <f t="shared" si="30"/>
        <v>-0.2216370470659835</v>
      </c>
      <c r="G668" s="2">
        <f t="shared" si="31"/>
        <v>0.13726692752217307</v>
      </c>
      <c r="M668">
        <v>2.3170014667545402</v>
      </c>
      <c r="N668">
        <v>2.3171359258641</v>
      </c>
      <c r="O668" s="1">
        <v>1.7705997947584102E-8</v>
      </c>
      <c r="P668" s="2">
        <f t="shared" si="32"/>
        <v>1.0210806641416172</v>
      </c>
    </row>
    <row r="669" spans="2:16" x14ac:dyDescent="0.25">
      <c r="B669">
        <v>668</v>
      </c>
      <c r="C669">
        <v>-0.30380462749926201</v>
      </c>
      <c r="D669">
        <v>-7.3392182432500397E-2</v>
      </c>
      <c r="E669">
        <v>0.36918900675986099</v>
      </c>
      <c r="F669">
        <f t="shared" si="30"/>
        <v>-0.23041244506676162</v>
      </c>
      <c r="G669" s="2">
        <f t="shared" si="31"/>
        <v>0.14380139676308337</v>
      </c>
      <c r="M669">
        <v>0.24825379348384899</v>
      </c>
      <c r="N669">
        <v>0.24820012627954599</v>
      </c>
      <c r="O669" s="1">
        <v>2.6028041494168102E-9</v>
      </c>
      <c r="P669" s="2">
        <f t="shared" si="32"/>
        <v>1.1065637875001504</v>
      </c>
    </row>
    <row r="670" spans="2:16" x14ac:dyDescent="0.25">
      <c r="B670">
        <v>669</v>
      </c>
      <c r="C670">
        <v>-0.31573410003157998</v>
      </c>
      <c r="D670">
        <v>-7.5316427714246403E-2</v>
      </c>
      <c r="E670">
        <v>0.39875208769100601</v>
      </c>
      <c r="F670">
        <f t="shared" si="30"/>
        <v>-0.24041767231733358</v>
      </c>
      <c r="G670" s="2">
        <f t="shared" si="31"/>
        <v>0.14495386719398107</v>
      </c>
      <c r="M670">
        <v>0.99481989605957599</v>
      </c>
      <c r="N670">
        <v>0.99477050744707196</v>
      </c>
      <c r="O670" s="1">
        <v>5.7044899947386499E-9</v>
      </c>
      <c r="P670" s="2">
        <f t="shared" si="32"/>
        <v>0.42759914511605412</v>
      </c>
    </row>
    <row r="671" spans="2:16" x14ac:dyDescent="0.25">
      <c r="B671">
        <v>670</v>
      </c>
      <c r="C671">
        <v>-0.31478791779462001</v>
      </c>
      <c r="D671">
        <v>-0.29707037353354099</v>
      </c>
      <c r="E671">
        <v>0.39636573275789</v>
      </c>
      <c r="F671">
        <f t="shared" si="30"/>
        <v>-1.7717544261079021E-2</v>
      </c>
      <c r="G671" s="2">
        <f t="shared" si="31"/>
        <v>7.9197404997429226E-4</v>
      </c>
      <c r="M671">
        <v>0.248235416096006</v>
      </c>
      <c r="N671">
        <v>0.248158199138826</v>
      </c>
      <c r="O671" s="1">
        <v>1.1491224941224401E-9</v>
      </c>
      <c r="P671" s="2">
        <f t="shared" si="32"/>
        <v>5.1887057355798021</v>
      </c>
    </row>
    <row r="672" spans="2:16" x14ac:dyDescent="0.25">
      <c r="B672">
        <v>671</v>
      </c>
      <c r="C672">
        <v>-0.28499150455712002</v>
      </c>
      <c r="D672">
        <v>-0.28848628617967997</v>
      </c>
      <c r="E672">
        <v>0.32488063067892498</v>
      </c>
      <c r="F672">
        <f t="shared" si="30"/>
        <v>3.4947816225599504E-3</v>
      </c>
      <c r="G672" s="2">
        <f t="shared" si="31"/>
        <v>3.7593803495946763E-5</v>
      </c>
      <c r="M672">
        <v>0.99504503396633903</v>
      </c>
      <c r="N672">
        <v>0.99488373384072404</v>
      </c>
      <c r="O672" s="1">
        <v>6.0704225930247397E-9</v>
      </c>
      <c r="P672" s="2">
        <f t="shared" si="32"/>
        <v>4.2859834096737526</v>
      </c>
    </row>
    <row r="673" spans="2:16" x14ac:dyDescent="0.25">
      <c r="B673">
        <v>672</v>
      </c>
      <c r="C673">
        <v>-0.289121453033233</v>
      </c>
      <c r="D673">
        <v>-0.273057471723056</v>
      </c>
      <c r="E673">
        <v>0.33436485841619201</v>
      </c>
      <c r="F673">
        <f t="shared" si="30"/>
        <v>-1.6063981310177E-2</v>
      </c>
      <c r="G673" s="2">
        <f t="shared" si="31"/>
        <v>7.7176619802704583E-4</v>
      </c>
      <c r="M673">
        <v>0.248289044858053</v>
      </c>
      <c r="N673">
        <v>0.248294405249226</v>
      </c>
      <c r="O673" s="1">
        <v>2.26510929782653E-9</v>
      </c>
      <c r="P673" s="2">
        <f t="shared" si="32"/>
        <v>1.2685389422518957E-2</v>
      </c>
    </row>
    <row r="674" spans="2:16" x14ac:dyDescent="0.25">
      <c r="B674">
        <v>673</v>
      </c>
      <c r="C674">
        <v>-0.30947640385275599</v>
      </c>
      <c r="D674">
        <v>-0.25462530794327898</v>
      </c>
      <c r="E674">
        <v>0.38310257816653498</v>
      </c>
      <c r="F674">
        <f t="shared" si="30"/>
        <v>-5.485109590947701E-2</v>
      </c>
      <c r="G674" s="2">
        <f t="shared" si="31"/>
        <v>7.8533606765830381E-3</v>
      </c>
      <c r="M674">
        <v>0.994511214571555</v>
      </c>
      <c r="N674">
        <v>0.99451601914202603</v>
      </c>
      <c r="O674" s="1">
        <v>4.0261152617931697E-9</v>
      </c>
      <c r="P674" s="2">
        <f t="shared" si="32"/>
        <v>5.7335411209264355E-3</v>
      </c>
    </row>
    <row r="675" spans="2:16" x14ac:dyDescent="0.25">
      <c r="B675">
        <v>674</v>
      </c>
      <c r="C675">
        <v>-0.32043102529533302</v>
      </c>
      <c r="D675">
        <v>-0.23073616027581501</v>
      </c>
      <c r="E675">
        <v>0.41070416788727399</v>
      </c>
      <c r="F675">
        <f t="shared" si="30"/>
        <v>-8.9694865019518011E-2</v>
      </c>
      <c r="G675" s="2">
        <f t="shared" si="31"/>
        <v>1.9588719667139376E-2</v>
      </c>
      <c r="M675">
        <v>0.24835063274654401</v>
      </c>
      <c r="N675">
        <v>0.24834103966169599</v>
      </c>
      <c r="O675" s="1">
        <v>1.2103425887859201E-9</v>
      </c>
      <c r="P675" s="2">
        <f t="shared" si="32"/>
        <v>7.6034073124383969E-2</v>
      </c>
    </row>
    <row r="676" spans="2:16" x14ac:dyDescent="0.25">
      <c r="B676">
        <v>675</v>
      </c>
      <c r="C676">
        <v>-0.30205033920909102</v>
      </c>
      <c r="D676">
        <v>-0.20301323402712301</v>
      </c>
      <c r="E676">
        <v>0.36493762966530802</v>
      </c>
      <c r="F676">
        <f t="shared" si="30"/>
        <v>-9.903710518196801E-2</v>
      </c>
      <c r="G676" s="2">
        <f t="shared" si="31"/>
        <v>2.6876779497416139E-2</v>
      </c>
      <c r="M676">
        <v>0.99441446050368898</v>
      </c>
      <c r="N676">
        <v>0.99439019811360196</v>
      </c>
      <c r="O676" s="1">
        <v>8.1739890331541706E-9</v>
      </c>
      <c r="P676" s="2">
        <f t="shared" si="32"/>
        <v>7.2016682472517149E-2</v>
      </c>
    </row>
    <row r="677" spans="2:16" x14ac:dyDescent="0.25">
      <c r="B677">
        <v>676</v>
      </c>
      <c r="C677">
        <v>-0.31143509083679199</v>
      </c>
      <c r="D677">
        <v>-0.190916557261577</v>
      </c>
      <c r="E677">
        <v>0.387967263218082</v>
      </c>
      <c r="F677">
        <f t="shared" si="30"/>
        <v>-0.120518533575215</v>
      </c>
      <c r="G677" s="2">
        <f t="shared" si="31"/>
        <v>3.7437996223293898E-2</v>
      </c>
      <c r="M677">
        <v>0.24828215982233001</v>
      </c>
      <c r="N677">
        <v>0.24824997768260501</v>
      </c>
      <c r="O677" s="1">
        <v>9.8365195093363691E-10</v>
      </c>
      <c r="P677" s="2">
        <f t="shared" si="32"/>
        <v>1.05290302763743</v>
      </c>
    </row>
    <row r="678" spans="2:16" x14ac:dyDescent="0.25">
      <c r="B678">
        <v>677</v>
      </c>
      <c r="C678">
        <v>-0.34045536373993002</v>
      </c>
      <c r="D678">
        <v>-0.187947914503348</v>
      </c>
      <c r="E678">
        <v>0.46363941879715298</v>
      </c>
      <c r="F678">
        <f t="shared" si="30"/>
        <v>-0.15250744923658202</v>
      </c>
      <c r="G678" s="2">
        <f t="shared" si="31"/>
        <v>5.0165109198414562E-2</v>
      </c>
      <c r="M678">
        <v>0.99470974327550299</v>
      </c>
      <c r="N678">
        <v>0.99463592282940705</v>
      </c>
      <c r="O678" s="1">
        <v>5.91682969020903E-9</v>
      </c>
      <c r="P678" s="2">
        <f t="shared" si="32"/>
        <v>0.92100982234137818</v>
      </c>
    </row>
    <row r="679" spans="2:16" x14ac:dyDescent="0.25">
      <c r="B679">
        <v>678</v>
      </c>
      <c r="C679">
        <v>-0.28579187562756603</v>
      </c>
      <c r="D679">
        <v>-0.173268949840897</v>
      </c>
      <c r="E679">
        <v>0.32670798469888901</v>
      </c>
      <c r="F679">
        <f t="shared" si="30"/>
        <v>-0.11252292578666903</v>
      </c>
      <c r="G679" s="2">
        <f t="shared" si="31"/>
        <v>3.8754512961357943E-2</v>
      </c>
      <c r="M679">
        <v>0.248202507608382</v>
      </c>
      <c r="N679">
        <v>0.2482024970402</v>
      </c>
      <c r="O679" s="1">
        <v>2.0042380479706401E-9</v>
      </c>
      <c r="P679" s="2">
        <f t="shared" si="32"/>
        <v>5.5725152417680185E-8</v>
      </c>
    </row>
    <row r="680" spans="2:16" x14ac:dyDescent="0.25">
      <c r="B680">
        <v>679</v>
      </c>
      <c r="C680">
        <v>-0.343275610590771</v>
      </c>
      <c r="D680">
        <v>-0.152075883724206</v>
      </c>
      <c r="E680">
        <v>0.47135257930586799</v>
      </c>
      <c r="F680">
        <f t="shared" si="30"/>
        <v>-0.191199726866565</v>
      </c>
      <c r="G680" s="2">
        <f t="shared" si="31"/>
        <v>7.7558365348684002E-2</v>
      </c>
      <c r="M680">
        <v>0.99476406945050799</v>
      </c>
      <c r="N680">
        <v>0.99476410604259602</v>
      </c>
      <c r="O680" s="1">
        <v>2.5215810201868099E-9</v>
      </c>
      <c r="P680" s="2">
        <f t="shared" si="32"/>
        <v>5.3100848055481191E-7</v>
      </c>
    </row>
    <row r="681" spans="2:16" x14ac:dyDescent="0.25">
      <c r="B681">
        <v>680</v>
      </c>
      <c r="C681">
        <v>-0.30439293126084999</v>
      </c>
      <c r="D681">
        <v>-0.149470526905368</v>
      </c>
      <c r="E681">
        <v>0.370620226406291</v>
      </c>
      <c r="F681">
        <f t="shared" si="30"/>
        <v>-0.15492240435548199</v>
      </c>
      <c r="G681" s="2">
        <f t="shared" si="31"/>
        <v>6.4758881629338044E-2</v>
      </c>
      <c r="M681">
        <v>0.24819015945772199</v>
      </c>
      <c r="N681">
        <v>0.24815778960892099</v>
      </c>
      <c r="O681" s="1">
        <v>4.4628914484514298E-10</v>
      </c>
      <c r="P681" s="2">
        <f t="shared" si="32"/>
        <v>2.3478211905950954</v>
      </c>
    </row>
    <row r="682" spans="2:16" x14ac:dyDescent="0.25">
      <c r="B682">
        <v>681</v>
      </c>
      <c r="C682">
        <v>-0.28353039961276799</v>
      </c>
      <c r="D682">
        <v>-0.13869671793862401</v>
      </c>
      <c r="E682">
        <v>0.32155795001830301</v>
      </c>
      <c r="F682">
        <f t="shared" si="30"/>
        <v>-0.14483368167414398</v>
      </c>
      <c r="G682" s="2">
        <f t="shared" si="31"/>
        <v>6.5234883311369771E-2</v>
      </c>
      <c r="M682">
        <v>0.99498915530787901</v>
      </c>
      <c r="N682">
        <v>0.994884839955131</v>
      </c>
      <c r="O682" s="1">
        <v>4.2721777933933504E-9</v>
      </c>
      <c r="P682" s="2">
        <f t="shared" si="32"/>
        <v>2.5471067322552603</v>
      </c>
    </row>
    <row r="683" spans="2:16" x14ac:dyDescent="0.25">
      <c r="B683">
        <v>682</v>
      </c>
      <c r="C683">
        <v>-0.28014518471407102</v>
      </c>
      <c r="D683">
        <v>-0.12752593421501299</v>
      </c>
      <c r="E683">
        <v>0.313925298073925</v>
      </c>
      <c r="F683">
        <f t="shared" si="30"/>
        <v>-0.15261925049905803</v>
      </c>
      <c r="G683" s="2">
        <f t="shared" si="31"/>
        <v>7.4198020248145591E-2</v>
      </c>
      <c r="M683">
        <v>0.24822224540420901</v>
      </c>
      <c r="N683">
        <v>0.24815098673698399</v>
      </c>
      <c r="O683" s="1">
        <v>8.76445440635808E-10</v>
      </c>
      <c r="P683" s="2">
        <f t="shared" si="32"/>
        <v>5.793626641496278</v>
      </c>
    </row>
    <row r="684" spans="2:16" x14ac:dyDescent="0.25">
      <c r="B684">
        <v>683</v>
      </c>
      <c r="C684">
        <v>-0.32733189427331799</v>
      </c>
      <c r="D684">
        <v>-0.12379598761708401</v>
      </c>
      <c r="E684">
        <v>0.428584676034233</v>
      </c>
      <c r="F684">
        <f t="shared" si="30"/>
        <v>-0.203535906656234</v>
      </c>
      <c r="G684" s="2">
        <f t="shared" si="31"/>
        <v>9.6659697872786859E-2</v>
      </c>
      <c r="M684">
        <v>0.99497061239081497</v>
      </c>
      <c r="N684">
        <v>0.99490321452945496</v>
      </c>
      <c r="O684" s="1">
        <v>1.6499775593434899E-9</v>
      </c>
      <c r="P684" s="2">
        <f t="shared" si="32"/>
        <v>2.7530506037368494</v>
      </c>
    </row>
    <row r="685" spans="2:16" x14ac:dyDescent="0.25">
      <c r="B685">
        <v>684</v>
      </c>
      <c r="C685">
        <v>-0.29015773788064098</v>
      </c>
      <c r="D685">
        <v>-0.124827429902482</v>
      </c>
      <c r="E685">
        <v>0.336766051408044</v>
      </c>
      <c r="F685">
        <f t="shared" si="30"/>
        <v>-0.16533030797815898</v>
      </c>
      <c r="G685" s="2">
        <f t="shared" si="31"/>
        <v>8.1166467409250251E-2</v>
      </c>
      <c r="M685">
        <v>0.24816503296453599</v>
      </c>
      <c r="N685">
        <v>0.24812324187026899</v>
      </c>
      <c r="O685" s="1">
        <v>7.6859841137981798E-10</v>
      </c>
      <c r="P685" s="2">
        <f t="shared" si="32"/>
        <v>2.2723122168540488</v>
      </c>
    </row>
    <row r="686" spans="2:16" x14ac:dyDescent="0.25">
      <c r="B686">
        <v>685</v>
      </c>
      <c r="C686">
        <v>-0.27195151560859698</v>
      </c>
      <c r="D686">
        <v>-0.26631207588129502</v>
      </c>
      <c r="E686">
        <v>0.29583050736725203</v>
      </c>
      <c r="F686">
        <f t="shared" si="30"/>
        <v>-5.6394397273019647E-3</v>
      </c>
      <c r="G686" s="2">
        <f t="shared" si="31"/>
        <v>1.0750507349936767E-4</v>
      </c>
      <c r="M686">
        <v>0.99505818213201702</v>
      </c>
      <c r="N686">
        <v>0.99497816221647595</v>
      </c>
      <c r="O686" s="1">
        <v>3.5718375110826399E-9</v>
      </c>
      <c r="P686" s="2">
        <f t="shared" si="32"/>
        <v>1.7926870590649577</v>
      </c>
    </row>
    <row r="687" spans="2:16" x14ac:dyDescent="0.25">
      <c r="B687">
        <v>686</v>
      </c>
      <c r="C687">
        <v>-8.99430321221001E-2</v>
      </c>
      <c r="D687">
        <v>-0.26742066040833501</v>
      </c>
      <c r="E687">
        <v>3.2358996109268498E-2</v>
      </c>
      <c r="F687">
        <f t="shared" si="30"/>
        <v>0.17747762828623492</v>
      </c>
      <c r="G687" s="2">
        <f t="shared" si="31"/>
        <v>0.97340190764091716</v>
      </c>
      <c r="M687">
        <v>0.24810716723294701</v>
      </c>
      <c r="N687">
        <v>0.248076662731023</v>
      </c>
      <c r="O687" s="1">
        <v>5.30324632084091E-10</v>
      </c>
      <c r="P687" s="2">
        <f t="shared" si="32"/>
        <v>1.7546321278261894</v>
      </c>
    </row>
    <row r="688" spans="2:16" x14ac:dyDescent="0.25">
      <c r="B688">
        <v>687</v>
      </c>
      <c r="C688">
        <v>-0.165136030565949</v>
      </c>
      <c r="D688">
        <v>-0.22489671358979499</v>
      </c>
      <c r="E688">
        <v>0.10907963436431201</v>
      </c>
      <c r="F688">
        <f t="shared" si="30"/>
        <v>5.976068302384599E-2</v>
      </c>
      <c r="G688" s="2">
        <f t="shared" si="31"/>
        <v>3.2740660126791207E-2</v>
      </c>
      <c r="M688">
        <v>0.99515354806714895</v>
      </c>
      <c r="N688">
        <v>0.99510401879500698</v>
      </c>
      <c r="O688" s="1">
        <v>1.9411560933591901E-9</v>
      </c>
      <c r="P688" s="2">
        <f t="shared" si="32"/>
        <v>1.2637565867605998</v>
      </c>
    </row>
    <row r="689" spans="2:16" x14ac:dyDescent="0.25">
      <c r="B689">
        <v>688</v>
      </c>
      <c r="C689">
        <v>-0.247676293981796</v>
      </c>
      <c r="D689">
        <v>-0.204615816772482</v>
      </c>
      <c r="E689">
        <v>0.245374186402228</v>
      </c>
      <c r="F689">
        <f t="shared" si="30"/>
        <v>-4.3060477209313996E-2</v>
      </c>
      <c r="G689" s="2">
        <f t="shared" si="31"/>
        <v>7.5566412452789857E-3</v>
      </c>
      <c r="M689">
        <v>0.24810411307859401</v>
      </c>
      <c r="N689">
        <v>0.24810282393514499</v>
      </c>
      <c r="O689" s="1">
        <v>1.2538083828725799E-9</v>
      </c>
      <c r="P689" s="2">
        <f t="shared" si="32"/>
        <v>1.3254743347135178E-3</v>
      </c>
    </row>
    <row r="690" spans="2:16" x14ac:dyDescent="0.25">
      <c r="B690">
        <v>689</v>
      </c>
      <c r="C690">
        <v>-0.224166832036191</v>
      </c>
      <c r="D690">
        <v>-0.219524016207304</v>
      </c>
      <c r="E690">
        <v>0.20100307434056799</v>
      </c>
      <c r="F690">
        <f t="shared" si="30"/>
        <v>-4.6428158288870092E-3</v>
      </c>
      <c r="G690" s="2">
        <f t="shared" si="31"/>
        <v>1.0724084142335539E-4</v>
      </c>
      <c r="M690">
        <v>0.99504014064712099</v>
      </c>
      <c r="N690">
        <v>0.99503332649685206</v>
      </c>
      <c r="O690" s="1">
        <v>1.1220905762029801E-8</v>
      </c>
      <c r="P690" s="2">
        <f t="shared" si="32"/>
        <v>4.1380477541021832E-3</v>
      </c>
    </row>
    <row r="691" spans="2:16" x14ac:dyDescent="0.25">
      <c r="B691">
        <v>690</v>
      </c>
      <c r="C691">
        <v>-0.202152194965768</v>
      </c>
      <c r="D691">
        <v>-0.19522284671794299</v>
      </c>
      <c r="E691">
        <v>0.16346203971791201</v>
      </c>
      <c r="F691">
        <f t="shared" si="30"/>
        <v>-6.9293482478250124E-3</v>
      </c>
      <c r="G691" s="2">
        <f t="shared" si="31"/>
        <v>2.9374322761723155E-4</v>
      </c>
      <c r="M691">
        <v>0.248188611542589</v>
      </c>
      <c r="N691">
        <v>0.24818449395296799</v>
      </c>
      <c r="O691" s="1">
        <v>9.8448458392327197E-10</v>
      </c>
      <c r="P691" s="2">
        <f t="shared" si="32"/>
        <v>1.7221746855129071E-2</v>
      </c>
    </row>
    <row r="692" spans="2:16" x14ac:dyDescent="0.25">
      <c r="B692">
        <v>691</v>
      </c>
      <c r="C692">
        <v>-0.28612679037840799</v>
      </c>
      <c r="D692">
        <v>-0.18119498505555701</v>
      </c>
      <c r="E692">
        <v>0.32747416068899798</v>
      </c>
      <c r="F692">
        <f t="shared" si="30"/>
        <v>-0.10493180532285099</v>
      </c>
      <c r="G692" s="2">
        <f t="shared" si="31"/>
        <v>3.3623061267327101E-2</v>
      </c>
      <c r="M692">
        <v>0.99482044474569897</v>
      </c>
      <c r="N692">
        <v>0.99481271960364903</v>
      </c>
      <c r="O692" s="1">
        <v>4.9682758257183998E-9</v>
      </c>
      <c r="P692" s="2">
        <f t="shared" si="32"/>
        <v>1.2011776677705437E-2</v>
      </c>
    </row>
    <row r="693" spans="2:16" x14ac:dyDescent="0.25">
      <c r="B693">
        <v>692</v>
      </c>
      <c r="C693">
        <v>-0.23602318778345899</v>
      </c>
      <c r="D693">
        <v>-0.179289455101798</v>
      </c>
      <c r="E693">
        <v>0.22282778068586401</v>
      </c>
      <c r="F693">
        <f t="shared" si="30"/>
        <v>-5.6733732681660987E-2</v>
      </c>
      <c r="G693" s="2">
        <f t="shared" si="31"/>
        <v>1.4444861471433038E-2</v>
      </c>
      <c r="M693">
        <v>0.24821028157988401</v>
      </c>
      <c r="N693">
        <v>0.24823289643075</v>
      </c>
      <c r="O693" s="1">
        <v>1.1930252235735699E-9</v>
      </c>
      <c r="P693" s="2">
        <f t="shared" si="32"/>
        <v>0.42868454881378448</v>
      </c>
    </row>
    <row r="694" spans="2:16" x14ac:dyDescent="0.25">
      <c r="B694">
        <v>693</v>
      </c>
      <c r="C694">
        <v>-0.238051307352801</v>
      </c>
      <c r="D694">
        <v>-0.195614944123228</v>
      </c>
      <c r="E694">
        <v>0.22667369972950999</v>
      </c>
      <c r="F694">
        <f t="shared" si="30"/>
        <v>-4.2436363229573004E-2</v>
      </c>
      <c r="G694" s="2">
        <f t="shared" si="31"/>
        <v>7.9446575685719438E-3</v>
      </c>
      <c r="M694">
        <v>0.99464183020945496</v>
      </c>
      <c r="N694">
        <v>0.99468203225938701</v>
      </c>
      <c r="O694" s="1">
        <v>5.34542512370224E-9</v>
      </c>
      <c r="P694" s="2">
        <f t="shared" si="32"/>
        <v>0.30235290577215529</v>
      </c>
    </row>
    <row r="695" spans="2:16" x14ac:dyDescent="0.25">
      <c r="B695">
        <v>694</v>
      </c>
      <c r="C695">
        <v>-0.259986797112429</v>
      </c>
      <c r="D695">
        <v>-0.203277430770157</v>
      </c>
      <c r="E695">
        <v>0.27037253869111699</v>
      </c>
      <c r="F695">
        <f t="shared" si="30"/>
        <v>-5.6709366342272E-2</v>
      </c>
      <c r="G695" s="2">
        <f t="shared" si="31"/>
        <v>1.1894522448583538E-2</v>
      </c>
      <c r="M695">
        <v>0.24834377695708101</v>
      </c>
      <c r="N695">
        <v>0.24835277387931901</v>
      </c>
      <c r="O695" s="1">
        <v>2.1290649437952802E-9</v>
      </c>
      <c r="P695" s="2">
        <f t="shared" si="32"/>
        <v>3.8018854235688265E-2</v>
      </c>
    </row>
    <row r="696" spans="2:16" x14ac:dyDescent="0.25">
      <c r="B696">
        <v>695</v>
      </c>
      <c r="C696">
        <v>-0.15327410417548801</v>
      </c>
      <c r="D696">
        <v>-0.16166605789929001</v>
      </c>
      <c r="E696">
        <v>9.3971804043193302E-2</v>
      </c>
      <c r="F696">
        <f t="shared" si="30"/>
        <v>8.3919537238019981E-3</v>
      </c>
      <c r="G696" s="2">
        <f t="shared" si="31"/>
        <v>7.4942572423174984E-4</v>
      </c>
      <c r="M696">
        <v>0.99434546078246999</v>
      </c>
      <c r="N696">
        <v>0.99435854507315002</v>
      </c>
      <c r="O696" s="1">
        <v>7.9541890868373598E-9</v>
      </c>
      <c r="P696" s="2">
        <f t="shared" si="32"/>
        <v>2.1523081829029751E-2</v>
      </c>
    </row>
    <row r="697" spans="2:16" x14ac:dyDescent="0.25">
      <c r="B697">
        <v>696</v>
      </c>
      <c r="C697">
        <v>-0.25136494268463599</v>
      </c>
      <c r="D697">
        <v>-0.15669417195997901</v>
      </c>
      <c r="E697">
        <v>0.252737337643402</v>
      </c>
      <c r="F697">
        <f t="shared" si="30"/>
        <v>-9.4670770724656989E-2</v>
      </c>
      <c r="G697" s="2">
        <f t="shared" si="31"/>
        <v>3.5461934169165876E-2</v>
      </c>
      <c r="M697">
        <v>0.24837475941779999</v>
      </c>
      <c r="N697">
        <v>0.248391879832945</v>
      </c>
      <c r="O697" s="1">
        <v>1.2607632769092101E-9</v>
      </c>
      <c r="P697" s="2">
        <f t="shared" si="32"/>
        <v>0.23248505100504394</v>
      </c>
    </row>
    <row r="698" spans="2:16" x14ac:dyDescent="0.25">
      <c r="B698">
        <v>697</v>
      </c>
      <c r="C698">
        <v>-0.28569968808608398</v>
      </c>
      <c r="D698">
        <v>-0.27045025523732802</v>
      </c>
      <c r="E698">
        <v>0.32649724708994299</v>
      </c>
      <c r="F698">
        <f t="shared" si="30"/>
        <v>-1.5249432848755962E-2</v>
      </c>
      <c r="G698" s="2">
        <f t="shared" si="31"/>
        <v>7.1224245925925419E-4</v>
      </c>
      <c r="M698">
        <v>0.99421853230472701</v>
      </c>
      <c r="N698">
        <v>0.994253074870736</v>
      </c>
      <c r="O698" s="1">
        <v>5.5494801819606498E-9</v>
      </c>
      <c r="P698" s="2">
        <f t="shared" si="32"/>
        <v>0.21500912290198487</v>
      </c>
    </row>
    <row r="699" spans="2:16" x14ac:dyDescent="0.25">
      <c r="B699">
        <v>698</v>
      </c>
      <c r="C699">
        <v>-0.28823573974681599</v>
      </c>
      <c r="D699">
        <v>-0.24474964997774501</v>
      </c>
      <c r="E699">
        <v>0.33231936666957801</v>
      </c>
      <c r="F699">
        <f t="shared" si="30"/>
        <v>-4.3486089769070979E-2</v>
      </c>
      <c r="G699" s="2">
        <f t="shared" si="31"/>
        <v>5.6904297283520726E-3</v>
      </c>
      <c r="M699">
        <v>0.24834844928173699</v>
      </c>
      <c r="N699">
        <v>0.24832412734915801</v>
      </c>
      <c r="O699" s="1">
        <v>2.9285470744699299E-9</v>
      </c>
      <c r="P699" s="2">
        <f t="shared" si="32"/>
        <v>0.20199654959738858</v>
      </c>
    </row>
    <row r="700" spans="2:16" x14ac:dyDescent="0.25">
      <c r="B700">
        <v>699</v>
      </c>
      <c r="C700">
        <v>-0.28506743402552298</v>
      </c>
      <c r="D700">
        <v>-0.223892747056637</v>
      </c>
      <c r="E700">
        <v>0.32505376776758499</v>
      </c>
      <c r="F700">
        <f t="shared" si="30"/>
        <v>-6.1174686968885977E-2</v>
      </c>
      <c r="G700" s="2">
        <f t="shared" si="31"/>
        <v>1.1512994762198791E-2</v>
      </c>
      <c r="M700">
        <v>0.994458447329297</v>
      </c>
      <c r="N700">
        <v>0.99443582346412895</v>
      </c>
      <c r="O700" s="1">
        <v>7.6223075230333495E-9</v>
      </c>
      <c r="P700" s="2">
        <f t="shared" si="32"/>
        <v>6.7150173827979109E-2</v>
      </c>
    </row>
    <row r="701" spans="2:16" x14ac:dyDescent="0.25">
      <c r="B701">
        <v>700</v>
      </c>
      <c r="C701">
        <v>-0.28490612270770099</v>
      </c>
      <c r="D701">
        <v>-0.17881309224352401</v>
      </c>
      <c r="E701">
        <v>0.32468599502534301</v>
      </c>
      <c r="F701">
        <f t="shared" si="30"/>
        <v>-0.10609303046417698</v>
      </c>
      <c r="G701" s="2">
        <f t="shared" si="31"/>
        <v>3.4666512524490718E-2</v>
      </c>
      <c r="M701">
        <v>0.24822524102099799</v>
      </c>
      <c r="N701">
        <v>0.24821771804839601</v>
      </c>
      <c r="O701" s="1">
        <v>1.37453548517017E-9</v>
      </c>
      <c r="P701" s="2">
        <f t="shared" si="32"/>
        <v>4.1173994691850332E-2</v>
      </c>
    </row>
    <row r="702" spans="2:16" x14ac:dyDescent="0.25">
      <c r="B702">
        <v>701</v>
      </c>
      <c r="C702">
        <v>-0.28659698495330299</v>
      </c>
      <c r="D702">
        <v>-0.149310718552677</v>
      </c>
      <c r="E702">
        <v>0.32855132713729601</v>
      </c>
      <c r="F702">
        <f t="shared" si="30"/>
        <v>-0.13728626640062599</v>
      </c>
      <c r="G702" s="2">
        <f t="shared" si="31"/>
        <v>5.7365523695929531E-2</v>
      </c>
      <c r="M702">
        <v>0.99472869872570502</v>
      </c>
      <c r="N702">
        <v>0.99472300950638004</v>
      </c>
      <c r="O702" s="1">
        <v>2.66329001203299E-9</v>
      </c>
      <c r="P702" s="2">
        <f t="shared" si="32"/>
        <v>1.2153094999592683E-2</v>
      </c>
    </row>
    <row r="703" spans="2:16" x14ac:dyDescent="0.25">
      <c r="B703">
        <v>702</v>
      </c>
      <c r="C703">
        <v>-0.27506107981964201</v>
      </c>
      <c r="D703">
        <v>-0.12770963286829801</v>
      </c>
      <c r="E703">
        <v>0.30263439052619001</v>
      </c>
      <c r="F703">
        <f t="shared" si="30"/>
        <v>-0.147351446951344</v>
      </c>
      <c r="G703" s="2">
        <f t="shared" si="31"/>
        <v>7.1744816842868847E-2</v>
      </c>
      <c r="M703">
        <v>0.24812586632533401</v>
      </c>
      <c r="N703">
        <v>0.24815967573321299</v>
      </c>
      <c r="O703" s="1">
        <v>7.8850970121709495E-10</v>
      </c>
      <c r="P703" s="2">
        <f t="shared" si="32"/>
        <v>1.449666452248598</v>
      </c>
    </row>
    <row r="704" spans="2:16" x14ac:dyDescent="0.25">
      <c r="B704">
        <v>703</v>
      </c>
      <c r="C704">
        <v>-0.282048248089943</v>
      </c>
      <c r="D704">
        <v>-0.10778230610426</v>
      </c>
      <c r="E704">
        <v>0.31820485700242401</v>
      </c>
      <c r="F704">
        <f t="shared" si="30"/>
        <v>-0.17426594198568301</v>
      </c>
      <c r="G704" s="2">
        <f t="shared" si="31"/>
        <v>9.543731928619209E-2</v>
      </c>
      <c r="M704">
        <v>0.99480247145763701</v>
      </c>
      <c r="N704">
        <v>0.99487974567791904</v>
      </c>
      <c r="O704" s="1">
        <v>4.3884477712182098E-9</v>
      </c>
      <c r="P704" s="2">
        <f t="shared" si="32"/>
        <v>1.360687293434105</v>
      </c>
    </row>
    <row r="705" spans="2:16" x14ac:dyDescent="0.25">
      <c r="B705">
        <v>704</v>
      </c>
      <c r="C705">
        <v>-0.27157949450751501</v>
      </c>
      <c r="D705">
        <v>-9.22214892031894E-2</v>
      </c>
      <c r="E705">
        <v>0.29502168734782902</v>
      </c>
      <c r="F705">
        <f t="shared" si="30"/>
        <v>-0.17935800530432561</v>
      </c>
      <c r="G705" s="2">
        <f t="shared" si="31"/>
        <v>0.10904043819944349</v>
      </c>
      <c r="M705">
        <v>0.24819455592572001</v>
      </c>
      <c r="N705">
        <v>0.248200239335888</v>
      </c>
      <c r="O705" s="1">
        <v>8.2130138186641703E-10</v>
      </c>
      <c r="P705" s="2">
        <f t="shared" si="32"/>
        <v>3.9329230232388823E-2</v>
      </c>
    </row>
    <row r="706" spans="2:16" x14ac:dyDescent="0.25">
      <c r="B706">
        <v>705</v>
      </c>
      <c r="C706">
        <v>-0.36818078586672998</v>
      </c>
      <c r="D706">
        <v>-0.358429864621366</v>
      </c>
      <c r="E706">
        <v>0.54222836432577004</v>
      </c>
      <c r="F706">
        <f t="shared" si="30"/>
        <v>-9.7509212453639749E-3</v>
      </c>
      <c r="G706" s="2">
        <f t="shared" si="31"/>
        <v>1.7535133052568662E-4</v>
      </c>
      <c r="M706">
        <v>0.99475885628690797</v>
      </c>
      <c r="N706">
        <v>0.99477020217590095</v>
      </c>
      <c r="O706" s="1">
        <v>3.9747661596883901E-9</v>
      </c>
      <c r="P706" s="2">
        <f t="shared" si="32"/>
        <v>3.2386608889530016E-2</v>
      </c>
    </row>
    <row r="707" spans="2:16" x14ac:dyDescent="0.25">
      <c r="B707">
        <v>706</v>
      </c>
      <c r="C707">
        <v>-0.32747867401317599</v>
      </c>
      <c r="D707">
        <v>-0.35701675372150699</v>
      </c>
      <c r="E707">
        <v>0.42896912773371099</v>
      </c>
      <c r="F707">
        <f t="shared" ref="F707:F770" si="33">C707-D707</f>
        <v>2.9538079708331E-2</v>
      </c>
      <c r="G707" s="2">
        <f t="shared" ref="G707:G770" si="34">F707^2/E707</f>
        <v>2.033941597301454E-3</v>
      </c>
      <c r="M707">
        <v>0.24815553278046701</v>
      </c>
      <c r="N707">
        <v>0.24817539295794799</v>
      </c>
      <c r="O707" s="1">
        <v>4.2854317767694302E-10</v>
      </c>
      <c r="P707" s="2">
        <f t="shared" ref="P707:P770" si="35">(M707-N707)^2/O707</f>
        <v>0.92038951994133367</v>
      </c>
    </row>
    <row r="708" spans="2:16" x14ac:dyDescent="0.25">
      <c r="B708">
        <v>707</v>
      </c>
      <c r="C708">
        <v>-0.34776151025448998</v>
      </c>
      <c r="D708">
        <v>-0.35031508482615198</v>
      </c>
      <c r="E708">
        <v>0.48375227205793497</v>
      </c>
      <c r="F708">
        <f t="shared" si="33"/>
        <v>2.5535745716619984E-3</v>
      </c>
      <c r="G708" s="2">
        <f t="shared" si="34"/>
        <v>1.3479508975324924E-5</v>
      </c>
      <c r="M708">
        <v>0.99480165907149598</v>
      </c>
      <c r="N708">
        <v>0.99483729717789304</v>
      </c>
      <c r="O708" s="1">
        <v>1.9706521715652399E-9</v>
      </c>
      <c r="P708" s="2">
        <f t="shared" si="35"/>
        <v>0.64449457184498793</v>
      </c>
    </row>
    <row r="709" spans="2:16" x14ac:dyDescent="0.25">
      <c r="B709">
        <v>708</v>
      </c>
      <c r="C709">
        <v>-0.37295249716310902</v>
      </c>
      <c r="D709">
        <v>-0.34110552731522598</v>
      </c>
      <c r="E709">
        <v>0.55637426056079398</v>
      </c>
      <c r="F709">
        <f t="shared" si="33"/>
        <v>-3.1846969847883044E-2</v>
      </c>
      <c r="G709" s="2">
        <f t="shared" si="34"/>
        <v>1.8229266887179244E-3</v>
      </c>
      <c r="M709">
        <v>0.248031525270482</v>
      </c>
      <c r="N709">
        <v>0.248082768614036</v>
      </c>
      <c r="O709" s="1">
        <v>7.0555510211675E-10</v>
      </c>
      <c r="P709" s="2">
        <f t="shared" si="35"/>
        <v>3.7217224433853975</v>
      </c>
    </row>
    <row r="710" spans="2:16" x14ac:dyDescent="0.25">
      <c r="B710">
        <v>709</v>
      </c>
      <c r="C710">
        <v>-0.355941983579245</v>
      </c>
      <c r="D710">
        <v>-0.30959615129506401</v>
      </c>
      <c r="E710">
        <v>0.50677878269730903</v>
      </c>
      <c r="F710">
        <f t="shared" si="33"/>
        <v>-4.6345832284180988E-2</v>
      </c>
      <c r="G710" s="2">
        <f t="shared" si="34"/>
        <v>4.2384098218973014E-3</v>
      </c>
      <c r="M710">
        <v>0.99501897225384806</v>
      </c>
      <c r="N710">
        <v>0.99508751848020305</v>
      </c>
      <c r="O710" s="1">
        <v>2.05486411124408E-9</v>
      </c>
      <c r="P710" s="2">
        <f t="shared" si="35"/>
        <v>2.2865673315328183</v>
      </c>
    </row>
    <row r="711" spans="2:16" x14ac:dyDescent="0.25">
      <c r="B711">
        <v>710</v>
      </c>
      <c r="C711">
        <v>-0.385744285974297</v>
      </c>
      <c r="D711">
        <v>-0.306359300239615</v>
      </c>
      <c r="E711">
        <v>0.59519461664728102</v>
      </c>
      <c r="F711">
        <f t="shared" si="33"/>
        <v>-7.9384985734682001E-2</v>
      </c>
      <c r="G711" s="2">
        <f t="shared" si="34"/>
        <v>1.0588093009971369E-2</v>
      </c>
      <c r="M711">
        <v>0.248164219370687</v>
      </c>
      <c r="N711">
        <v>0.24816510007626499</v>
      </c>
      <c r="O711" s="1">
        <v>1.0521241755789E-9</v>
      </c>
      <c r="P711" s="2">
        <f t="shared" si="35"/>
        <v>7.3721556172989767E-4</v>
      </c>
    </row>
    <row r="712" spans="2:16" x14ac:dyDescent="0.25">
      <c r="B712">
        <v>711</v>
      </c>
      <c r="C712">
        <v>-0.37293000366755102</v>
      </c>
      <c r="D712">
        <v>-0.28623913094593001</v>
      </c>
      <c r="E712">
        <v>0.55630715054192004</v>
      </c>
      <c r="F712">
        <f t="shared" si="33"/>
        <v>-8.6690872721621015E-2</v>
      </c>
      <c r="G712" s="2">
        <f t="shared" si="34"/>
        <v>1.350927703502525E-2</v>
      </c>
      <c r="M712">
        <v>0.99486201853408895</v>
      </c>
      <c r="N712">
        <v>0.99486509530407397</v>
      </c>
      <c r="O712" s="1">
        <v>8.4575001702838705E-9</v>
      </c>
      <c r="P712" s="2">
        <f t="shared" si="35"/>
        <v>1.1193039728128659E-3</v>
      </c>
    </row>
    <row r="713" spans="2:16" x14ac:dyDescent="0.25">
      <c r="B713">
        <v>712</v>
      </c>
      <c r="C713">
        <v>-0.32963887517003698</v>
      </c>
      <c r="D713">
        <v>-0.27971002407206902</v>
      </c>
      <c r="E713">
        <v>0.43464715209346899</v>
      </c>
      <c r="F713">
        <f t="shared" si="33"/>
        <v>-4.9928851097967963E-2</v>
      </c>
      <c r="G713" s="2">
        <f t="shared" si="34"/>
        <v>5.7354342711233765E-3</v>
      </c>
      <c r="M713">
        <v>0.24817673720273301</v>
      </c>
      <c r="N713">
        <v>0.248195418622948</v>
      </c>
      <c r="O713" s="1">
        <v>1.1904347234640001E-9</v>
      </c>
      <c r="P713" s="2">
        <f t="shared" si="35"/>
        <v>0.29316639910642844</v>
      </c>
    </row>
    <row r="714" spans="2:16" x14ac:dyDescent="0.25">
      <c r="B714">
        <v>713</v>
      </c>
      <c r="C714">
        <v>-0.32493988613309999</v>
      </c>
      <c r="D714">
        <v>-0.25672338068357903</v>
      </c>
      <c r="E714">
        <v>0.42234371840076701</v>
      </c>
      <c r="F714">
        <f t="shared" si="33"/>
        <v>-6.8216505449520959E-2</v>
      </c>
      <c r="G714" s="2">
        <f t="shared" si="34"/>
        <v>1.1018256962280112E-2</v>
      </c>
      <c r="M714">
        <v>0.994752737977879</v>
      </c>
      <c r="N714">
        <v>0.99478321911967804</v>
      </c>
      <c r="O714" s="1">
        <v>5.0838189828018898E-9</v>
      </c>
      <c r="P714" s="2">
        <f t="shared" si="35"/>
        <v>0.18275631144941745</v>
      </c>
    </row>
    <row r="715" spans="2:16" x14ac:dyDescent="0.25">
      <c r="B715">
        <v>714</v>
      </c>
      <c r="C715">
        <v>-0.35764394132409899</v>
      </c>
      <c r="D715">
        <v>-0.24618402376899501</v>
      </c>
      <c r="E715">
        <v>0.51163675506334205</v>
      </c>
      <c r="F715">
        <f t="shared" si="33"/>
        <v>-0.11145991755510398</v>
      </c>
      <c r="G715" s="2">
        <f t="shared" si="34"/>
        <v>2.4281510463126394E-2</v>
      </c>
      <c r="M715">
        <v>0.24824075021657499</v>
      </c>
      <c r="N715">
        <v>0.248270849292346</v>
      </c>
      <c r="O715" s="1">
        <v>1.9193829939714098E-9</v>
      </c>
      <c r="P715" s="2">
        <f t="shared" si="35"/>
        <v>0.47200291193278598</v>
      </c>
    </row>
    <row r="716" spans="2:16" x14ac:dyDescent="0.25">
      <c r="B716">
        <v>715</v>
      </c>
      <c r="C716">
        <v>-0.33873025984378602</v>
      </c>
      <c r="D716">
        <v>-0.22250637202758999</v>
      </c>
      <c r="E716">
        <v>0.45895275573535499</v>
      </c>
      <c r="F716">
        <f t="shared" si="33"/>
        <v>-0.11622388781619603</v>
      </c>
      <c r="G716" s="2">
        <f t="shared" si="34"/>
        <v>2.9432206104675413E-2</v>
      </c>
      <c r="M716">
        <v>0.99454025727152795</v>
      </c>
      <c r="N716">
        <v>0.99457958884880804</v>
      </c>
      <c r="O716" s="1">
        <v>8.3578327214157994E-9</v>
      </c>
      <c r="P716" s="2">
        <f t="shared" si="35"/>
        <v>0.18509259791424879</v>
      </c>
    </row>
    <row r="717" spans="2:16" x14ac:dyDescent="0.25">
      <c r="B717">
        <v>716</v>
      </c>
      <c r="C717">
        <v>-0.36219186941925402</v>
      </c>
      <c r="D717">
        <v>-0.2156913601272</v>
      </c>
      <c r="E717">
        <v>0.52473180109365603</v>
      </c>
      <c r="F717">
        <f t="shared" si="33"/>
        <v>-0.14650050929205402</v>
      </c>
      <c r="G717" s="2">
        <f t="shared" si="34"/>
        <v>4.0901655241970973E-2</v>
      </c>
      <c r="M717">
        <v>0.24837873576380701</v>
      </c>
      <c r="N717">
        <v>0.248368529759361</v>
      </c>
      <c r="O717" s="1">
        <v>1.39089866308096E-9</v>
      </c>
      <c r="P717" s="2">
        <f t="shared" si="35"/>
        <v>7.4888652578960727E-2</v>
      </c>
    </row>
    <row r="718" spans="2:16" x14ac:dyDescent="0.25">
      <c r="B718">
        <v>717</v>
      </c>
      <c r="C718">
        <v>-0.35892027147084299</v>
      </c>
      <c r="D718">
        <v>-0.18747845398059601</v>
      </c>
      <c r="E718">
        <v>0.51529504509081303</v>
      </c>
      <c r="F718">
        <f t="shared" si="33"/>
        <v>-0.17144181749024698</v>
      </c>
      <c r="G718" s="2">
        <f t="shared" si="34"/>
        <v>5.7039742695719507E-2</v>
      </c>
      <c r="M718">
        <v>0.99434126565736203</v>
      </c>
      <c r="N718">
        <v>0.99431604753903002</v>
      </c>
      <c r="O718" s="1">
        <v>8.9728619740432504E-9</v>
      </c>
      <c r="P718" s="2">
        <f t="shared" si="35"/>
        <v>7.0875211726945705E-2</v>
      </c>
    </row>
    <row r="719" spans="2:16" x14ac:dyDescent="0.25">
      <c r="B719">
        <v>718</v>
      </c>
      <c r="C719">
        <v>-0.358972387117727</v>
      </c>
      <c r="D719">
        <v>-0.17388152564060499</v>
      </c>
      <c r="E719">
        <v>0.51544469885199695</v>
      </c>
      <c r="F719">
        <f t="shared" si="33"/>
        <v>-0.185090861477122</v>
      </c>
      <c r="G719" s="2">
        <f t="shared" si="34"/>
        <v>6.6464214451413095E-2</v>
      </c>
      <c r="M719">
        <v>0.24841900705435299</v>
      </c>
      <c r="N719">
        <v>0.24840504577769901</v>
      </c>
      <c r="O719" s="1">
        <v>2.1286192993745698E-9</v>
      </c>
      <c r="P719" s="2">
        <f t="shared" si="35"/>
        <v>9.1569801075446863E-2</v>
      </c>
    </row>
    <row r="720" spans="2:16" x14ac:dyDescent="0.25">
      <c r="B720">
        <v>719</v>
      </c>
      <c r="C720">
        <v>-0.372987499995584</v>
      </c>
      <c r="D720">
        <v>-0.15805046614023899</v>
      </c>
      <c r="E720">
        <v>0.55647870061182403</v>
      </c>
      <c r="F720">
        <f t="shared" si="33"/>
        <v>-0.21493703385534502</v>
      </c>
      <c r="G720" s="2">
        <f t="shared" si="34"/>
        <v>8.3018323022500465E-2</v>
      </c>
      <c r="M720">
        <v>0.99423717301116399</v>
      </c>
      <c r="N720">
        <v>0.99421757208427297</v>
      </c>
      <c r="O720" s="1">
        <v>6.6921203118565099E-9</v>
      </c>
      <c r="P720" s="2">
        <f t="shared" si="35"/>
        <v>5.7410255208099559E-2</v>
      </c>
    </row>
    <row r="721" spans="2:16" x14ac:dyDescent="0.25">
      <c r="B721">
        <v>720</v>
      </c>
      <c r="C721">
        <v>-0.34772973574237998</v>
      </c>
      <c r="D721">
        <v>-0.150337018057803</v>
      </c>
      <c r="E721">
        <v>0.48366387647786302</v>
      </c>
      <c r="F721">
        <f t="shared" si="33"/>
        <v>-0.19739271768457697</v>
      </c>
      <c r="G721" s="2">
        <f t="shared" si="34"/>
        <v>8.0559841017373277E-2</v>
      </c>
      <c r="M721">
        <v>0.24828481958537199</v>
      </c>
      <c r="N721">
        <v>0.248275321298043</v>
      </c>
      <c r="O721" s="1">
        <v>1.7694548698755601E-9</v>
      </c>
      <c r="P721" s="2">
        <f t="shared" si="35"/>
        <v>5.098602045182888E-2</v>
      </c>
    </row>
    <row r="722" spans="2:16" x14ac:dyDescent="0.25">
      <c r="B722">
        <v>721</v>
      </c>
      <c r="C722">
        <v>-0.37520922136170498</v>
      </c>
      <c r="D722">
        <v>-0.124574942804487</v>
      </c>
      <c r="E722">
        <v>0.56312783917942799</v>
      </c>
      <c r="F722">
        <f t="shared" si="33"/>
        <v>-0.25063427855721798</v>
      </c>
      <c r="G722" s="2">
        <f t="shared" si="34"/>
        <v>0.111551120753385</v>
      </c>
      <c r="M722">
        <v>0.99457911482001904</v>
      </c>
      <c r="N722">
        <v>0.99456751961387702</v>
      </c>
      <c r="O722" s="1">
        <v>4.7138108470025697E-9</v>
      </c>
      <c r="P722" s="2">
        <f t="shared" si="35"/>
        <v>2.8522316622336976E-2</v>
      </c>
    </row>
    <row r="723" spans="2:16" x14ac:dyDescent="0.25">
      <c r="B723">
        <v>722</v>
      </c>
      <c r="C723">
        <v>-0.37287568369259699</v>
      </c>
      <c r="D723">
        <v>-0.110662668824602</v>
      </c>
      <c r="E723">
        <v>0.55614510195688704</v>
      </c>
      <c r="F723">
        <f t="shared" si="33"/>
        <v>-0.26221301486799498</v>
      </c>
      <c r="G723" s="2">
        <f t="shared" si="34"/>
        <v>0.12362900423690752</v>
      </c>
      <c r="M723">
        <v>0.24816959653711401</v>
      </c>
      <c r="N723">
        <v>0.248176386238426</v>
      </c>
      <c r="O723" s="1">
        <v>6.3347157794201195E-10</v>
      </c>
      <c r="P723" s="2">
        <f t="shared" si="35"/>
        <v>7.2773657905498293E-2</v>
      </c>
    </row>
    <row r="724" spans="2:16" x14ac:dyDescent="0.25">
      <c r="B724">
        <v>723</v>
      </c>
      <c r="C724">
        <v>-0.35717249319973898</v>
      </c>
      <c r="D724">
        <v>-0.10552606338974101</v>
      </c>
      <c r="E724">
        <v>0.51028875959406905</v>
      </c>
      <c r="F724">
        <f t="shared" si="33"/>
        <v>-0.25164642980999796</v>
      </c>
      <c r="G724" s="2">
        <f t="shared" si="34"/>
        <v>0.12409821781395604</v>
      </c>
      <c r="M724">
        <v>0.99482096822181498</v>
      </c>
      <c r="N724">
        <v>0.99483461471382495</v>
      </c>
      <c r="O724" s="1">
        <v>3.3748632438087498E-9</v>
      </c>
      <c r="P724" s="2">
        <f t="shared" si="35"/>
        <v>5.5180530505856362E-2</v>
      </c>
    </row>
    <row r="725" spans="2:16" x14ac:dyDescent="0.25">
      <c r="B725">
        <v>724</v>
      </c>
      <c r="C725">
        <v>-0.36332109918327699</v>
      </c>
      <c r="D725">
        <v>-0.101055218606026</v>
      </c>
      <c r="E725">
        <v>0.52800888444697902</v>
      </c>
      <c r="F725">
        <f t="shared" si="33"/>
        <v>-0.26226588057725098</v>
      </c>
      <c r="G725" s="2">
        <f t="shared" si="34"/>
        <v>0.13026938398395052</v>
      </c>
      <c r="M725">
        <v>0.24812299094331799</v>
      </c>
      <c r="N725">
        <v>0.248175555808131</v>
      </c>
      <c r="O725" s="1">
        <v>7.8751075143495905E-10</v>
      </c>
      <c r="P725" s="2">
        <f t="shared" si="35"/>
        <v>3.5086060828689294</v>
      </c>
    </row>
    <row r="726" spans="2:16" x14ac:dyDescent="0.25">
      <c r="B726">
        <v>725</v>
      </c>
      <c r="C726">
        <v>-0.36196843935325901</v>
      </c>
      <c r="D726">
        <v>-7.8375068949447402E-2</v>
      </c>
      <c r="E726">
        <v>0.52408460435133497</v>
      </c>
      <c r="F726">
        <f t="shared" si="33"/>
        <v>-0.28359337040381161</v>
      </c>
      <c r="G726" s="2">
        <f t="shared" si="34"/>
        <v>0.15345842840878068</v>
      </c>
      <c r="M726">
        <v>0.99473378111036403</v>
      </c>
      <c r="N726">
        <v>0.99483685738168504</v>
      </c>
      <c r="O726" s="1">
        <v>3.3460984489334798E-9</v>
      </c>
      <c r="P726" s="2">
        <f t="shared" si="35"/>
        <v>3.1752555615412561</v>
      </c>
    </row>
    <row r="727" spans="2:16" x14ac:dyDescent="0.25">
      <c r="B727">
        <v>726</v>
      </c>
      <c r="C727">
        <v>-0.33031072421551699</v>
      </c>
      <c r="D727">
        <v>-6.8440958768572202E-2</v>
      </c>
      <c r="E727">
        <v>0.43642069812711898</v>
      </c>
      <c r="F727">
        <f t="shared" si="33"/>
        <v>-0.26186976544694479</v>
      </c>
      <c r="G727" s="2">
        <f t="shared" si="34"/>
        <v>0.1571322679000513</v>
      </c>
      <c r="M727">
        <v>0.248188664794224</v>
      </c>
      <c r="N727">
        <v>0.248200549907241</v>
      </c>
      <c r="O727" s="1">
        <v>8.8093882590540801E-10</v>
      </c>
      <c r="P727" s="2">
        <f t="shared" si="35"/>
        <v>0.16034701533528542</v>
      </c>
    </row>
    <row r="728" spans="2:16" x14ac:dyDescent="0.25">
      <c r="B728">
        <v>727</v>
      </c>
      <c r="C728">
        <v>-0.36297570601735801</v>
      </c>
      <c r="D728">
        <v>-4.6274688008227302E-2</v>
      </c>
      <c r="E728">
        <v>0.52700545263519805</v>
      </c>
      <c r="F728">
        <f t="shared" si="33"/>
        <v>-0.3167010180091307</v>
      </c>
      <c r="G728" s="2">
        <f t="shared" si="34"/>
        <v>0.19031972877413234</v>
      </c>
      <c r="M728">
        <v>0.99474699771098396</v>
      </c>
      <c r="N728">
        <v>0.99476936358211898</v>
      </c>
      <c r="O728" s="1">
        <v>4.0303551910944902E-9</v>
      </c>
      <c r="P728" s="2">
        <f t="shared" si="35"/>
        <v>0.12411615550255022</v>
      </c>
    </row>
    <row r="729" spans="2:16" x14ac:dyDescent="0.25">
      <c r="B729">
        <v>728</v>
      </c>
      <c r="C729">
        <v>-0.33769824113881802</v>
      </c>
      <c r="D729">
        <v>-3.7756119413570099E-2</v>
      </c>
      <c r="E729">
        <v>0.45616040827300602</v>
      </c>
      <c r="F729">
        <f t="shared" si="33"/>
        <v>-0.29994212172524792</v>
      </c>
      <c r="G729" s="2">
        <f t="shared" si="34"/>
        <v>0.19722289517769898</v>
      </c>
      <c r="M729">
        <v>0.248120303124821</v>
      </c>
      <c r="N729">
        <v>0.24816476832169401</v>
      </c>
      <c r="O729" s="1">
        <v>6.6426310240533203E-10</v>
      </c>
      <c r="P729" s="2">
        <f t="shared" si="35"/>
        <v>2.976461775155486</v>
      </c>
    </row>
    <row r="730" spans="2:16" x14ac:dyDescent="0.25">
      <c r="B730">
        <v>729</v>
      </c>
      <c r="C730">
        <v>-0.38635426149506502</v>
      </c>
      <c r="D730">
        <v>-0.36232715968828799</v>
      </c>
      <c r="E730">
        <v>0.59707846150158805</v>
      </c>
      <c r="F730">
        <f t="shared" si="33"/>
        <v>-2.4027101806777029E-2</v>
      </c>
      <c r="G730" s="2">
        <f t="shared" si="34"/>
        <v>9.6687731756623166E-4</v>
      </c>
      <c r="M730">
        <v>0.99482227081780406</v>
      </c>
      <c r="N730">
        <v>0.99486599131027798</v>
      </c>
      <c r="O730" s="1">
        <v>1.62613473369138E-9</v>
      </c>
      <c r="P730" s="2">
        <f t="shared" si="35"/>
        <v>1.1754754526538866</v>
      </c>
    </row>
    <row r="731" spans="2:16" x14ac:dyDescent="0.25">
      <c r="B731">
        <v>730</v>
      </c>
      <c r="C731">
        <v>-0.36332744905053999</v>
      </c>
      <c r="D731">
        <v>-0.35177850912567199</v>
      </c>
      <c r="E731">
        <v>0.52802734093429204</v>
      </c>
      <c r="F731">
        <f t="shared" si="33"/>
        <v>-1.1548939924867996E-2</v>
      </c>
      <c r="G731" s="2">
        <f t="shared" si="34"/>
        <v>2.5259679385580835E-4</v>
      </c>
      <c r="M731">
        <v>0.24805110175270501</v>
      </c>
      <c r="N731">
        <v>0.24806255111144401</v>
      </c>
      <c r="O731" s="1">
        <v>7.0472835173906596E-10</v>
      </c>
      <c r="P731" s="2">
        <f t="shared" si="35"/>
        <v>0.18601183734271368</v>
      </c>
    </row>
    <row r="732" spans="2:16" x14ac:dyDescent="0.25">
      <c r="B732">
        <v>731</v>
      </c>
      <c r="C732">
        <v>-0.37583585156188198</v>
      </c>
      <c r="D732">
        <v>-0.326495900725289</v>
      </c>
      <c r="E732">
        <v>0.56501034927698102</v>
      </c>
      <c r="F732">
        <f t="shared" si="33"/>
        <v>-4.9339950836592983E-2</v>
      </c>
      <c r="G732" s="2">
        <f t="shared" si="34"/>
        <v>4.3086480657790549E-3</v>
      </c>
      <c r="M732">
        <v>0.99510888213256199</v>
      </c>
      <c r="N732">
        <v>0.995142156120286</v>
      </c>
      <c r="O732" s="1">
        <v>5.5950954141456302E-9</v>
      </c>
      <c r="P732" s="2">
        <f t="shared" si="35"/>
        <v>0.19788013914091554</v>
      </c>
    </row>
    <row r="733" spans="2:16" x14ac:dyDescent="0.25">
      <c r="B733">
        <v>732</v>
      </c>
      <c r="C733">
        <v>-0.37156031785723997</v>
      </c>
      <c r="D733">
        <v>-0.30423805820734401</v>
      </c>
      <c r="E733">
        <v>0.55222827922469198</v>
      </c>
      <c r="F733">
        <f t="shared" si="33"/>
        <v>-6.7322259649895966E-2</v>
      </c>
      <c r="G733" s="2">
        <f t="shared" si="34"/>
        <v>8.2072700998419949E-3</v>
      </c>
      <c r="M733">
        <v>4.3145291307927698</v>
      </c>
      <c r="N733">
        <v>4.3145293005115697</v>
      </c>
      <c r="O733" s="1">
        <v>2.9034702331911501E-7</v>
      </c>
      <c r="P733" s="2">
        <f t="shared" si="35"/>
        <v>9.9207047866948036E-8</v>
      </c>
    </row>
    <row r="734" spans="2:16" x14ac:dyDescent="0.25">
      <c r="B734">
        <v>733</v>
      </c>
      <c r="C734">
        <v>-0.38722427871554699</v>
      </c>
      <c r="D734">
        <v>-0.26094275485139301</v>
      </c>
      <c r="E734">
        <v>0.59977056810710105</v>
      </c>
      <c r="F734">
        <f t="shared" si="33"/>
        <v>-0.12628152386415398</v>
      </c>
      <c r="G734" s="2">
        <f t="shared" si="34"/>
        <v>2.6588539213890254E-2</v>
      </c>
      <c r="M734">
        <v>2.01754094871449</v>
      </c>
      <c r="N734">
        <v>2.0179621131572598</v>
      </c>
      <c r="O734" s="1">
        <v>4.0044801072053399E-8</v>
      </c>
      <c r="P734" s="2">
        <f t="shared" si="35"/>
        <v>4.4295260084942374</v>
      </c>
    </row>
    <row r="735" spans="2:16" x14ac:dyDescent="0.25">
      <c r="B735">
        <v>734</v>
      </c>
      <c r="C735">
        <v>-0.35199818396353899</v>
      </c>
      <c r="D735">
        <v>-0.24762852546661501</v>
      </c>
      <c r="E735">
        <v>0.49561088605451797</v>
      </c>
      <c r="F735">
        <f t="shared" si="33"/>
        <v>-0.10436965849692398</v>
      </c>
      <c r="G735" s="2">
        <f t="shared" si="34"/>
        <v>2.1978987793190411E-2</v>
      </c>
      <c r="M735">
        <v>4.3259150019296797</v>
      </c>
      <c r="N735">
        <v>4.3261629443570104</v>
      </c>
      <c r="O735" s="1">
        <v>2.5670642042422699E-7</v>
      </c>
      <c r="P735" s="2">
        <f t="shared" si="35"/>
        <v>0.23947763818707821</v>
      </c>
    </row>
    <row r="736" spans="2:16" x14ac:dyDescent="0.25">
      <c r="B736">
        <v>735</v>
      </c>
      <c r="C736">
        <v>-0.38693201800497501</v>
      </c>
      <c r="D736">
        <v>-0.22928897288171199</v>
      </c>
      <c r="E736">
        <v>0.59886554622960797</v>
      </c>
      <c r="F736">
        <f t="shared" si="33"/>
        <v>-0.15764304512326302</v>
      </c>
      <c r="G736" s="2">
        <f t="shared" si="34"/>
        <v>4.1497344157125741E-2</v>
      </c>
      <c r="M736">
        <v>4.3152629586462403</v>
      </c>
      <c r="N736">
        <v>4.3155318463566896</v>
      </c>
      <c r="O736" s="1">
        <v>2.09775429036219E-7</v>
      </c>
      <c r="P736" s="2">
        <f t="shared" si="35"/>
        <v>0.34465714675376324</v>
      </c>
    </row>
    <row r="737" spans="2:16" x14ac:dyDescent="0.25">
      <c r="B737">
        <v>736</v>
      </c>
      <c r="C737">
        <v>-0.36985457591509902</v>
      </c>
      <c r="D737">
        <v>-0.204537810844173</v>
      </c>
      <c r="E737">
        <v>0.54716962930135105</v>
      </c>
      <c r="F737">
        <f t="shared" si="33"/>
        <v>-0.16531676507092602</v>
      </c>
      <c r="G737" s="2">
        <f t="shared" si="34"/>
        <v>4.9947276584797584E-2</v>
      </c>
      <c r="M737">
        <v>2.0178847132639901</v>
      </c>
      <c r="N737">
        <v>2.0182551377037998</v>
      </c>
      <c r="O737" s="1">
        <v>4.1603333596768701E-8</v>
      </c>
      <c r="P737" s="2">
        <f t="shared" si="35"/>
        <v>3.2981555501842172</v>
      </c>
    </row>
    <row r="738" spans="2:16" x14ac:dyDescent="0.25">
      <c r="B738">
        <v>737</v>
      </c>
      <c r="C738">
        <v>-0.37336839888336398</v>
      </c>
      <c r="D738">
        <v>-0.17422719551789601</v>
      </c>
      <c r="E738">
        <v>0.55761584513890605</v>
      </c>
      <c r="F738">
        <f t="shared" si="33"/>
        <v>-0.19914120336546798</v>
      </c>
      <c r="G738" s="2">
        <f t="shared" si="34"/>
        <v>7.1119246742294015E-2</v>
      </c>
      <c r="M738">
        <v>4.3261609843119802</v>
      </c>
      <c r="N738">
        <v>4.3265416014558697</v>
      </c>
      <c r="O738" s="1">
        <v>2.4738058742555898E-7</v>
      </c>
      <c r="P738" s="2">
        <f t="shared" si="35"/>
        <v>0.58561349429354836</v>
      </c>
    </row>
    <row r="739" spans="2:16" x14ac:dyDescent="0.25">
      <c r="B739">
        <v>738</v>
      </c>
      <c r="C739">
        <v>-0.34228805801936502</v>
      </c>
      <c r="D739">
        <v>-0.16662147927465301</v>
      </c>
      <c r="E739">
        <v>0.468644458650673</v>
      </c>
      <c r="F739">
        <f t="shared" si="33"/>
        <v>-0.175666578744712</v>
      </c>
      <c r="G739" s="2">
        <f t="shared" si="34"/>
        <v>6.584681909335062E-2</v>
      </c>
      <c r="M739">
        <v>4.3168371110762997</v>
      </c>
      <c r="N739">
        <v>4.3161406861543501</v>
      </c>
      <c r="O739" s="1">
        <v>1.3086907573530399E-7</v>
      </c>
      <c r="P739" s="2">
        <f t="shared" si="35"/>
        <v>3.7060525505166901</v>
      </c>
    </row>
    <row r="740" spans="2:16" x14ac:dyDescent="0.25">
      <c r="B740">
        <v>739</v>
      </c>
      <c r="C740">
        <v>-0.35437365434322898</v>
      </c>
      <c r="D740">
        <v>-0.149234446457088</v>
      </c>
      <c r="E740">
        <v>0.50232274757029804</v>
      </c>
      <c r="F740">
        <f t="shared" si="33"/>
        <v>-0.20513920788614098</v>
      </c>
      <c r="G740" s="2">
        <f t="shared" si="34"/>
        <v>8.3775012809397309E-2</v>
      </c>
      <c r="M740">
        <v>2.01868809403364</v>
      </c>
      <c r="N740">
        <v>2.0184330772107302</v>
      </c>
      <c r="O740" s="1">
        <v>4.0024366759153503E-8</v>
      </c>
      <c r="P740" s="2">
        <f t="shared" si="35"/>
        <v>1.6248496911487</v>
      </c>
    </row>
    <row r="741" spans="2:16" x14ac:dyDescent="0.25">
      <c r="B741">
        <v>740</v>
      </c>
      <c r="C741">
        <v>-0.35057233529893</v>
      </c>
      <c r="D741">
        <v>-0.147559906831955</v>
      </c>
      <c r="E741">
        <v>0.49160384910778299</v>
      </c>
      <c r="F741">
        <f t="shared" si="33"/>
        <v>-0.20301242846697501</v>
      </c>
      <c r="G741" s="2">
        <f t="shared" si="34"/>
        <v>8.3835889785766435E-2</v>
      </c>
      <c r="M741">
        <v>4.3275424276373498</v>
      </c>
      <c r="N741">
        <v>4.32677153077623</v>
      </c>
      <c r="O741" s="1">
        <v>1.15828864202674E-7</v>
      </c>
      <c r="P741" s="2">
        <f t="shared" si="35"/>
        <v>5.1306897859624074</v>
      </c>
    </row>
    <row r="742" spans="2:16" x14ac:dyDescent="0.25">
      <c r="B742">
        <v>741</v>
      </c>
      <c r="C742">
        <v>-0.33341145228602398</v>
      </c>
      <c r="D742">
        <v>-0.12938571771151799</v>
      </c>
      <c r="E742">
        <v>0.444652786061903</v>
      </c>
      <c r="F742">
        <f t="shared" si="33"/>
        <v>-0.20402573457450598</v>
      </c>
      <c r="G742" s="2">
        <f t="shared" si="34"/>
        <v>9.3615741705645517E-2</v>
      </c>
      <c r="M742">
        <v>4.3163086771147103</v>
      </c>
      <c r="N742">
        <v>4.3161670984829401</v>
      </c>
      <c r="O742" s="1">
        <v>1.6188509357667299E-7</v>
      </c>
      <c r="P742" s="2">
        <f t="shared" si="35"/>
        <v>0.12381936181440162</v>
      </c>
    </row>
    <row r="743" spans="2:16" x14ac:dyDescent="0.25">
      <c r="B743">
        <v>742</v>
      </c>
      <c r="C743">
        <v>-0.36766372492515098</v>
      </c>
      <c r="D743">
        <v>-0.12722934025572999</v>
      </c>
      <c r="E743">
        <v>0.54070645850334897</v>
      </c>
      <c r="F743">
        <f t="shared" si="33"/>
        <v>-0.24043438466942099</v>
      </c>
      <c r="G743" s="2">
        <f t="shared" si="34"/>
        <v>0.10691326582518536</v>
      </c>
      <c r="M743">
        <v>2.01867736147272</v>
      </c>
      <c r="N743">
        <v>2.0184407962642901</v>
      </c>
      <c r="O743" s="1">
        <v>3.6620449623499901E-8</v>
      </c>
      <c r="P743" s="2">
        <f t="shared" si="35"/>
        <v>1.5281925376361007</v>
      </c>
    </row>
    <row r="744" spans="2:16" x14ac:dyDescent="0.25">
      <c r="B744">
        <v>743</v>
      </c>
      <c r="C744">
        <v>-0.38443173014272197</v>
      </c>
      <c r="D744">
        <v>-0.107820552602823</v>
      </c>
      <c r="E744">
        <v>0.591151020562105</v>
      </c>
      <c r="F744">
        <f t="shared" si="33"/>
        <v>-0.27661117753989894</v>
      </c>
      <c r="G744" s="2">
        <f t="shared" si="34"/>
        <v>0.12943180486647088</v>
      </c>
      <c r="M744">
        <v>4.32673024535345</v>
      </c>
      <c r="N744">
        <v>4.3267815049767</v>
      </c>
      <c r="O744" s="1">
        <v>1.2729136476889601E-7</v>
      </c>
      <c r="P744" s="2">
        <f t="shared" si="35"/>
        <v>2.0642004903520039E-2</v>
      </c>
    </row>
    <row r="745" spans="2:16" x14ac:dyDescent="0.25">
      <c r="B745">
        <v>744</v>
      </c>
      <c r="C745">
        <v>-0.35088906559608002</v>
      </c>
      <c r="D745">
        <v>-0.106830733416104</v>
      </c>
      <c r="E745">
        <v>0.49249254541956</v>
      </c>
      <c r="F745">
        <f t="shared" si="33"/>
        <v>-0.24405833217997602</v>
      </c>
      <c r="G745" s="2">
        <f t="shared" si="34"/>
        <v>0.120944915939241</v>
      </c>
      <c r="M745">
        <v>4.3175970942499502</v>
      </c>
      <c r="N745">
        <v>4.3172527905141296</v>
      </c>
      <c r="O745" s="1">
        <v>1.22426887002054E-7</v>
      </c>
      <c r="P745" s="2">
        <f t="shared" si="35"/>
        <v>0.96829271251538307</v>
      </c>
    </row>
    <row r="746" spans="2:16" x14ac:dyDescent="0.25">
      <c r="B746">
        <v>745</v>
      </c>
      <c r="C746">
        <v>-0.35659588063285702</v>
      </c>
      <c r="D746">
        <v>-9.7836096083470298E-2</v>
      </c>
      <c r="E746">
        <v>0.50864248833729198</v>
      </c>
      <c r="F746">
        <f t="shared" si="33"/>
        <v>-0.25875978454938675</v>
      </c>
      <c r="G746" s="2">
        <f t="shared" si="34"/>
        <v>0.13163789426817338</v>
      </c>
      <c r="M746">
        <v>2.01894273617375</v>
      </c>
      <c r="N746">
        <v>2.0187580765075901</v>
      </c>
      <c r="O746" s="1">
        <v>2.86857373179664E-8</v>
      </c>
      <c r="P746" s="2">
        <f t="shared" si="35"/>
        <v>1.1887159088262909</v>
      </c>
    </row>
    <row r="747" spans="2:16" x14ac:dyDescent="0.25">
      <c r="B747">
        <v>746</v>
      </c>
      <c r="C747">
        <v>-0.33015343525445501</v>
      </c>
      <c r="D747">
        <v>-9.8069211639311996E-2</v>
      </c>
      <c r="E747">
        <v>0.43600516324127098</v>
      </c>
      <c r="F747">
        <f t="shared" si="33"/>
        <v>-0.23208422361514303</v>
      </c>
      <c r="G747" s="2">
        <f t="shared" si="34"/>
        <v>0.12353772705493775</v>
      </c>
      <c r="M747">
        <v>4.3275871188501496</v>
      </c>
      <c r="N747">
        <v>4.32719146657855</v>
      </c>
      <c r="O747" s="1">
        <v>9.5538792255400596E-8</v>
      </c>
      <c r="P747" s="2">
        <f t="shared" si="35"/>
        <v>1.6385042800562619</v>
      </c>
    </row>
    <row r="748" spans="2:16" x14ac:dyDescent="0.25">
      <c r="B748">
        <v>747</v>
      </c>
      <c r="C748">
        <v>-0.34064648731313402</v>
      </c>
      <c r="D748">
        <v>-9.4286903026038399E-2</v>
      </c>
      <c r="E748">
        <v>0.46416011727510798</v>
      </c>
      <c r="F748">
        <f t="shared" si="33"/>
        <v>-0.24635958428709562</v>
      </c>
      <c r="G748" s="2">
        <f t="shared" si="34"/>
        <v>0.13075885348877953</v>
      </c>
      <c r="M748">
        <v>4.3175715311532699</v>
      </c>
      <c r="N748">
        <v>4.3175583841508001</v>
      </c>
      <c r="O748" s="1">
        <v>3.7561818582125197E-8</v>
      </c>
      <c r="P748" s="2">
        <f t="shared" si="35"/>
        <v>4.6015789561105773E-3</v>
      </c>
    </row>
    <row r="749" spans="2:16" x14ac:dyDescent="0.25">
      <c r="B749">
        <v>748</v>
      </c>
      <c r="C749">
        <v>-0.33622893029772999</v>
      </c>
      <c r="D749">
        <v>-9.1248364012900401E-2</v>
      </c>
      <c r="E749">
        <v>0.45219957427662399</v>
      </c>
      <c r="F749">
        <f t="shared" si="33"/>
        <v>-0.24498056628482959</v>
      </c>
      <c r="G749" s="2">
        <f t="shared" si="34"/>
        <v>0.13271900565860001</v>
      </c>
      <c r="M749">
        <v>2.0189510765626499</v>
      </c>
      <c r="N749">
        <v>2.0188473771203101</v>
      </c>
      <c r="O749" s="1">
        <v>1.8096956976698001E-8</v>
      </c>
      <c r="P749" s="2">
        <f t="shared" si="35"/>
        <v>0.59422003132513646</v>
      </c>
    </row>
    <row r="750" spans="2:16" x14ac:dyDescent="0.25">
      <c r="B750">
        <v>749</v>
      </c>
      <c r="C750">
        <v>-0.29938821003353899</v>
      </c>
      <c r="D750">
        <v>-0.31473767555734899</v>
      </c>
      <c r="E750">
        <v>0.35853320122834598</v>
      </c>
      <c r="F750">
        <f t="shared" si="33"/>
        <v>1.5349465523810002E-2</v>
      </c>
      <c r="G750" s="2">
        <f t="shared" si="34"/>
        <v>6.5713883974883778E-4</v>
      </c>
      <c r="M750">
        <v>4.3273414879672503</v>
      </c>
      <c r="N750">
        <v>4.3273068483541497</v>
      </c>
      <c r="O750" s="1">
        <v>4.4663207090819499E-8</v>
      </c>
      <c r="P750" s="2">
        <f t="shared" si="35"/>
        <v>2.6865576252002914E-2</v>
      </c>
    </row>
    <row r="751" spans="2:16" x14ac:dyDescent="0.25">
      <c r="B751">
        <v>750</v>
      </c>
      <c r="C751">
        <v>-0.323619649744397</v>
      </c>
      <c r="D751">
        <v>-0.29128063407893701</v>
      </c>
      <c r="E751">
        <v>0.41891871080274501</v>
      </c>
      <c r="F751">
        <f t="shared" si="33"/>
        <v>-3.2339015665459991E-2</v>
      </c>
      <c r="G751" s="2">
        <f t="shared" si="34"/>
        <v>2.4964555347906266E-3</v>
      </c>
      <c r="M751">
        <v>4.3175485471324198</v>
      </c>
      <c r="N751">
        <v>4.3177168649080899</v>
      </c>
      <c r="O751" s="1">
        <v>1.1513676092676799E-7</v>
      </c>
      <c r="P751" s="2">
        <f t="shared" si="35"/>
        <v>0.24606279852333798</v>
      </c>
    </row>
    <row r="752" spans="2:16" x14ac:dyDescent="0.25">
      <c r="B752">
        <v>751</v>
      </c>
      <c r="C752">
        <v>-0.25590013060087702</v>
      </c>
      <c r="D752">
        <v>-0.271567081220004</v>
      </c>
      <c r="E752">
        <v>0.26193950736618399</v>
      </c>
      <c r="F752">
        <f t="shared" si="33"/>
        <v>1.5666950619126985E-2</v>
      </c>
      <c r="G752" s="2">
        <f t="shared" si="34"/>
        <v>9.3706117175759436E-4</v>
      </c>
      <c r="M752">
        <v>2.0187897404419002</v>
      </c>
      <c r="N752">
        <v>2.01889368745459</v>
      </c>
      <c r="O752" s="1">
        <v>1.9781331063821401E-8</v>
      </c>
      <c r="P752" s="2">
        <f t="shared" si="35"/>
        <v>0.54622115227080004</v>
      </c>
    </row>
    <row r="753" spans="2:16" x14ac:dyDescent="0.25">
      <c r="B753">
        <v>752</v>
      </c>
      <c r="C753">
        <v>-0.28020914990988599</v>
      </c>
      <c r="D753">
        <v>-0.26444539026556801</v>
      </c>
      <c r="E753">
        <v>0.31406867077288297</v>
      </c>
      <c r="F753">
        <f t="shared" si="33"/>
        <v>-1.5763759644317976E-2</v>
      </c>
      <c r="G753" s="2">
        <f t="shared" si="34"/>
        <v>7.9121587489866703E-4</v>
      </c>
      <c r="M753">
        <v>4.3271788389622703</v>
      </c>
      <c r="N753">
        <v>4.3273666832998199</v>
      </c>
      <c r="O753" s="1">
        <v>9.7509320445354001E-8</v>
      </c>
      <c r="P753" s="2">
        <f t="shared" si="35"/>
        <v>0.36186792183850441</v>
      </c>
    </row>
    <row r="754" spans="2:16" x14ac:dyDescent="0.25">
      <c r="B754">
        <v>753</v>
      </c>
      <c r="C754">
        <v>-0.30053997154073497</v>
      </c>
      <c r="D754">
        <v>-0.23825419102491799</v>
      </c>
      <c r="E754">
        <v>0.36129709797482301</v>
      </c>
      <c r="F754">
        <f t="shared" si="33"/>
        <v>-6.2285780515816985E-2</v>
      </c>
      <c r="G754" s="2">
        <f t="shared" si="34"/>
        <v>1.0737751496511802E-2</v>
      </c>
      <c r="M754">
        <v>4.3185131954989799</v>
      </c>
      <c r="N754">
        <v>4.3182345616986</v>
      </c>
      <c r="O754" s="1">
        <v>1.90380600031593E-7</v>
      </c>
      <c r="P754" s="2">
        <f t="shared" si="35"/>
        <v>0.40779782552053223</v>
      </c>
    </row>
    <row r="755" spans="2:16" x14ac:dyDescent="0.25">
      <c r="B755">
        <v>754</v>
      </c>
      <c r="C755">
        <v>-0.26674383152428899</v>
      </c>
      <c r="D755">
        <v>-0.213337869473464</v>
      </c>
      <c r="E755">
        <v>0.28460908662503298</v>
      </c>
      <c r="F755">
        <f t="shared" si="33"/>
        <v>-5.3405962050824984E-2</v>
      </c>
      <c r="G755" s="2">
        <f t="shared" si="34"/>
        <v>1.0021453694245092E-2</v>
      </c>
      <c r="M755">
        <v>2.0192605973820998</v>
      </c>
      <c r="N755">
        <v>2.0190449613869399</v>
      </c>
      <c r="O755" s="1">
        <v>4.5276837222292799E-8</v>
      </c>
      <c r="P755" s="2">
        <f t="shared" si="35"/>
        <v>1.0269905157095618</v>
      </c>
    </row>
    <row r="756" spans="2:16" x14ac:dyDescent="0.25">
      <c r="B756">
        <v>755</v>
      </c>
      <c r="C756">
        <v>-0.31806530527332599</v>
      </c>
      <c r="D756">
        <v>-0.196942654633743</v>
      </c>
      <c r="E756">
        <v>0.40466215367445701</v>
      </c>
      <c r="F756">
        <f t="shared" si="33"/>
        <v>-0.121122650639583</v>
      </c>
      <c r="G756" s="2">
        <f t="shared" si="34"/>
        <v>3.6254184792780919E-2</v>
      </c>
      <c r="M756">
        <v>4.3278318400162199</v>
      </c>
      <c r="N756">
        <v>4.3275621319343101</v>
      </c>
      <c r="O756" s="1">
        <v>1.20731000606501E-7</v>
      </c>
      <c r="P756" s="2">
        <f t="shared" si="35"/>
        <v>0.60251674451517789</v>
      </c>
    </row>
    <row r="757" spans="2:16" x14ac:dyDescent="0.25">
      <c r="B757">
        <v>756</v>
      </c>
      <c r="C757">
        <v>-0.31762395280250899</v>
      </c>
      <c r="D757">
        <v>-0.177592334828575</v>
      </c>
      <c r="E757">
        <v>0.40353990157556102</v>
      </c>
      <c r="F757">
        <f t="shared" si="33"/>
        <v>-0.14003161797393399</v>
      </c>
      <c r="G757" s="2">
        <f t="shared" si="34"/>
        <v>4.8592106891630696E-2</v>
      </c>
      <c r="M757">
        <v>4.3174632683905703</v>
      </c>
      <c r="N757">
        <v>4.3175054275817999</v>
      </c>
      <c r="O757" s="1">
        <v>5.4098655168342199E-8</v>
      </c>
      <c r="P757" s="2">
        <f t="shared" si="35"/>
        <v>3.2854742869404284E-2</v>
      </c>
    </row>
    <row r="758" spans="2:16" x14ac:dyDescent="0.25">
      <c r="B758">
        <v>757</v>
      </c>
      <c r="C758">
        <v>-0.30445691686903198</v>
      </c>
      <c r="D758">
        <v>-0.15521687568770001</v>
      </c>
      <c r="E758">
        <v>0.37077605691758497</v>
      </c>
      <c r="F758">
        <f t="shared" si="33"/>
        <v>-0.14924004118133197</v>
      </c>
      <c r="G758" s="2">
        <f t="shared" si="34"/>
        <v>6.0070194599314029E-2</v>
      </c>
      <c r="M758">
        <v>2.0190175834795001</v>
      </c>
      <c r="N758">
        <v>2.01883190231456</v>
      </c>
      <c r="O758" s="1">
        <v>1.1013938271746201E-8</v>
      </c>
      <c r="P758" s="2">
        <f t="shared" si="35"/>
        <v>3.130351211606182</v>
      </c>
    </row>
    <row r="759" spans="2:16" x14ac:dyDescent="0.25">
      <c r="B759">
        <v>758</v>
      </c>
      <c r="C759">
        <v>-0.30238300848934602</v>
      </c>
      <c r="D759">
        <v>-0.14593932074131699</v>
      </c>
      <c r="E759">
        <v>0.365741935292272</v>
      </c>
      <c r="F759">
        <f t="shared" si="33"/>
        <v>-0.15644368774802903</v>
      </c>
      <c r="G759" s="2">
        <f t="shared" si="34"/>
        <v>6.6917750125220457E-2</v>
      </c>
      <c r="M759">
        <v>4.3272710913302097</v>
      </c>
      <c r="N759">
        <v>4.3272868541173501</v>
      </c>
      <c r="O759" s="1">
        <v>5.8725862102999301E-8</v>
      </c>
      <c r="P759" s="2">
        <f t="shared" si="35"/>
        <v>4.2309376063138044E-3</v>
      </c>
    </row>
    <row r="760" spans="2:16" x14ac:dyDescent="0.25">
      <c r="B760">
        <v>759</v>
      </c>
      <c r="C760">
        <v>-0.36074074902408199</v>
      </c>
      <c r="D760">
        <v>-0.150620016100252</v>
      </c>
      <c r="E760">
        <v>0.52053555202582102</v>
      </c>
      <c r="F760">
        <f t="shared" si="33"/>
        <v>-0.21012073292382999</v>
      </c>
      <c r="G760" s="2">
        <f t="shared" si="34"/>
        <v>8.4817880801074289E-2</v>
      </c>
      <c r="M760">
        <v>4.3177469185564004</v>
      </c>
      <c r="N760">
        <v>4.3180533199660198</v>
      </c>
      <c r="O760" s="1">
        <v>6.2668283709574201E-8</v>
      </c>
      <c r="P760" s="2">
        <f t="shared" si="35"/>
        <v>1.498075553686337</v>
      </c>
    </row>
    <row r="761" spans="2:16" x14ac:dyDescent="0.25">
      <c r="B761">
        <v>760</v>
      </c>
      <c r="C761">
        <v>-0.27766021772333299</v>
      </c>
      <c r="D761">
        <v>-0.14508402566697001</v>
      </c>
      <c r="E761">
        <v>0.308380786024674</v>
      </c>
      <c r="F761">
        <f t="shared" si="33"/>
        <v>-0.13257619205636298</v>
      </c>
      <c r="G761" s="2">
        <f t="shared" si="34"/>
        <v>5.6995920293034491E-2</v>
      </c>
      <c r="M761">
        <v>2.01885661699243</v>
      </c>
      <c r="N761">
        <v>2.0189920023007102</v>
      </c>
      <c r="O761" s="1">
        <v>2.7037473410499798E-8</v>
      </c>
      <c r="P761" s="2">
        <f t="shared" si="35"/>
        <v>0.67791769666606005</v>
      </c>
    </row>
    <row r="762" spans="2:16" x14ac:dyDescent="0.25">
      <c r="B762">
        <v>761</v>
      </c>
      <c r="C762">
        <v>-0.28709857254186599</v>
      </c>
      <c r="D762">
        <v>-0.13808389213620201</v>
      </c>
      <c r="E762">
        <v>0.32970236142230902</v>
      </c>
      <c r="F762">
        <f t="shared" si="33"/>
        <v>-0.14901468040566399</v>
      </c>
      <c r="G762" s="2">
        <f t="shared" si="34"/>
        <v>6.7349760191616481E-2</v>
      </c>
      <c r="M762">
        <v>4.3270548703320104</v>
      </c>
      <c r="N762">
        <v>4.3274937085065401</v>
      </c>
      <c r="O762" s="1">
        <v>8.6187509846145901E-8</v>
      </c>
      <c r="P762" s="2">
        <f t="shared" si="35"/>
        <v>2.2344182326227111</v>
      </c>
    </row>
    <row r="763" spans="2:16" x14ac:dyDescent="0.25">
      <c r="B763">
        <v>762</v>
      </c>
      <c r="C763">
        <v>-0.29593900255368599</v>
      </c>
      <c r="D763">
        <v>-0.136190283561239</v>
      </c>
      <c r="E763">
        <v>0.35031957292988303</v>
      </c>
      <c r="F763">
        <f t="shared" si="33"/>
        <v>-0.159748718992447</v>
      </c>
      <c r="G763" s="2">
        <f t="shared" si="34"/>
        <v>7.2846781029947169E-2</v>
      </c>
      <c r="M763">
        <v>0.460583154564149</v>
      </c>
      <c r="N763">
        <v>0.46073473167533402</v>
      </c>
      <c r="O763" s="1">
        <v>5.7212425520746401E-9</v>
      </c>
      <c r="P763" s="2">
        <f t="shared" si="35"/>
        <v>4.0158445348317438</v>
      </c>
    </row>
    <row r="764" spans="2:16" x14ac:dyDescent="0.25">
      <c r="B764">
        <v>763</v>
      </c>
      <c r="C764">
        <v>-0.331287143379075</v>
      </c>
      <c r="D764">
        <v>-0.36244508889754001</v>
      </c>
      <c r="E764">
        <v>0.43900468547306998</v>
      </c>
      <c r="F764">
        <f t="shared" si="33"/>
        <v>3.1157945518465013E-2</v>
      </c>
      <c r="G764" s="2">
        <f t="shared" si="34"/>
        <v>2.2114059395185823E-3</v>
      </c>
      <c r="M764">
        <v>0.99274803025657199</v>
      </c>
      <c r="N764">
        <v>0.99254697836024697</v>
      </c>
      <c r="O764" s="1">
        <v>1.5814321073453901E-8</v>
      </c>
      <c r="P764" s="2">
        <f t="shared" si="35"/>
        <v>2.5560291098262788</v>
      </c>
    </row>
    <row r="765" spans="2:16" x14ac:dyDescent="0.25">
      <c r="B765">
        <v>764</v>
      </c>
      <c r="C765">
        <v>-0.34387179110136801</v>
      </c>
      <c r="D765">
        <v>-0.35877995694223203</v>
      </c>
      <c r="E765">
        <v>0.47299123486105299</v>
      </c>
      <c r="F765">
        <f t="shared" si="33"/>
        <v>1.4908165840864018E-2</v>
      </c>
      <c r="G765" s="2">
        <f t="shared" si="34"/>
        <v>4.6988906423180214E-4</v>
      </c>
      <c r="M765">
        <v>0.46022085554209602</v>
      </c>
      <c r="N765">
        <v>0.46025548247827303</v>
      </c>
      <c r="O765" s="1">
        <v>3.0705758198765801E-9</v>
      </c>
      <c r="P765" s="2">
        <f t="shared" si="35"/>
        <v>0.39048855307363811</v>
      </c>
    </row>
    <row r="766" spans="2:16" x14ac:dyDescent="0.25">
      <c r="B766">
        <v>765</v>
      </c>
      <c r="C766">
        <v>-0.35348483340436099</v>
      </c>
      <c r="D766">
        <v>-0.33393329533131699</v>
      </c>
      <c r="E766">
        <v>0.49980610978763501</v>
      </c>
      <c r="F766">
        <f t="shared" si="33"/>
        <v>-1.9551538073043995E-2</v>
      </c>
      <c r="G766" s="2">
        <f t="shared" si="34"/>
        <v>7.6482186499102678E-4</v>
      </c>
      <c r="M766">
        <v>0.99315230493775697</v>
      </c>
      <c r="N766">
        <v>0.993243139651933</v>
      </c>
      <c r="O766" s="1">
        <v>1.9252213951307399E-8</v>
      </c>
      <c r="P766" s="2">
        <f t="shared" si="35"/>
        <v>0.42857124486099907</v>
      </c>
    </row>
    <row r="767" spans="2:16" x14ac:dyDescent="0.25">
      <c r="B767">
        <v>766</v>
      </c>
      <c r="C767">
        <v>-0.30190628795185998</v>
      </c>
      <c r="D767">
        <v>-0.32767275151813502</v>
      </c>
      <c r="E767">
        <v>0.36458962681948698</v>
      </c>
      <c r="F767">
        <f t="shared" si="33"/>
        <v>2.5766463566275044E-2</v>
      </c>
      <c r="G767" s="2">
        <f t="shared" si="34"/>
        <v>1.8209806200572183E-3</v>
      </c>
      <c r="M767">
        <v>0.46035612364056</v>
      </c>
      <c r="N767">
        <v>0.46045601406875802</v>
      </c>
      <c r="O767" s="1">
        <v>4.32055243450987E-9</v>
      </c>
      <c r="P767" s="2">
        <f t="shared" si="35"/>
        <v>2.3094494967555024</v>
      </c>
    </row>
    <row r="768" spans="2:16" x14ac:dyDescent="0.25">
      <c r="B768">
        <v>767</v>
      </c>
      <c r="C768">
        <v>-0.36876283743224098</v>
      </c>
      <c r="D768">
        <v>-0.289677892972032</v>
      </c>
      <c r="E768">
        <v>0.54394412108430901</v>
      </c>
      <c r="F768">
        <f t="shared" si="33"/>
        <v>-7.9084944460208972E-2</v>
      </c>
      <c r="G768" s="2">
        <f t="shared" si="34"/>
        <v>1.1498292191864554E-2</v>
      </c>
      <c r="M768">
        <v>0.99275782257399603</v>
      </c>
      <c r="N768">
        <v>0.99295169827381602</v>
      </c>
      <c r="O768" s="1">
        <v>1.346267022788E-8</v>
      </c>
      <c r="P768" s="2">
        <f t="shared" si="35"/>
        <v>2.7920008694003204</v>
      </c>
    </row>
    <row r="769" spans="2:16" x14ac:dyDescent="0.25">
      <c r="B769">
        <v>768</v>
      </c>
      <c r="C769">
        <v>-0.34321925593902503</v>
      </c>
      <c r="D769">
        <v>-0.28473814610211601</v>
      </c>
      <c r="E769">
        <v>0.471197830589352</v>
      </c>
      <c r="F769">
        <f t="shared" si="33"/>
        <v>-5.8481109836909018E-2</v>
      </c>
      <c r="G769" s="2">
        <f t="shared" si="34"/>
        <v>7.2581832634479489E-3</v>
      </c>
      <c r="M769">
        <v>0.460311141125128</v>
      </c>
      <c r="N769">
        <v>0.46034306822086901</v>
      </c>
      <c r="O769" s="1">
        <v>4.1786232174350098E-9</v>
      </c>
      <c r="P769" s="2">
        <f t="shared" si="35"/>
        <v>0.24394145856527885</v>
      </c>
    </row>
    <row r="770" spans="2:16" x14ac:dyDescent="0.25">
      <c r="B770">
        <v>769</v>
      </c>
      <c r="C770">
        <v>-0.37372111580804801</v>
      </c>
      <c r="D770">
        <v>-0.24231214795446401</v>
      </c>
      <c r="E770">
        <v>0.55866988960325004</v>
      </c>
      <c r="F770">
        <f t="shared" si="33"/>
        <v>-0.131408967853584</v>
      </c>
      <c r="G770" s="2">
        <f t="shared" si="34"/>
        <v>3.0909696680821108E-2</v>
      </c>
      <c r="M770">
        <v>0.99319726134855502</v>
      </c>
      <c r="N770">
        <v>0.99311582130499898</v>
      </c>
      <c r="O770" s="1">
        <v>5.3763498178532702E-9</v>
      </c>
      <c r="P770" s="2">
        <f t="shared" si="35"/>
        <v>1.2336400939508261</v>
      </c>
    </row>
    <row r="771" spans="2:16" x14ac:dyDescent="0.25">
      <c r="B771">
        <v>770</v>
      </c>
      <c r="C771">
        <v>-0.36804468751334002</v>
      </c>
      <c r="D771">
        <v>-0.22960534794315399</v>
      </c>
      <c r="E771">
        <v>0.54182756802716903</v>
      </c>
      <c r="F771">
        <f t="shared" ref="F771:F834" si="36">C771-D771</f>
        <v>-0.13843933957018603</v>
      </c>
      <c r="G771" s="2">
        <f t="shared" ref="G771:G834" si="37">F771^2/E771</f>
        <v>3.5371863433254207E-2</v>
      </c>
      <c r="M771">
        <v>0.46032511569489698</v>
      </c>
      <c r="N771">
        <v>0.46031956880659902</v>
      </c>
      <c r="O771" s="1">
        <v>6.9961206319249297E-9</v>
      </c>
      <c r="P771" s="2">
        <f t="shared" ref="P771:P834" si="38">(M771-N771)^2/O771</f>
        <v>4.3978615305207032E-3</v>
      </c>
    </row>
    <row r="772" spans="2:16" x14ac:dyDescent="0.25">
      <c r="B772">
        <v>771</v>
      </c>
      <c r="C772">
        <v>-0.35375200412095498</v>
      </c>
      <c r="D772">
        <v>-0.18810597521215799</v>
      </c>
      <c r="E772">
        <v>0.50056192167836999</v>
      </c>
      <c r="F772">
        <f t="shared" si="36"/>
        <v>-0.16564602890879698</v>
      </c>
      <c r="G772" s="2">
        <f t="shared" si="37"/>
        <v>5.4815609627782175E-2</v>
      </c>
      <c r="M772">
        <v>0.99321247364102705</v>
      </c>
      <c r="N772">
        <v>0.99314997706948704</v>
      </c>
      <c r="O772" s="1">
        <v>1.2586155006162801E-8</v>
      </c>
      <c r="P772" s="2">
        <f t="shared" si="38"/>
        <v>0.31032681961587782</v>
      </c>
    </row>
    <row r="773" spans="2:16" x14ac:dyDescent="0.25">
      <c r="B773">
        <v>772</v>
      </c>
      <c r="C773">
        <v>-0.36605489313445999</v>
      </c>
      <c r="D773">
        <v>-0.19052720384588701</v>
      </c>
      <c r="E773">
        <v>0.53598473915072398</v>
      </c>
      <c r="F773">
        <f t="shared" si="36"/>
        <v>-0.17552768928857299</v>
      </c>
      <c r="G773" s="2">
        <f t="shared" si="37"/>
        <v>5.7482923405253454E-2</v>
      </c>
      <c r="M773">
        <v>0.46055132078245398</v>
      </c>
      <c r="N773">
        <v>0.46037867578709302</v>
      </c>
      <c r="O773" s="1">
        <v>2.8530964099527501E-8</v>
      </c>
      <c r="P773" s="2">
        <f t="shared" si="38"/>
        <v>1.0446998678071129</v>
      </c>
    </row>
    <row r="774" spans="2:16" x14ac:dyDescent="0.25">
      <c r="B774">
        <v>773</v>
      </c>
      <c r="C774">
        <v>-0.37892248169221399</v>
      </c>
      <c r="D774">
        <v>-0.17114971209817001</v>
      </c>
      <c r="E774">
        <v>0.57432898852714398</v>
      </c>
      <c r="F774">
        <f t="shared" si="36"/>
        <v>-0.20777276959404398</v>
      </c>
      <c r="G774" s="2">
        <f t="shared" si="37"/>
        <v>7.5165148629337222E-2</v>
      </c>
      <c r="M774">
        <v>0.99310751075550097</v>
      </c>
      <c r="N774">
        <v>0.99306407222906001</v>
      </c>
      <c r="O774" s="1">
        <v>2.48790740374466E-8</v>
      </c>
      <c r="P774" s="2">
        <f t="shared" si="38"/>
        <v>7.5843079068027994E-2</v>
      </c>
    </row>
    <row r="775" spans="2:16" x14ac:dyDescent="0.25">
      <c r="B775">
        <v>774</v>
      </c>
      <c r="C775">
        <v>-0.34251160706200001</v>
      </c>
      <c r="D775">
        <v>-0.15999607622935799</v>
      </c>
      <c r="E775">
        <v>0.469256803888775</v>
      </c>
      <c r="F775">
        <f t="shared" si="36"/>
        <v>-0.18251553083264202</v>
      </c>
      <c r="G775" s="2">
        <f t="shared" si="37"/>
        <v>7.0988675537705825E-2</v>
      </c>
      <c r="M775">
        <v>0.46115271955274401</v>
      </c>
      <c r="N775">
        <v>0.46107975899180498</v>
      </c>
      <c r="O775" s="1">
        <v>9.8732192632663902E-9</v>
      </c>
      <c r="P775" s="2">
        <f t="shared" si="38"/>
        <v>0.53915985359941743</v>
      </c>
    </row>
    <row r="776" spans="2:16" x14ac:dyDescent="0.25">
      <c r="B776">
        <v>775</v>
      </c>
      <c r="C776">
        <v>-0.31031897809749298</v>
      </c>
      <c r="D776">
        <v>-0.160568865455569</v>
      </c>
      <c r="E776">
        <v>0.38519147266989001</v>
      </c>
      <c r="F776">
        <f t="shared" si="36"/>
        <v>-0.14975011264192398</v>
      </c>
      <c r="G776" s="2">
        <f t="shared" si="37"/>
        <v>5.8218049534775863E-2</v>
      </c>
      <c r="M776">
        <v>0.99216695758534101</v>
      </c>
      <c r="N776">
        <v>0.99204653877451598</v>
      </c>
      <c r="O776" s="1">
        <v>2.4868086800950999E-8</v>
      </c>
      <c r="P776" s="2">
        <f t="shared" si="38"/>
        <v>0.5831043665152259</v>
      </c>
    </row>
    <row r="777" spans="2:16" x14ac:dyDescent="0.25">
      <c r="B777">
        <v>776</v>
      </c>
      <c r="C777">
        <v>-0.356455590074921</v>
      </c>
      <c r="D777">
        <v>-0.15553380942976699</v>
      </c>
      <c r="E777">
        <v>0.50824235078264102</v>
      </c>
      <c r="F777">
        <f t="shared" si="36"/>
        <v>-0.20092178064515401</v>
      </c>
      <c r="G777" s="2">
        <f t="shared" si="37"/>
        <v>7.9429748181068349E-2</v>
      </c>
      <c r="M777">
        <v>0.46109483264248702</v>
      </c>
      <c r="N777">
        <v>0.461090338899525</v>
      </c>
      <c r="O777" s="1">
        <v>1.22192138058937E-8</v>
      </c>
      <c r="P777" s="2">
        <f t="shared" si="38"/>
        <v>1.6526207110771824E-3</v>
      </c>
    </row>
    <row r="778" spans="2:16" x14ac:dyDescent="0.25">
      <c r="B778">
        <v>777</v>
      </c>
      <c r="C778">
        <v>-0.33104841318648498</v>
      </c>
      <c r="D778">
        <v>-0.15310979402561301</v>
      </c>
      <c r="E778">
        <v>0.43837220749315903</v>
      </c>
      <c r="F778">
        <f t="shared" si="36"/>
        <v>-0.17793861916087197</v>
      </c>
      <c r="G778" s="2">
        <f t="shared" si="37"/>
        <v>7.2226641305429787E-2</v>
      </c>
      <c r="M778">
        <v>0.992033211415844</v>
      </c>
      <c r="N778">
        <v>0.99203120321393501</v>
      </c>
      <c r="O778" s="1">
        <v>1.4998781987729398E-8</v>
      </c>
      <c r="P778" s="2">
        <f t="shared" si="38"/>
        <v>2.6888016043966946E-4</v>
      </c>
    </row>
    <row r="779" spans="2:16" x14ac:dyDescent="0.25">
      <c r="B779">
        <v>778</v>
      </c>
      <c r="C779">
        <v>-0.34750003928830703</v>
      </c>
      <c r="D779">
        <v>-0.15659864575247501</v>
      </c>
      <c r="E779">
        <v>0.48302510922149899</v>
      </c>
      <c r="F779">
        <f t="shared" si="36"/>
        <v>-0.19090139353583202</v>
      </c>
      <c r="G779" s="2">
        <f t="shared" si="37"/>
        <v>7.5448131697871887E-2</v>
      </c>
      <c r="M779">
        <v>0.46114505597355498</v>
      </c>
      <c r="N779">
        <v>0.46107939428414102</v>
      </c>
      <c r="O779" s="1">
        <v>1.4960161999836101E-8</v>
      </c>
      <c r="P779" s="2">
        <f t="shared" si="38"/>
        <v>0.28819590701913778</v>
      </c>
    </row>
    <row r="780" spans="2:16" x14ac:dyDescent="0.25">
      <c r="B780">
        <v>779</v>
      </c>
      <c r="C780">
        <v>-0.36356940859994102</v>
      </c>
      <c r="D780">
        <v>-0.142753160327136</v>
      </c>
      <c r="E780">
        <v>0.52873085947884302</v>
      </c>
      <c r="F780">
        <f t="shared" si="36"/>
        <v>-0.22081624827280502</v>
      </c>
      <c r="G780" s="2">
        <f t="shared" si="37"/>
        <v>9.2220483497669148E-2</v>
      </c>
      <c r="M780">
        <v>0.99209485725982105</v>
      </c>
      <c r="N780">
        <v>0.99204706742823801</v>
      </c>
      <c r="O780" s="1">
        <v>1.2284424910982E-8</v>
      </c>
      <c r="P780" s="2">
        <f t="shared" si="38"/>
        <v>0.18591574447201628</v>
      </c>
    </row>
    <row r="781" spans="2:16" x14ac:dyDescent="0.25">
      <c r="B781">
        <v>780</v>
      </c>
      <c r="C781">
        <v>-0.37783052189067401</v>
      </c>
      <c r="D781">
        <v>-0.145104626307795</v>
      </c>
      <c r="E781">
        <v>0.57102361308871596</v>
      </c>
      <c r="F781">
        <f t="shared" si="36"/>
        <v>-0.23272589558287901</v>
      </c>
      <c r="G781" s="2">
        <f t="shared" si="37"/>
        <v>9.4849567046605535E-2</v>
      </c>
      <c r="M781">
        <v>0.46067196496961499</v>
      </c>
      <c r="N781">
        <v>0.460957271135019</v>
      </c>
      <c r="O781" s="1">
        <v>9.2379833988612993E-9</v>
      </c>
      <c r="P781" s="2">
        <f t="shared" si="38"/>
        <v>8.8114044486779761</v>
      </c>
    </row>
    <row r="782" spans="2:16" x14ac:dyDescent="0.25">
      <c r="B782">
        <v>781</v>
      </c>
      <c r="C782">
        <v>-0.39839747010792298</v>
      </c>
      <c r="D782">
        <v>-0.139076050774287</v>
      </c>
      <c r="E782">
        <v>0.63488217675357494</v>
      </c>
      <c r="F782">
        <f t="shared" si="36"/>
        <v>-0.25932141933363595</v>
      </c>
      <c r="G782" s="2">
        <f t="shared" si="37"/>
        <v>0.10592138350627088</v>
      </c>
      <c r="M782">
        <v>0.99175988990997899</v>
      </c>
      <c r="N782">
        <v>0.99222412763194301</v>
      </c>
      <c r="O782" s="1">
        <v>2.2633279991874199E-8</v>
      </c>
      <c r="P782" s="2">
        <f t="shared" si="38"/>
        <v>9.5221135677957385</v>
      </c>
    </row>
    <row r="783" spans="2:16" x14ac:dyDescent="0.25">
      <c r="B783">
        <v>782</v>
      </c>
      <c r="C783">
        <v>-0.331818969894208</v>
      </c>
      <c r="D783">
        <v>-0.13291618144255701</v>
      </c>
      <c r="E783">
        <v>0.44041531512661197</v>
      </c>
      <c r="F783">
        <f t="shared" si="36"/>
        <v>-0.19890278845165099</v>
      </c>
      <c r="G783" s="2">
        <f t="shared" si="37"/>
        <v>8.9829571985862305E-2</v>
      </c>
      <c r="M783">
        <v>0.46084228276613398</v>
      </c>
      <c r="N783">
        <v>0.46087301725338098</v>
      </c>
      <c r="O783" s="1">
        <v>2.4695568577978698E-9</v>
      </c>
      <c r="P783" s="2">
        <f t="shared" si="38"/>
        <v>0.38250129911086689</v>
      </c>
    </row>
    <row r="784" spans="2:16" x14ac:dyDescent="0.25">
      <c r="B784">
        <v>783</v>
      </c>
      <c r="C784">
        <v>-0.34985077951737598</v>
      </c>
      <c r="D784">
        <v>-0.138261780983019</v>
      </c>
      <c r="E784">
        <v>0.48958227171566399</v>
      </c>
      <c r="F784">
        <f t="shared" si="36"/>
        <v>-0.21158899853435698</v>
      </c>
      <c r="G784" s="2">
        <f t="shared" si="37"/>
        <v>9.1445109202755726E-2</v>
      </c>
      <c r="M784">
        <v>0.99227212806342102</v>
      </c>
      <c r="N784">
        <v>0.99234632886671703</v>
      </c>
      <c r="O784" s="1">
        <v>7.3660846060480403E-9</v>
      </c>
      <c r="P784" s="2">
        <f t="shared" si="38"/>
        <v>0.74744718588386949</v>
      </c>
    </row>
    <row r="785" spans="2:16" x14ac:dyDescent="0.25">
      <c r="B785">
        <v>784</v>
      </c>
      <c r="C785">
        <v>-0.40067982698987098</v>
      </c>
      <c r="D785">
        <v>-0.13838731066311899</v>
      </c>
      <c r="E785">
        <v>0.64217729502653298</v>
      </c>
      <c r="F785">
        <f t="shared" si="36"/>
        <v>-0.26229251632675199</v>
      </c>
      <c r="G785" s="2">
        <f t="shared" si="37"/>
        <v>0.10713141784026628</v>
      </c>
      <c r="M785">
        <v>0.46076105211289298</v>
      </c>
      <c r="N785">
        <v>0.46085012006572401</v>
      </c>
      <c r="O785" s="1">
        <v>3.4895264197031098E-9</v>
      </c>
      <c r="P785" s="2">
        <f t="shared" si="38"/>
        <v>2.2734031118716511</v>
      </c>
    </row>
    <row r="786" spans="2:16" x14ac:dyDescent="0.25">
      <c r="B786">
        <v>785</v>
      </c>
      <c r="C786">
        <v>-0.34735824708634599</v>
      </c>
      <c r="D786">
        <v>-0.13887576935611301</v>
      </c>
      <c r="E786">
        <v>0.48263100727559599</v>
      </c>
      <c r="F786">
        <f t="shared" si="36"/>
        <v>-0.20848247773023298</v>
      </c>
      <c r="G786" s="2">
        <f t="shared" si="37"/>
        <v>9.0058332070068137E-2</v>
      </c>
      <c r="M786">
        <v>0.99228921202084797</v>
      </c>
      <c r="N786">
        <v>0.99237954524765803</v>
      </c>
      <c r="O786" s="1">
        <v>4.5899687355266298E-9</v>
      </c>
      <c r="P786" s="2">
        <f t="shared" si="38"/>
        <v>1.7778099015707287</v>
      </c>
    </row>
    <row r="787" spans="2:16" x14ac:dyDescent="0.25">
      <c r="B787">
        <v>786</v>
      </c>
      <c r="C787">
        <v>-0.366783446781976</v>
      </c>
      <c r="D787">
        <v>-0.14177804569736999</v>
      </c>
      <c r="E787">
        <v>0.538120387333067</v>
      </c>
      <c r="F787">
        <f t="shared" si="36"/>
        <v>-0.22500540108460601</v>
      </c>
      <c r="G787" s="2">
        <f t="shared" si="37"/>
        <v>9.4081978139045716E-2</v>
      </c>
      <c r="M787">
        <v>0.46042943603713199</v>
      </c>
      <c r="N787">
        <v>0.46044136705502497</v>
      </c>
      <c r="O787" s="1">
        <v>3.6727808333785199E-9</v>
      </c>
      <c r="P787" s="2">
        <f t="shared" si="38"/>
        <v>3.8757877047565274E-2</v>
      </c>
    </row>
    <row r="788" spans="2:16" x14ac:dyDescent="0.25">
      <c r="B788">
        <v>787</v>
      </c>
      <c r="C788">
        <v>-0.405530416907327</v>
      </c>
      <c r="D788">
        <v>-0.37659803718177598</v>
      </c>
      <c r="E788">
        <v>0.65781967614812198</v>
      </c>
      <c r="F788">
        <f t="shared" si="36"/>
        <v>-2.8932379725551016E-2</v>
      </c>
      <c r="G788" s="2">
        <f t="shared" si="37"/>
        <v>1.2725107304254436E-3</v>
      </c>
      <c r="M788">
        <v>0.99292180238576599</v>
      </c>
      <c r="N788">
        <v>0.99297297823101305</v>
      </c>
      <c r="O788" s="1">
        <v>1.5634298136072702E-8</v>
      </c>
      <c r="P788" s="2">
        <f t="shared" si="38"/>
        <v>0.16751421227587254</v>
      </c>
    </row>
    <row r="789" spans="2:16" x14ac:dyDescent="0.25">
      <c r="B789">
        <v>788</v>
      </c>
      <c r="C789">
        <v>-0.33022932879106098</v>
      </c>
      <c r="D789">
        <v>-0.37773783718566101</v>
      </c>
      <c r="E789">
        <v>0.43620563837517901</v>
      </c>
      <c r="F789">
        <f t="shared" si="36"/>
        <v>4.7508508394600024E-2</v>
      </c>
      <c r="G789" s="2">
        <f t="shared" si="37"/>
        <v>5.1742989345279688E-3</v>
      </c>
      <c r="M789">
        <v>0.460360896325063</v>
      </c>
      <c r="N789">
        <v>0.46033762474453299</v>
      </c>
      <c r="O789" s="1">
        <v>9.0882128127526502E-9</v>
      </c>
      <c r="P789" s="2">
        <f t="shared" si="38"/>
        <v>5.9589984469173796E-2</v>
      </c>
    </row>
    <row r="790" spans="2:16" x14ac:dyDescent="0.25">
      <c r="B790">
        <v>789</v>
      </c>
      <c r="C790">
        <v>-0.43655809030673198</v>
      </c>
      <c r="D790">
        <v>-0.343070253314466</v>
      </c>
      <c r="E790">
        <v>0.76233186484904303</v>
      </c>
      <c r="F790">
        <f t="shared" si="36"/>
        <v>-9.3487836992265982E-2</v>
      </c>
      <c r="G790" s="2">
        <f t="shared" si="37"/>
        <v>1.146479121297545E-2</v>
      </c>
      <c r="M790">
        <v>0.99314991028395705</v>
      </c>
      <c r="N790">
        <v>0.99312373299125201</v>
      </c>
      <c r="O790" s="1">
        <v>1.23518290566409E-8</v>
      </c>
      <c r="P790" s="2">
        <f t="shared" si="38"/>
        <v>5.5477666523977287E-2</v>
      </c>
    </row>
    <row r="791" spans="2:16" x14ac:dyDescent="0.25">
      <c r="B791">
        <v>790</v>
      </c>
      <c r="C791">
        <v>-0.40288652794204399</v>
      </c>
      <c r="D791">
        <v>-0.336027028607429</v>
      </c>
      <c r="E791">
        <v>0.64927021758878101</v>
      </c>
      <c r="F791">
        <f t="shared" si="36"/>
        <v>-6.6859499334614991E-2</v>
      </c>
      <c r="G791" s="2">
        <f t="shared" si="37"/>
        <v>6.8849494866351692E-3</v>
      </c>
      <c r="M791">
        <v>0.46043586556232802</v>
      </c>
      <c r="N791">
        <v>0.46036608652837901</v>
      </c>
      <c r="O791" s="1">
        <v>5.2001447158097203E-9</v>
      </c>
      <c r="P791" s="2">
        <f t="shared" si="38"/>
        <v>0.93634193757198969</v>
      </c>
    </row>
    <row r="792" spans="2:16" x14ac:dyDescent="0.25">
      <c r="B792">
        <v>791</v>
      </c>
      <c r="C792">
        <v>-0.33694031891585702</v>
      </c>
      <c r="D792">
        <v>-0.28862817174988797</v>
      </c>
      <c r="E792">
        <v>0.45411511404447602</v>
      </c>
      <c r="F792">
        <f t="shared" si="36"/>
        <v>-4.8312147165969044E-2</v>
      </c>
      <c r="G792" s="2">
        <f t="shared" si="37"/>
        <v>5.1398059469953085E-3</v>
      </c>
      <c r="M792">
        <v>0.99315393493176196</v>
      </c>
      <c r="N792">
        <v>0.993082367645301</v>
      </c>
      <c r="O792" s="1">
        <v>7.0883734840085402E-9</v>
      </c>
      <c r="P792" s="2">
        <f t="shared" si="38"/>
        <v>0.72257429760723269</v>
      </c>
    </row>
    <row r="793" spans="2:16" x14ac:dyDescent="0.25">
      <c r="B793">
        <v>792</v>
      </c>
      <c r="C793">
        <v>-0.30249227019990599</v>
      </c>
      <c r="D793">
        <v>-0.29329371449429997</v>
      </c>
      <c r="E793">
        <v>0.36600629412277103</v>
      </c>
      <c r="F793">
        <f t="shared" si="36"/>
        <v>-9.1985557056060152E-3</v>
      </c>
      <c r="G793" s="2">
        <f t="shared" si="37"/>
        <v>2.3118025134495293E-4</v>
      </c>
      <c r="M793">
        <v>0.46026084429088099</v>
      </c>
      <c r="N793">
        <v>0.46031654101292802</v>
      </c>
      <c r="O793" s="1">
        <v>2.2610348425749798E-9</v>
      </c>
      <c r="P793" s="2">
        <f t="shared" si="38"/>
        <v>1.3719933847861254</v>
      </c>
    </row>
    <row r="794" spans="2:16" x14ac:dyDescent="0.25">
      <c r="B794">
        <v>793</v>
      </c>
      <c r="C794">
        <v>-0.36722277404165798</v>
      </c>
      <c r="D794">
        <v>-0.259469213211378</v>
      </c>
      <c r="E794">
        <v>0.53941026309940099</v>
      </c>
      <c r="F794">
        <f t="shared" si="36"/>
        <v>-0.10775356083027998</v>
      </c>
      <c r="G794" s="2">
        <f t="shared" si="37"/>
        <v>2.1525044415896175E-2</v>
      </c>
      <c r="M794">
        <v>0.99303351030682796</v>
      </c>
      <c r="N794">
        <v>0.99315437809811502</v>
      </c>
      <c r="O794" s="1">
        <v>8.5869036433496707E-9</v>
      </c>
      <c r="P794" s="2">
        <f t="shared" si="38"/>
        <v>1.7013144175580319</v>
      </c>
    </row>
    <row r="795" spans="2:16" x14ac:dyDescent="0.25">
      <c r="B795">
        <v>794</v>
      </c>
      <c r="C795">
        <v>-0.36154808223003598</v>
      </c>
      <c r="D795">
        <v>-0.262004555587729</v>
      </c>
      <c r="E795">
        <v>0.52286806305686695</v>
      </c>
      <c r="F795">
        <f t="shared" si="36"/>
        <v>-9.9543526642306979E-2</v>
      </c>
      <c r="G795" s="2">
        <f t="shared" si="37"/>
        <v>1.8951078477535525E-2</v>
      </c>
      <c r="M795">
        <v>0.46033535535664899</v>
      </c>
      <c r="N795">
        <v>0.46032913391725899</v>
      </c>
      <c r="O795" s="1">
        <v>5.3310870843843102E-9</v>
      </c>
      <c r="P795" s="2">
        <f t="shared" si="38"/>
        <v>7.2604906786812098E-3</v>
      </c>
    </row>
    <row r="796" spans="2:16" x14ac:dyDescent="0.25">
      <c r="B796">
        <v>795</v>
      </c>
      <c r="C796">
        <v>-0.36565372383066003</v>
      </c>
      <c r="D796">
        <v>-0.23518890232093101</v>
      </c>
      <c r="E796">
        <v>0.53481058300491302</v>
      </c>
      <c r="F796">
        <f t="shared" si="36"/>
        <v>-0.13046482150972902</v>
      </c>
      <c r="G796" s="2">
        <f t="shared" si="37"/>
        <v>3.1826351595232151E-2</v>
      </c>
      <c r="M796">
        <v>0.99314743470687505</v>
      </c>
      <c r="N796">
        <v>0.99313607408708804</v>
      </c>
      <c r="O796" s="1">
        <v>1.4301925230095099E-8</v>
      </c>
      <c r="P796" s="2">
        <f t="shared" si="38"/>
        <v>9.0242173601592385E-3</v>
      </c>
    </row>
    <row r="797" spans="2:16" x14ac:dyDescent="0.25">
      <c r="B797">
        <v>796</v>
      </c>
      <c r="C797">
        <v>-0.34203015592684199</v>
      </c>
      <c r="D797">
        <v>-0.24134926304033699</v>
      </c>
      <c r="E797">
        <v>0.46793851025335897</v>
      </c>
      <c r="F797">
        <f t="shared" si="36"/>
        <v>-0.100680892886505</v>
      </c>
      <c r="G797" s="2">
        <f t="shared" si="37"/>
        <v>2.1662338042952579E-2</v>
      </c>
      <c r="M797">
        <v>0.46039220587498197</v>
      </c>
      <c r="N797">
        <v>0.46032425957766598</v>
      </c>
      <c r="O797" s="1">
        <v>1.39312767909661E-8</v>
      </c>
      <c r="P797" s="2">
        <f t="shared" si="38"/>
        <v>0.33139096927187162</v>
      </c>
    </row>
    <row r="798" spans="2:16" x14ac:dyDescent="0.25">
      <c r="B798">
        <v>797</v>
      </c>
      <c r="C798">
        <v>-0.42013311576846901</v>
      </c>
      <c r="D798">
        <v>-0.20418202933798499</v>
      </c>
      <c r="E798">
        <v>0.70604733986128798</v>
      </c>
      <c r="F798">
        <f t="shared" si="36"/>
        <v>-0.21595108643048402</v>
      </c>
      <c r="G798" s="2">
        <f t="shared" si="37"/>
        <v>6.6050630173988614E-2</v>
      </c>
      <c r="M798">
        <v>0.99322317707281804</v>
      </c>
      <c r="N798">
        <v>0.99314315892719895</v>
      </c>
      <c r="O798" s="1">
        <v>2.3815807880218799E-8</v>
      </c>
      <c r="P798" s="2">
        <f t="shared" si="38"/>
        <v>0.26885099428584441</v>
      </c>
    </row>
    <row r="799" spans="2:16" x14ac:dyDescent="0.25">
      <c r="B799">
        <v>798</v>
      </c>
      <c r="C799">
        <v>-0.37322314020430197</v>
      </c>
      <c r="D799">
        <v>-0.18321894419420101</v>
      </c>
      <c r="E799">
        <v>0.55718204953584105</v>
      </c>
      <c r="F799">
        <f t="shared" si="36"/>
        <v>-0.19000419601010096</v>
      </c>
      <c r="G799" s="2">
        <f t="shared" si="37"/>
        <v>6.4793175823806962E-2</v>
      </c>
      <c r="M799">
        <v>0.46145503625567302</v>
      </c>
      <c r="N799">
        <v>0.46122843908356997</v>
      </c>
      <c r="O799" s="1">
        <v>8.64539601580106E-9</v>
      </c>
      <c r="P799" s="2">
        <f t="shared" si="38"/>
        <v>5.939147068711951</v>
      </c>
    </row>
    <row r="800" spans="2:16" x14ac:dyDescent="0.25">
      <c r="B800">
        <v>799</v>
      </c>
      <c r="C800">
        <v>-0.40439490684379698</v>
      </c>
      <c r="D800">
        <v>-0.15343065682451301</v>
      </c>
      <c r="E800">
        <v>0.65414096272481403</v>
      </c>
      <c r="F800">
        <f t="shared" si="36"/>
        <v>-0.25096425001928396</v>
      </c>
      <c r="G800" s="2">
        <f t="shared" si="37"/>
        <v>9.6283612213163866E-2</v>
      </c>
      <c r="M800">
        <v>0.99217582716166497</v>
      </c>
      <c r="N800">
        <v>0.99183108120387298</v>
      </c>
      <c r="O800" s="1">
        <v>1.8933317873386501E-8</v>
      </c>
      <c r="P800" s="2">
        <f t="shared" si="38"/>
        <v>6.2772819961459785</v>
      </c>
    </row>
    <row r="801" spans="2:16" x14ac:dyDescent="0.25">
      <c r="B801">
        <v>800</v>
      </c>
      <c r="C801">
        <v>-0.38105479875673498</v>
      </c>
      <c r="D801">
        <v>-0.140120824266528</v>
      </c>
      <c r="E801">
        <v>0.580811038622144</v>
      </c>
      <c r="F801">
        <f t="shared" si="36"/>
        <v>-0.24093397449020698</v>
      </c>
      <c r="G801" s="2">
        <f t="shared" si="37"/>
        <v>9.9945035826725301E-2</v>
      </c>
      <c r="M801">
        <v>0.46110918325907202</v>
      </c>
      <c r="N801">
        <v>0.460997147474414</v>
      </c>
      <c r="O801" s="1">
        <v>9.2526337405729105E-9</v>
      </c>
      <c r="P801" s="2">
        <f t="shared" si="38"/>
        <v>1.3565885558504804</v>
      </c>
    </row>
    <row r="802" spans="2:16" x14ac:dyDescent="0.25">
      <c r="B802">
        <v>801</v>
      </c>
      <c r="C802">
        <v>-0.36791227459543002</v>
      </c>
      <c r="D802">
        <v>-0.120285067340843</v>
      </c>
      <c r="E802">
        <v>0.54143776719193104</v>
      </c>
      <c r="F802">
        <f t="shared" si="36"/>
        <v>-0.24762720725458703</v>
      </c>
      <c r="G802" s="2">
        <f t="shared" si="37"/>
        <v>0.11325259796841898</v>
      </c>
      <c r="M802">
        <v>0.99228408803307899</v>
      </c>
      <c r="N802">
        <v>0.99216630430376296</v>
      </c>
      <c r="O802" s="1">
        <v>1.2788053158073301E-8</v>
      </c>
      <c r="P802" s="2">
        <f t="shared" si="38"/>
        <v>1.0848411967098071</v>
      </c>
    </row>
    <row r="803" spans="2:16" x14ac:dyDescent="0.25">
      <c r="B803">
        <v>802</v>
      </c>
      <c r="C803">
        <v>-0.34349542701127</v>
      </c>
      <c r="D803">
        <v>-0.116681383136772</v>
      </c>
      <c r="E803">
        <v>0.471956433510618</v>
      </c>
      <c r="F803">
        <f t="shared" si="36"/>
        <v>-0.22681404387449799</v>
      </c>
      <c r="G803" s="2">
        <f t="shared" si="37"/>
        <v>0.10900288002440231</v>
      </c>
      <c r="M803">
        <v>0.46095339698974702</v>
      </c>
      <c r="N803">
        <v>0.46086002656591701</v>
      </c>
      <c r="O803" s="1">
        <v>6.6787199062948699E-9</v>
      </c>
      <c r="P803" s="2">
        <f t="shared" si="38"/>
        <v>1.3053453608644936</v>
      </c>
    </row>
    <row r="804" spans="2:16" x14ac:dyDescent="0.25">
      <c r="B804">
        <v>803</v>
      </c>
      <c r="C804">
        <v>-0.34447921591168501</v>
      </c>
      <c r="D804">
        <v>-0.11817118614956799</v>
      </c>
      <c r="E804">
        <v>0.47466372078051799</v>
      </c>
      <c r="F804">
        <f t="shared" si="36"/>
        <v>-0.226308029762117</v>
      </c>
      <c r="G804" s="2">
        <f t="shared" si="37"/>
        <v>0.1078981225921265</v>
      </c>
      <c r="M804">
        <v>0.99246715844843703</v>
      </c>
      <c r="N804">
        <v>0.99236517379508804</v>
      </c>
      <c r="O804" s="1">
        <v>9.86030707887373E-9</v>
      </c>
      <c r="P804" s="2">
        <f t="shared" si="38"/>
        <v>1.0548220694867791</v>
      </c>
    </row>
    <row r="805" spans="2:16" x14ac:dyDescent="0.25">
      <c r="B805">
        <v>804</v>
      </c>
      <c r="C805">
        <v>-0.40035064861132802</v>
      </c>
      <c r="D805">
        <v>-9.0227869544764E-2</v>
      </c>
      <c r="E805">
        <v>0.64112256737404505</v>
      </c>
      <c r="F805">
        <f t="shared" si="36"/>
        <v>-0.31012277906656405</v>
      </c>
      <c r="G805" s="2">
        <f t="shared" si="37"/>
        <v>0.15001209283568645</v>
      </c>
      <c r="M805">
        <v>0.46085063370349</v>
      </c>
      <c r="N805">
        <v>0.46079958701958901</v>
      </c>
      <c r="O805" s="1">
        <v>6.9689000403311096E-9</v>
      </c>
      <c r="P805" s="2">
        <f t="shared" si="38"/>
        <v>0.37391323196018023</v>
      </c>
    </row>
    <row r="806" spans="2:16" x14ac:dyDescent="0.25">
      <c r="B806">
        <v>805</v>
      </c>
      <c r="C806">
        <v>-0.30004179227536798</v>
      </c>
      <c r="D806">
        <v>-8.1615686355092004E-2</v>
      </c>
      <c r="E806">
        <v>0.36010030844725999</v>
      </c>
      <c r="F806">
        <f t="shared" si="36"/>
        <v>-0.21842610592027598</v>
      </c>
      <c r="G806" s="2">
        <f t="shared" si="37"/>
        <v>0.13249076056951833</v>
      </c>
      <c r="M806">
        <v>0.992514708795453</v>
      </c>
      <c r="N806">
        <v>0.99245286205727401</v>
      </c>
      <c r="O806" s="1">
        <v>1.20309881468383E-8</v>
      </c>
      <c r="P806" s="2">
        <f t="shared" si="38"/>
        <v>0.31793057866043112</v>
      </c>
    </row>
    <row r="807" spans="2:16" x14ac:dyDescent="0.25">
      <c r="B807">
        <v>806</v>
      </c>
      <c r="C807">
        <v>-0.38880410150517802</v>
      </c>
      <c r="D807">
        <v>-0.34611051535013498</v>
      </c>
      <c r="E807">
        <v>0.60467451738899602</v>
      </c>
      <c r="F807">
        <f t="shared" si="36"/>
        <v>-4.269358615504304E-2</v>
      </c>
      <c r="G807" s="2">
        <f t="shared" si="37"/>
        <v>3.0144189086200334E-3</v>
      </c>
      <c r="M807">
        <v>0.46075578051673899</v>
      </c>
      <c r="N807">
        <v>0.46079235867529</v>
      </c>
      <c r="O807" s="1">
        <v>5.1653495091610898E-9</v>
      </c>
      <c r="P807" s="2">
        <f t="shared" si="38"/>
        <v>0.25902636028989456</v>
      </c>
    </row>
    <row r="808" spans="2:16" x14ac:dyDescent="0.25">
      <c r="B808">
        <v>807</v>
      </c>
      <c r="C808">
        <v>-0.35711123700786801</v>
      </c>
      <c r="D808">
        <v>-0.34808793884877798</v>
      </c>
      <c r="E808">
        <v>0.51011374238915796</v>
      </c>
      <c r="F808">
        <f t="shared" si="36"/>
        <v>-9.0232981590900319E-3</v>
      </c>
      <c r="G808" s="2">
        <f t="shared" si="37"/>
        <v>1.5961128450784522E-4</v>
      </c>
      <c r="M808">
        <v>0.99240307842627695</v>
      </c>
      <c r="N808">
        <v>0.99246335053513901</v>
      </c>
      <c r="O808" s="1">
        <v>1.225924480801E-8</v>
      </c>
      <c r="P808" s="2">
        <f t="shared" si="38"/>
        <v>0.29632552115332966</v>
      </c>
    </row>
    <row r="809" spans="2:16" x14ac:dyDescent="0.25">
      <c r="B809">
        <v>808</v>
      </c>
      <c r="C809">
        <v>-0.33288658959553902</v>
      </c>
      <c r="D809">
        <v>-0.32435202160119497</v>
      </c>
      <c r="E809">
        <v>0.44325392613019599</v>
      </c>
      <c r="F809">
        <f t="shared" si="36"/>
        <v>-8.5345679943440445E-3</v>
      </c>
      <c r="G809" s="2">
        <f t="shared" si="37"/>
        <v>1.6432759318343168E-4</v>
      </c>
      <c r="M809">
        <v>0.46075491637101401</v>
      </c>
      <c r="N809">
        <v>0.46067062473275899</v>
      </c>
      <c r="O809" s="1">
        <v>4.4539082732170997E-9</v>
      </c>
      <c r="P809" s="2">
        <f t="shared" si="38"/>
        <v>1.5952462071211075</v>
      </c>
    </row>
    <row r="810" spans="2:16" x14ac:dyDescent="0.25">
      <c r="B810">
        <v>809</v>
      </c>
      <c r="C810">
        <v>-0.33899370899671499</v>
      </c>
      <c r="D810">
        <v>-0.31610494057309602</v>
      </c>
      <c r="E810">
        <v>0.45966693895739802</v>
      </c>
      <c r="F810">
        <f t="shared" si="36"/>
        <v>-2.2888768423618977E-2</v>
      </c>
      <c r="G810" s="2">
        <f t="shared" si="37"/>
        <v>1.1397289549218851E-3</v>
      </c>
      <c r="M810">
        <v>0.99272187320816097</v>
      </c>
      <c r="N810">
        <v>0.99264003039708604</v>
      </c>
      <c r="O810" s="1">
        <v>6.7709349651210997E-9</v>
      </c>
      <c r="P810" s="2">
        <f t="shared" si="38"/>
        <v>0.98926451947195315</v>
      </c>
    </row>
    <row r="811" spans="2:16" x14ac:dyDescent="0.25">
      <c r="B811">
        <v>810</v>
      </c>
      <c r="C811">
        <v>-0.37108317259940699</v>
      </c>
      <c r="D811">
        <v>-0.29076551788076599</v>
      </c>
      <c r="E811">
        <v>0.55081088394576505</v>
      </c>
      <c r="F811">
        <f t="shared" si="36"/>
        <v>-8.0317654718640996E-2</v>
      </c>
      <c r="G811" s="2">
        <f t="shared" si="37"/>
        <v>1.1711688798324502E-2</v>
      </c>
      <c r="M811">
        <v>0.46031120579012003</v>
      </c>
      <c r="N811">
        <v>0.46030297459610098</v>
      </c>
      <c r="O811" s="1">
        <v>2.9245020609578698E-9</v>
      </c>
      <c r="P811" s="2">
        <f t="shared" si="38"/>
        <v>2.3167210542852097E-2</v>
      </c>
    </row>
    <row r="812" spans="2:16" x14ac:dyDescent="0.25">
      <c r="B812">
        <v>811</v>
      </c>
      <c r="C812">
        <v>-0.37118485645560101</v>
      </c>
      <c r="D812">
        <v>-0.27457020682022498</v>
      </c>
      <c r="E812">
        <v>0.55111279064786201</v>
      </c>
      <c r="F812">
        <f t="shared" si="36"/>
        <v>-9.6614649635376026E-2</v>
      </c>
      <c r="G812" s="2">
        <f t="shared" si="37"/>
        <v>1.6937350543422155E-2</v>
      </c>
      <c r="M812">
        <v>0.99319013952243496</v>
      </c>
      <c r="N812">
        <v>0.99317409806472701</v>
      </c>
      <c r="O812" s="1">
        <v>9.6704726311938296E-9</v>
      </c>
      <c r="P812" s="2">
        <f t="shared" si="38"/>
        <v>2.6609698947481358E-2</v>
      </c>
    </row>
    <row r="813" spans="2:16" x14ac:dyDescent="0.25">
      <c r="B813">
        <v>812</v>
      </c>
      <c r="C813">
        <v>-0.383854311138487</v>
      </c>
      <c r="D813">
        <v>-0.26659672178187699</v>
      </c>
      <c r="E813">
        <v>0.58937652871840995</v>
      </c>
      <c r="F813">
        <f t="shared" si="36"/>
        <v>-0.11725758935661001</v>
      </c>
      <c r="G813" s="2">
        <f t="shared" si="37"/>
        <v>2.3328622012860119E-2</v>
      </c>
      <c r="M813">
        <v>0.460305172409743</v>
      </c>
      <c r="N813">
        <v>0.46025264672164301</v>
      </c>
      <c r="O813" s="1">
        <v>4.6108036535071798E-9</v>
      </c>
      <c r="P813" s="2">
        <f t="shared" si="38"/>
        <v>0.59836595043013752</v>
      </c>
    </row>
    <row r="814" spans="2:16" x14ac:dyDescent="0.25">
      <c r="B814">
        <v>813</v>
      </c>
      <c r="C814">
        <v>-0.37508781581443501</v>
      </c>
      <c r="D814">
        <v>-0.23280419703897601</v>
      </c>
      <c r="E814">
        <v>0.56276347828977402</v>
      </c>
      <c r="F814">
        <f t="shared" si="36"/>
        <v>-0.142283618775459</v>
      </c>
      <c r="G814" s="2">
        <f t="shared" si="37"/>
        <v>3.5973599838715786E-2</v>
      </c>
      <c r="M814">
        <v>0.99339426059908098</v>
      </c>
      <c r="N814">
        <v>0.99324726250565198</v>
      </c>
      <c r="O814" s="1">
        <v>1.6748106363541299E-8</v>
      </c>
      <c r="P814" s="2">
        <f t="shared" si="38"/>
        <v>1.2902019489677317</v>
      </c>
    </row>
    <row r="815" spans="2:16" x14ac:dyDescent="0.25">
      <c r="B815">
        <v>814</v>
      </c>
      <c r="C815">
        <v>-0.33389949787024997</v>
      </c>
      <c r="D815">
        <v>-0.224161757285675</v>
      </c>
      <c r="E815">
        <v>0.445955498712021</v>
      </c>
      <c r="F815">
        <f t="shared" si="36"/>
        <v>-0.10973774058457497</v>
      </c>
      <c r="G815" s="2">
        <f t="shared" si="37"/>
        <v>2.7003527803530731E-2</v>
      </c>
      <c r="M815">
        <v>0.46021666292214197</v>
      </c>
      <c r="N815">
        <v>0.46023751191132301</v>
      </c>
      <c r="O815" s="1">
        <v>3.4235792122695998E-9</v>
      </c>
      <c r="P815" s="2">
        <f t="shared" si="38"/>
        <v>0.12696664015045578</v>
      </c>
    </row>
    <row r="816" spans="2:16" x14ac:dyDescent="0.25">
      <c r="B816">
        <v>815</v>
      </c>
      <c r="C816">
        <v>-0.38915167479127699</v>
      </c>
      <c r="D816">
        <v>-0.21609115224261299</v>
      </c>
      <c r="E816">
        <v>0.60575610397142299</v>
      </c>
      <c r="F816">
        <f t="shared" si="36"/>
        <v>-0.173060522548664</v>
      </c>
      <c r="G816" s="2">
        <f t="shared" si="37"/>
        <v>4.9442249559617402E-2</v>
      </c>
      <c r="M816">
        <v>0.99322853146172396</v>
      </c>
      <c r="N816">
        <v>0.99326926744333299</v>
      </c>
      <c r="O816" s="1">
        <v>1.0076770888823899E-8</v>
      </c>
      <c r="P816" s="2">
        <f t="shared" si="38"/>
        <v>0.16467777385826107</v>
      </c>
    </row>
    <row r="817" spans="2:16" x14ac:dyDescent="0.25">
      <c r="B817">
        <v>816</v>
      </c>
      <c r="C817">
        <v>-0.36815722802732698</v>
      </c>
      <c r="D817">
        <v>-0.196702965210446</v>
      </c>
      <c r="E817">
        <v>0.54215897819506098</v>
      </c>
      <c r="F817">
        <f t="shared" si="36"/>
        <v>-0.17145426281688098</v>
      </c>
      <c r="G817" s="2">
        <f t="shared" si="37"/>
        <v>5.4221299324316706E-2</v>
      </c>
      <c r="M817">
        <v>0.46046775783400701</v>
      </c>
      <c r="N817">
        <v>0.46036425463904901</v>
      </c>
      <c r="O817" s="1">
        <v>5.3406987046068604E-9</v>
      </c>
      <c r="P817" s="2">
        <f t="shared" si="38"/>
        <v>2.0059007180600994</v>
      </c>
    </row>
    <row r="818" spans="2:16" x14ac:dyDescent="0.25">
      <c r="B818">
        <v>817</v>
      </c>
      <c r="C818">
        <v>-0.36989388322674699</v>
      </c>
      <c r="D818">
        <v>-0.183709903698586</v>
      </c>
      <c r="E818">
        <v>0.54728593939424897</v>
      </c>
      <c r="F818">
        <f t="shared" si="36"/>
        <v>-0.18618397952816099</v>
      </c>
      <c r="G818" s="2">
        <f t="shared" si="37"/>
        <v>6.3338872311081595E-2</v>
      </c>
      <c r="M818">
        <v>0.99322750900463996</v>
      </c>
      <c r="N818">
        <v>0.99308502991932102</v>
      </c>
      <c r="O818" s="1">
        <v>1.05126499605012E-8</v>
      </c>
      <c r="P818" s="2">
        <f t="shared" si="38"/>
        <v>1.9310344993505346</v>
      </c>
    </row>
    <row r="819" spans="2:16" x14ac:dyDescent="0.25">
      <c r="B819">
        <v>818</v>
      </c>
      <c r="C819">
        <v>-0.376902097323631</v>
      </c>
      <c r="D819">
        <v>-0.16542663058056101</v>
      </c>
      <c r="E819">
        <v>0.56822076386780596</v>
      </c>
      <c r="F819">
        <f t="shared" si="36"/>
        <v>-0.21147546674307</v>
      </c>
      <c r="G819" s="2">
        <f t="shared" si="37"/>
        <v>7.8705101745637107E-2</v>
      </c>
      <c r="M819">
        <v>0.46012355810412298</v>
      </c>
      <c r="N819">
        <v>0.46010274241334698</v>
      </c>
      <c r="O819" s="1">
        <v>5.4548772878872904E-9</v>
      </c>
      <c r="P819" s="2">
        <f t="shared" si="38"/>
        <v>7.9432214441223531E-2</v>
      </c>
    </row>
    <row r="820" spans="2:16" x14ac:dyDescent="0.25">
      <c r="B820">
        <v>819</v>
      </c>
      <c r="C820">
        <v>-0.34905986423262397</v>
      </c>
      <c r="D820">
        <v>-0.156446954660793</v>
      </c>
      <c r="E820">
        <v>0.487371155272392</v>
      </c>
      <c r="F820">
        <f t="shared" si="36"/>
        <v>-0.19261290957183097</v>
      </c>
      <c r="G820" s="2">
        <f t="shared" si="37"/>
        <v>7.6122135116903411E-2</v>
      </c>
      <c r="M820">
        <v>0.99349826060367996</v>
      </c>
      <c r="N820">
        <v>0.99346526613040897</v>
      </c>
      <c r="O820" s="1">
        <v>1.31728527711651E-8</v>
      </c>
      <c r="P820" s="2">
        <f t="shared" si="38"/>
        <v>8.2642331569424146E-2</v>
      </c>
    </row>
    <row r="821" spans="2:16" x14ac:dyDescent="0.25">
      <c r="B821">
        <v>820</v>
      </c>
      <c r="C821">
        <v>-0.33246644901192501</v>
      </c>
      <c r="D821">
        <v>-0.14260827299596501</v>
      </c>
      <c r="E821">
        <v>0.44213575887439499</v>
      </c>
      <c r="F821">
        <f t="shared" si="36"/>
        <v>-0.18985817601596</v>
      </c>
      <c r="G821" s="2">
        <f t="shared" si="37"/>
        <v>8.1527282687730962E-2</v>
      </c>
      <c r="M821">
        <v>4.3174409757256598</v>
      </c>
      <c r="N821">
        <v>4.3168334531865797</v>
      </c>
      <c r="O821" s="1">
        <v>5.89705642993933E-7</v>
      </c>
      <c r="P821" s="2">
        <f t="shared" si="38"/>
        <v>0.62587774065788204</v>
      </c>
    </row>
    <row r="822" spans="2:16" x14ac:dyDescent="0.25">
      <c r="B822">
        <v>821</v>
      </c>
      <c r="C822">
        <v>-0.36881117062390201</v>
      </c>
      <c r="D822">
        <v>-0.11859131117306</v>
      </c>
      <c r="E822">
        <v>0.54408671830789301</v>
      </c>
      <c r="F822">
        <f t="shared" si="36"/>
        <v>-0.25021985945084202</v>
      </c>
      <c r="G822" s="2">
        <f t="shared" si="37"/>
        <v>0.11507352772424928</v>
      </c>
      <c r="M822">
        <v>2.0186300703197899</v>
      </c>
      <c r="N822">
        <v>2.0188392480271702</v>
      </c>
      <c r="O822" s="1">
        <v>1.8118336630846499E-7</v>
      </c>
      <c r="P822" s="2">
        <f t="shared" si="38"/>
        <v>0.24149740760623961</v>
      </c>
    </row>
    <row r="823" spans="2:16" x14ac:dyDescent="0.25">
      <c r="B823">
        <v>822</v>
      </c>
      <c r="C823">
        <v>-0.34781993677668699</v>
      </c>
      <c r="D823">
        <v>-0.124916291118072</v>
      </c>
      <c r="E823">
        <v>0.48391483367735499</v>
      </c>
      <c r="F823">
        <f t="shared" si="36"/>
        <v>-0.22290364565861498</v>
      </c>
      <c r="G823" s="2">
        <f t="shared" si="37"/>
        <v>0.10267516469856557</v>
      </c>
      <c r="M823">
        <v>4.3279537403602797</v>
      </c>
      <c r="N823">
        <v>4.3270987230914804</v>
      </c>
      <c r="O823" s="1">
        <v>5.8894469364562101E-7</v>
      </c>
      <c r="P823" s="2">
        <f t="shared" si="38"/>
        <v>1.2412957240853488</v>
      </c>
    </row>
    <row r="824" spans="2:16" x14ac:dyDescent="0.25">
      <c r="B824">
        <v>823</v>
      </c>
      <c r="C824">
        <v>-0.300796317367447</v>
      </c>
      <c r="D824">
        <v>-0.118592883178942</v>
      </c>
      <c r="E824">
        <v>0.36191369816727198</v>
      </c>
      <c r="F824">
        <f t="shared" si="36"/>
        <v>-0.18220343418850499</v>
      </c>
      <c r="G824" s="2">
        <f t="shared" si="37"/>
        <v>9.1729303417360922E-2</v>
      </c>
      <c r="M824">
        <v>4.3196327940277301</v>
      </c>
      <c r="N824">
        <v>4.31898374584999</v>
      </c>
      <c r="O824" s="1">
        <v>5.9124167489571895E-7</v>
      </c>
      <c r="P824" s="2">
        <f t="shared" si="38"/>
        <v>0.71250650100417745</v>
      </c>
    </row>
    <row r="825" spans="2:16" x14ac:dyDescent="0.25">
      <c r="B825">
        <v>824</v>
      </c>
      <c r="C825">
        <v>-0.33413407485206897</v>
      </c>
      <c r="D825">
        <v>-0.118517299659257</v>
      </c>
      <c r="E825">
        <v>0.446582319908991</v>
      </c>
      <c r="F825">
        <f t="shared" si="36"/>
        <v>-0.21561677519281197</v>
      </c>
      <c r="G825" s="2">
        <f t="shared" si="37"/>
        <v>0.10410307724233671</v>
      </c>
      <c r="M825">
        <v>2.01959225487873</v>
      </c>
      <c r="N825">
        <v>2.0194175233099498</v>
      </c>
      <c r="O825" s="1">
        <v>1.6694336574837401E-7</v>
      </c>
      <c r="P825" s="2">
        <f t="shared" si="38"/>
        <v>0.18288310524647697</v>
      </c>
    </row>
    <row r="826" spans="2:16" x14ac:dyDescent="0.25">
      <c r="B826">
        <v>825</v>
      </c>
      <c r="C826">
        <v>-0.381869322055156</v>
      </c>
      <c r="D826">
        <v>-0.108712209296455</v>
      </c>
      <c r="E826">
        <v>0.58329671650745696</v>
      </c>
      <c r="F826">
        <f t="shared" si="36"/>
        <v>-0.27315711275870103</v>
      </c>
      <c r="G826" s="2">
        <f t="shared" si="37"/>
        <v>0.12791912955970811</v>
      </c>
      <c r="M826">
        <v>4.3288042733186796</v>
      </c>
      <c r="N826">
        <v>4.3278094001065197</v>
      </c>
      <c r="O826" s="1">
        <v>6.9425166326527797E-7</v>
      </c>
      <c r="P826" s="2">
        <f t="shared" si="38"/>
        <v>1.4256684724643784</v>
      </c>
    </row>
    <row r="827" spans="2:16" x14ac:dyDescent="0.25">
      <c r="B827">
        <v>826</v>
      </c>
      <c r="C827">
        <v>-0.323047406058869</v>
      </c>
      <c r="D827">
        <v>-0.103292485371522</v>
      </c>
      <c r="E827">
        <v>0.41743850624545498</v>
      </c>
      <c r="F827">
        <f t="shared" si="36"/>
        <v>-0.21975492068734701</v>
      </c>
      <c r="G827" s="2">
        <f t="shared" si="37"/>
        <v>0.11568703999219999</v>
      </c>
      <c r="M827">
        <v>4.3183504881597603</v>
      </c>
      <c r="N827">
        <v>4.3176451145803298</v>
      </c>
      <c r="O827" s="1">
        <v>6.4627753194511203E-7</v>
      </c>
      <c r="P827" s="2">
        <f t="shared" si="38"/>
        <v>0.7698734088140825</v>
      </c>
    </row>
    <row r="828" spans="2:16" x14ac:dyDescent="0.25">
      <c r="B828">
        <v>827</v>
      </c>
      <c r="C828">
        <v>-0.38484193069829498</v>
      </c>
      <c r="D828">
        <v>-0.110315251881484</v>
      </c>
      <c r="E828">
        <v>0.592413246494364</v>
      </c>
      <c r="F828">
        <f t="shared" si="36"/>
        <v>-0.27452667881681098</v>
      </c>
      <c r="G828" s="2">
        <f t="shared" si="37"/>
        <v>0.12721676604661386</v>
      </c>
      <c r="M828">
        <v>2.0197269900752999</v>
      </c>
      <c r="N828">
        <v>2.0190575413992602</v>
      </c>
      <c r="O828" s="1">
        <v>1.3637944614339001E-7</v>
      </c>
      <c r="P828" s="2">
        <f t="shared" si="38"/>
        <v>3.2861368961719402</v>
      </c>
    </row>
    <row r="829" spans="2:16" x14ac:dyDescent="0.25">
      <c r="B829">
        <v>828</v>
      </c>
      <c r="C829">
        <v>-0.38404482675609802</v>
      </c>
      <c r="D829">
        <v>-0.102597054998752</v>
      </c>
      <c r="E829">
        <v>0.58996171583248402</v>
      </c>
      <c r="F829">
        <f t="shared" si="36"/>
        <v>-0.28144777175734603</v>
      </c>
      <c r="G829" s="2">
        <f t="shared" si="37"/>
        <v>0.13426777721567806</v>
      </c>
      <c r="M829">
        <v>4.3276350394845702</v>
      </c>
      <c r="N829">
        <v>4.3273670070492498</v>
      </c>
      <c r="O829" s="1">
        <v>4.8977143120660402E-7</v>
      </c>
      <c r="P829" s="2">
        <f t="shared" si="38"/>
        <v>0.14668349725253771</v>
      </c>
    </row>
    <row r="830" spans="2:16" x14ac:dyDescent="0.25">
      <c r="B830">
        <v>829</v>
      </c>
      <c r="C830">
        <v>-0.358108570587789</v>
      </c>
      <c r="D830">
        <v>-0.112243130543856</v>
      </c>
      <c r="E830">
        <v>0.51296699331371798</v>
      </c>
      <c r="F830">
        <f t="shared" si="36"/>
        <v>-0.24586544004393301</v>
      </c>
      <c r="G830" s="2">
        <f t="shared" si="37"/>
        <v>0.11784347803256651</v>
      </c>
      <c r="M830">
        <v>4.3182142294923596</v>
      </c>
      <c r="N830">
        <v>4.3182680497674397</v>
      </c>
      <c r="O830" s="1">
        <v>3.2252550336267501E-7</v>
      </c>
      <c r="P830" s="2">
        <f t="shared" si="38"/>
        <v>8.9810634492591274E-3</v>
      </c>
    </row>
    <row r="831" spans="2:16" x14ac:dyDescent="0.25">
      <c r="B831">
        <v>830</v>
      </c>
      <c r="C831">
        <v>-0.36610007020152402</v>
      </c>
      <c r="D831">
        <v>-0.106183262595294</v>
      </c>
      <c r="E831">
        <v>0.53611704560624196</v>
      </c>
      <c r="F831">
        <f t="shared" si="36"/>
        <v>-0.25991680760623004</v>
      </c>
      <c r="G831" s="2">
        <f t="shared" si="37"/>
        <v>0.12601118996285735</v>
      </c>
      <c r="M831">
        <v>2.01910777714291</v>
      </c>
      <c r="N831">
        <v>2.0192250657203399</v>
      </c>
      <c r="O831" s="1">
        <v>7.8656817320058796E-8</v>
      </c>
      <c r="P831" s="2">
        <f t="shared" si="38"/>
        <v>0.17489406340390518</v>
      </c>
    </row>
    <row r="832" spans="2:16" x14ac:dyDescent="0.25">
      <c r="B832">
        <v>831</v>
      </c>
      <c r="C832">
        <v>-0.29661973212537701</v>
      </c>
      <c r="D832">
        <v>-0.30455253570051199</v>
      </c>
      <c r="E832">
        <v>0.35193306194452201</v>
      </c>
      <c r="F832">
        <f t="shared" si="36"/>
        <v>7.9328035751349835E-3</v>
      </c>
      <c r="G832" s="2">
        <f t="shared" si="37"/>
        <v>1.7881063010668328E-4</v>
      </c>
      <c r="M832">
        <v>4.3275544897143003</v>
      </c>
      <c r="N832">
        <v>4.3275728871254797</v>
      </c>
      <c r="O832" s="1">
        <v>4.7846630390613902E-7</v>
      </c>
      <c r="P832" s="2">
        <f t="shared" si="38"/>
        <v>7.0739514013773907E-4</v>
      </c>
    </row>
    <row r="833" spans="2:16" x14ac:dyDescent="0.25">
      <c r="B833">
        <v>832</v>
      </c>
      <c r="C833">
        <v>-0.30429793178797898</v>
      </c>
      <c r="D833">
        <v>-0.27809528527654598</v>
      </c>
      <c r="E833">
        <v>0.37038892516176503</v>
      </c>
      <c r="F833">
        <f t="shared" si="36"/>
        <v>-2.6202646511433003E-2</v>
      </c>
      <c r="G833" s="2">
        <f t="shared" si="37"/>
        <v>1.853669582326883E-3</v>
      </c>
      <c r="M833">
        <v>4.3195274214571198</v>
      </c>
      <c r="N833">
        <v>4.3184187063961099</v>
      </c>
      <c r="O833" s="1">
        <v>5.1973241418999397E-7</v>
      </c>
      <c r="P833" s="2">
        <f t="shared" si="38"/>
        <v>2.3651576329443658</v>
      </c>
    </row>
    <row r="834" spans="2:16" x14ac:dyDescent="0.25">
      <c r="B834">
        <v>833</v>
      </c>
      <c r="C834">
        <v>-0.34335970631516699</v>
      </c>
      <c r="D834">
        <v>-0.24957976339068</v>
      </c>
      <c r="E834">
        <v>0.47158355168334998</v>
      </c>
      <c r="F834">
        <f t="shared" si="36"/>
        <v>-9.3779942924486992E-2</v>
      </c>
      <c r="G834" s="2">
        <f t="shared" si="37"/>
        <v>1.8649246063665345E-2</v>
      </c>
      <c r="M834">
        <v>2.0192337216465202</v>
      </c>
      <c r="N834">
        <v>2.0192655798691401</v>
      </c>
      <c r="O834" s="1">
        <v>1.7031813207065899E-7</v>
      </c>
      <c r="P834" s="2">
        <f t="shared" si="38"/>
        <v>5.959120947162222E-3</v>
      </c>
    </row>
    <row r="835" spans="2:16" x14ac:dyDescent="0.25">
      <c r="B835">
        <v>834</v>
      </c>
      <c r="C835">
        <v>-0.34169127518834602</v>
      </c>
      <c r="D835">
        <v>-0.22456244833832101</v>
      </c>
      <c r="E835">
        <v>0.467011710159351</v>
      </c>
      <c r="F835">
        <f t="shared" ref="F835:F898" si="39">C835-D835</f>
        <v>-0.11712882685002501</v>
      </c>
      <c r="G835" s="2">
        <f t="shared" ref="G835:G898" si="40">F835^2/E835</f>
        <v>2.9376484102683356E-2</v>
      </c>
      <c r="M835">
        <v>4.3286040210065098</v>
      </c>
      <c r="N835">
        <v>4.3276226761512699</v>
      </c>
      <c r="O835" s="1">
        <v>5.3702287749430099E-7</v>
      </c>
      <c r="P835" s="2">
        <f t="shared" ref="P835:P898" si="41">(M835-N835)^2/O835</f>
        <v>1.7932899421326427</v>
      </c>
    </row>
    <row r="836" spans="2:16" x14ac:dyDescent="0.25">
      <c r="B836">
        <v>835</v>
      </c>
      <c r="C836">
        <v>-0.330975726961037</v>
      </c>
      <c r="D836">
        <v>-0.20164504810323899</v>
      </c>
      <c r="E836">
        <v>0.43817972734954802</v>
      </c>
      <c r="F836">
        <f t="shared" si="39"/>
        <v>-0.129330678857798</v>
      </c>
      <c r="G836" s="2">
        <f t="shared" si="40"/>
        <v>3.8172520200770832E-2</v>
      </c>
      <c r="M836">
        <v>4.3170810612323098</v>
      </c>
      <c r="N836">
        <v>4.3172566897378903</v>
      </c>
      <c r="O836" s="1">
        <v>2.86606412993413E-7</v>
      </c>
      <c r="P836" s="2">
        <f t="shared" si="41"/>
        <v>0.10762275571674117</v>
      </c>
    </row>
    <row r="837" spans="2:16" x14ac:dyDescent="0.25">
      <c r="B837">
        <v>836</v>
      </c>
      <c r="C837">
        <v>-0.31821961607082799</v>
      </c>
      <c r="D837">
        <v>-0.162171543428969</v>
      </c>
      <c r="E837">
        <v>0.40505489620905999</v>
      </c>
      <c r="F837">
        <f t="shared" si="39"/>
        <v>-0.15604807264185899</v>
      </c>
      <c r="G837" s="2">
        <f t="shared" si="40"/>
        <v>6.0117779597634292E-2</v>
      </c>
      <c r="M837">
        <v>2.0193560752224502</v>
      </c>
      <c r="N837">
        <v>2.01895307813</v>
      </c>
      <c r="O837" s="1">
        <v>1.01156574443478E-7</v>
      </c>
      <c r="P837" s="2">
        <f t="shared" si="41"/>
        <v>1.6054977881248893</v>
      </c>
    </row>
    <row r="838" spans="2:16" x14ac:dyDescent="0.25">
      <c r="B838">
        <v>837</v>
      </c>
      <c r="C838">
        <v>-0.32886744683361102</v>
      </c>
      <c r="D838">
        <v>-0.1417415397142</v>
      </c>
      <c r="E838">
        <v>0.43261519034743201</v>
      </c>
      <c r="F838">
        <f t="shared" si="39"/>
        <v>-0.18712590711941102</v>
      </c>
      <c r="G838" s="2">
        <f t="shared" si="40"/>
        <v>8.0940535368490191E-2</v>
      </c>
      <c r="M838">
        <v>4.3269010959883403</v>
      </c>
      <c r="N838">
        <v>4.3272386225636303</v>
      </c>
      <c r="O838" s="1">
        <v>3.5435363436437001E-7</v>
      </c>
      <c r="P838" s="2">
        <f t="shared" si="41"/>
        <v>0.32149857650366021</v>
      </c>
    </row>
    <row r="839" spans="2:16" x14ac:dyDescent="0.25">
      <c r="B839">
        <v>838</v>
      </c>
      <c r="C839">
        <v>-0.30368427224033201</v>
      </c>
      <c r="D839">
        <v>-0.14836966936211601</v>
      </c>
      <c r="E839">
        <v>0.36889654882456002</v>
      </c>
      <c r="F839">
        <f t="shared" si="39"/>
        <v>-0.155314602878216</v>
      </c>
      <c r="G839" s="2">
        <f t="shared" si="40"/>
        <v>6.5391302640486856E-2</v>
      </c>
      <c r="M839">
        <v>4.31812792860452</v>
      </c>
      <c r="N839">
        <v>4.3185614418439604</v>
      </c>
      <c r="O839" s="1">
        <v>2.4047677566436499E-7</v>
      </c>
      <c r="P839" s="2">
        <f t="shared" si="41"/>
        <v>0.78150469312852577</v>
      </c>
    </row>
    <row r="840" spans="2:16" x14ac:dyDescent="0.25">
      <c r="B840">
        <v>839</v>
      </c>
      <c r="C840">
        <v>-0.30681822239156997</v>
      </c>
      <c r="D840">
        <v>-0.17296797070618999</v>
      </c>
      <c r="E840">
        <v>0.37654968636609198</v>
      </c>
      <c r="F840">
        <f t="shared" si="39"/>
        <v>-0.13385025168537998</v>
      </c>
      <c r="G840" s="2">
        <f t="shared" si="40"/>
        <v>4.757908590799155E-2</v>
      </c>
      <c r="M840">
        <v>2.01898268475286</v>
      </c>
      <c r="N840">
        <v>2.0193039633226699</v>
      </c>
      <c r="O840" s="1">
        <v>6.0923460435186599E-8</v>
      </c>
      <c r="P840" s="2">
        <f t="shared" si="41"/>
        <v>1.6942556887244853</v>
      </c>
    </row>
    <row r="841" spans="2:16" x14ac:dyDescent="0.25">
      <c r="B841">
        <v>840</v>
      </c>
      <c r="C841">
        <v>-0.299259783455194</v>
      </c>
      <c r="D841">
        <v>-0.15820022327943001</v>
      </c>
      <c r="E841">
        <v>0.35822567197459798</v>
      </c>
      <c r="F841">
        <f t="shared" si="39"/>
        <v>-0.14105956017576399</v>
      </c>
      <c r="G841" s="2">
        <f t="shared" si="40"/>
        <v>5.55454314798269E-2</v>
      </c>
      <c r="M841">
        <v>4.3271628054235096</v>
      </c>
      <c r="N841">
        <v>4.3276698463100498</v>
      </c>
      <c r="O841" s="1">
        <v>2.3136020341026099E-7</v>
      </c>
      <c r="P841" s="2">
        <f t="shared" si="41"/>
        <v>1.1112129780054405</v>
      </c>
    </row>
    <row r="842" spans="2:16" x14ac:dyDescent="0.25">
      <c r="B842">
        <v>841</v>
      </c>
      <c r="C842">
        <v>-0.349526505504616</v>
      </c>
      <c r="D842">
        <v>-0.35286640494931598</v>
      </c>
      <c r="E842">
        <v>0.48867511220107401</v>
      </c>
      <c r="F842">
        <f t="shared" si="39"/>
        <v>3.3398994446999786E-3</v>
      </c>
      <c r="G842" s="2">
        <f t="shared" si="40"/>
        <v>2.2826880318221183E-5</v>
      </c>
      <c r="M842">
        <v>4.3182295512728599</v>
      </c>
      <c r="N842">
        <v>4.3187367651263102</v>
      </c>
      <c r="O842" s="1">
        <v>1.86304651882741E-7</v>
      </c>
      <c r="P842" s="2">
        <f t="shared" si="41"/>
        <v>1.3808881878797152</v>
      </c>
    </row>
    <row r="843" spans="2:16" x14ac:dyDescent="0.25">
      <c r="B843">
        <v>842</v>
      </c>
      <c r="C843">
        <v>-0.33851955662213601</v>
      </c>
      <c r="D843">
        <v>-0.358588778286209</v>
      </c>
      <c r="E843">
        <v>0.45838196086258998</v>
      </c>
      <c r="F843">
        <f t="shared" si="39"/>
        <v>2.0069221664072989E-2</v>
      </c>
      <c r="G843" s="2">
        <f t="shared" si="40"/>
        <v>8.7868566521193624E-4</v>
      </c>
      <c r="M843">
        <v>2.0192571687380698</v>
      </c>
      <c r="N843">
        <v>2.0193511093390999</v>
      </c>
      <c r="O843" s="1">
        <v>4.1912415490033099E-8</v>
      </c>
      <c r="P843" s="2">
        <f t="shared" si="41"/>
        <v>0.21055423360149791</v>
      </c>
    </row>
    <row r="844" spans="2:16" x14ac:dyDescent="0.25">
      <c r="B844">
        <v>843</v>
      </c>
      <c r="C844">
        <v>-0.378142261871242</v>
      </c>
      <c r="D844">
        <v>-0.32370524431314501</v>
      </c>
      <c r="E844">
        <v>0.57196628085239498</v>
      </c>
      <c r="F844">
        <f t="shared" si="39"/>
        <v>-5.443701755809699E-2</v>
      </c>
      <c r="G844" s="2">
        <f t="shared" si="40"/>
        <v>5.1810552122133046E-3</v>
      </c>
      <c r="M844">
        <v>4.3271581224917304</v>
      </c>
      <c r="N844">
        <v>4.3277277844262203</v>
      </c>
      <c r="O844" s="1">
        <v>1.1919671650499599E-7</v>
      </c>
      <c r="P844" s="2">
        <f t="shared" si="41"/>
        <v>2.7225139175138811</v>
      </c>
    </row>
    <row r="845" spans="2:16" x14ac:dyDescent="0.25">
      <c r="B845">
        <v>844</v>
      </c>
      <c r="C845">
        <v>-0.41030363815156401</v>
      </c>
      <c r="D845">
        <v>-0.32460539755345902</v>
      </c>
      <c r="E845">
        <v>0.67339630192163702</v>
      </c>
      <c r="F845">
        <f t="shared" si="39"/>
        <v>-8.5698240598104991E-2</v>
      </c>
      <c r="G845" s="2">
        <f t="shared" si="40"/>
        <v>1.090619063492471E-2</v>
      </c>
      <c r="M845">
        <v>4.31889318747558</v>
      </c>
      <c r="N845">
        <v>4.3187598688912603</v>
      </c>
      <c r="O845" s="1">
        <v>2.8563342237932901E-7</v>
      </c>
      <c r="P845" s="2">
        <f t="shared" si="41"/>
        <v>6.2226068563568999E-2</v>
      </c>
    </row>
    <row r="846" spans="2:16" x14ac:dyDescent="0.25">
      <c r="B846">
        <v>845</v>
      </c>
      <c r="C846">
        <v>-0.33704386229365402</v>
      </c>
      <c r="D846">
        <v>-0.31114922469600897</v>
      </c>
      <c r="E846">
        <v>0.45439426043929299</v>
      </c>
      <c r="F846">
        <f t="shared" si="39"/>
        <v>-2.5894637597645043E-2</v>
      </c>
      <c r="G846" s="2">
        <f t="shared" si="40"/>
        <v>1.4756618088994442E-3</v>
      </c>
      <c r="M846">
        <v>2.0195001673816999</v>
      </c>
      <c r="N846">
        <v>2.0193573220898302</v>
      </c>
      <c r="O846" s="1">
        <v>5.2142338079382101E-8</v>
      </c>
      <c r="P846" s="2">
        <f t="shared" si="41"/>
        <v>0.39132839379535755</v>
      </c>
    </row>
    <row r="847" spans="2:16" x14ac:dyDescent="0.25">
      <c r="B847">
        <v>846</v>
      </c>
      <c r="C847">
        <v>-0.35451913058997803</v>
      </c>
      <c r="D847">
        <v>-0.30940213826608298</v>
      </c>
      <c r="E847">
        <v>0.50273525581709699</v>
      </c>
      <c r="F847">
        <f t="shared" si="39"/>
        <v>-4.5116992323895044E-2</v>
      </c>
      <c r="G847" s="2">
        <f t="shared" si="40"/>
        <v>4.0489362399023137E-3</v>
      </c>
      <c r="M847">
        <v>4.3278622829933804</v>
      </c>
      <c r="N847">
        <v>4.3277354192821802</v>
      </c>
      <c r="O847" s="1">
        <v>2.25253116379885E-7</v>
      </c>
      <c r="P847" s="2">
        <f t="shared" si="41"/>
        <v>7.1450293244074536E-2</v>
      </c>
    </row>
    <row r="848" spans="2:16" x14ac:dyDescent="0.25">
      <c r="B848">
        <v>847</v>
      </c>
      <c r="C848">
        <v>-0.31704049507968801</v>
      </c>
      <c r="D848">
        <v>-0.307544288022431</v>
      </c>
      <c r="E848">
        <v>0.40205870208149502</v>
      </c>
      <c r="F848">
        <f t="shared" si="39"/>
        <v>-9.4962070572570112E-3</v>
      </c>
      <c r="G848" s="2">
        <f t="shared" si="40"/>
        <v>2.2429050287293449E-4</v>
      </c>
      <c r="M848">
        <v>4.3193896268472303</v>
      </c>
      <c r="N848">
        <v>4.3190586579476902</v>
      </c>
      <c r="O848" s="1">
        <v>2.29324851677214E-7</v>
      </c>
      <c r="P848" s="2">
        <f t="shared" si="41"/>
        <v>0.47766481330582411</v>
      </c>
    </row>
    <row r="849" spans="2:16" x14ac:dyDescent="0.25">
      <c r="B849">
        <v>848</v>
      </c>
      <c r="C849">
        <v>-0.30380264623615699</v>
      </c>
      <c r="D849">
        <v>-0.283431629840107</v>
      </c>
      <c r="E849">
        <v>0.36918419144036602</v>
      </c>
      <c r="F849">
        <f t="shared" si="39"/>
        <v>-2.037101639604999E-2</v>
      </c>
      <c r="G849" s="2">
        <f t="shared" si="40"/>
        <v>1.1240413826743407E-3</v>
      </c>
      <c r="M849">
        <v>2.0195647150094298</v>
      </c>
      <c r="N849">
        <v>2.01943766711317</v>
      </c>
      <c r="O849" s="1">
        <v>4.3033109347640398E-8</v>
      </c>
      <c r="P849" s="2">
        <f t="shared" si="41"/>
        <v>0.3750871872551535</v>
      </c>
    </row>
    <row r="850" spans="2:16" x14ac:dyDescent="0.25">
      <c r="B850">
        <v>849</v>
      </c>
      <c r="C850">
        <v>-0.37990864716668699</v>
      </c>
      <c r="D850">
        <v>-0.27285307357525102</v>
      </c>
      <c r="E850">
        <v>0.57732232076808898</v>
      </c>
      <c r="F850">
        <f t="shared" si="39"/>
        <v>-0.10705557359143597</v>
      </c>
      <c r="G850" s="2">
        <f t="shared" si="40"/>
        <v>1.9851814878287403E-2</v>
      </c>
      <c r="M850">
        <v>4.32820992972621</v>
      </c>
      <c r="N850">
        <v>4.3278341544639503</v>
      </c>
      <c r="O850" s="1">
        <v>2.3674959051620101E-7</v>
      </c>
      <c r="P850" s="2">
        <f t="shared" si="41"/>
        <v>0.59644051513876162</v>
      </c>
    </row>
    <row r="851" spans="2:16" x14ac:dyDescent="0.25">
      <c r="B851">
        <v>850</v>
      </c>
      <c r="C851">
        <v>-0.37471296801684201</v>
      </c>
      <c r="D851">
        <v>-0.25602452907631701</v>
      </c>
      <c r="E851">
        <v>0.56163923359996404</v>
      </c>
      <c r="F851">
        <f t="shared" si="39"/>
        <v>-0.118688438940525</v>
      </c>
      <c r="G851" s="2">
        <f t="shared" si="40"/>
        <v>2.5081840255077995E-2</v>
      </c>
      <c r="M851">
        <v>4.3186392401582498</v>
      </c>
      <c r="N851">
        <v>4.3191038654627603</v>
      </c>
      <c r="O851" s="1">
        <v>1.27814279762043E-7</v>
      </c>
      <c r="P851" s="2">
        <f t="shared" si="41"/>
        <v>1.6889871303370834</v>
      </c>
    </row>
    <row r="852" spans="2:16" x14ac:dyDescent="0.25">
      <c r="B852">
        <v>851</v>
      </c>
      <c r="C852">
        <v>-0.36037761203745999</v>
      </c>
      <c r="D852">
        <v>-0.24256047620106799</v>
      </c>
      <c r="E852">
        <v>0.51948809303128796</v>
      </c>
      <c r="F852">
        <f t="shared" si="39"/>
        <v>-0.117817135836392</v>
      </c>
      <c r="G852" s="2">
        <f t="shared" si="40"/>
        <v>2.672029962360431E-2</v>
      </c>
      <c r="M852">
        <v>2.0192986886211601</v>
      </c>
      <c r="N852">
        <v>2.0194498233060201</v>
      </c>
      <c r="O852" s="1">
        <v>3.5796500030834797E-8</v>
      </c>
      <c r="P852" s="2">
        <f t="shared" si="41"/>
        <v>0.63809849979855215</v>
      </c>
    </row>
    <row r="853" spans="2:16" x14ac:dyDescent="0.25">
      <c r="B853">
        <v>852</v>
      </c>
      <c r="C853">
        <v>-0.32998277517664498</v>
      </c>
      <c r="D853">
        <v>-0.22102952454170199</v>
      </c>
      <c r="E853">
        <v>0.43555452765312203</v>
      </c>
      <c r="F853">
        <f t="shared" si="39"/>
        <v>-0.10895325063494299</v>
      </c>
      <c r="G853" s="2">
        <f t="shared" si="40"/>
        <v>2.7254476925962948E-2</v>
      </c>
      <c r="M853">
        <v>4.32716986742758</v>
      </c>
      <c r="N853">
        <v>4.3278490929397302</v>
      </c>
      <c r="O853" s="1">
        <v>1.4586334796027699E-7</v>
      </c>
      <c r="P853" s="2">
        <f t="shared" si="41"/>
        <v>3.1628733524016432</v>
      </c>
    </row>
    <row r="854" spans="2:16" x14ac:dyDescent="0.25">
      <c r="B854">
        <v>853</v>
      </c>
      <c r="C854">
        <v>-0.36035591574752901</v>
      </c>
      <c r="D854">
        <v>-0.20144446221641499</v>
      </c>
      <c r="E854">
        <v>0.51942554405695995</v>
      </c>
      <c r="F854">
        <f t="shared" si="39"/>
        <v>-0.15891145353111402</v>
      </c>
      <c r="G854" s="2">
        <f t="shared" si="40"/>
        <v>4.8616881384258986E-2</v>
      </c>
      <c r="M854">
        <v>4.3200608941495204</v>
      </c>
      <c r="N854">
        <v>4.3204296973831502</v>
      </c>
      <c r="O854" s="1">
        <v>2.7640786523200498E-7</v>
      </c>
      <c r="P854" s="2">
        <f t="shared" si="41"/>
        <v>0.49208377273055526</v>
      </c>
    </row>
    <row r="855" spans="2:16" x14ac:dyDescent="0.25">
      <c r="B855">
        <v>854</v>
      </c>
      <c r="C855">
        <v>-0.34159911370573998</v>
      </c>
      <c r="D855">
        <v>-0.179419392636775</v>
      </c>
      <c r="E855">
        <v>0.46675981793818999</v>
      </c>
      <c r="F855">
        <f t="shared" si="39"/>
        <v>-0.16217972106896497</v>
      </c>
      <c r="G855" s="2">
        <f t="shared" si="40"/>
        <v>5.6350741677361614E-2</v>
      </c>
      <c r="M855">
        <v>2.0195996701486298</v>
      </c>
      <c r="N855">
        <v>2.0198063123043299</v>
      </c>
      <c r="O855" s="1">
        <v>4.7043771318078498E-8</v>
      </c>
      <c r="P855" s="2">
        <f t="shared" si="41"/>
        <v>0.90768616792366275</v>
      </c>
    </row>
    <row r="856" spans="2:16" x14ac:dyDescent="0.25">
      <c r="B856">
        <v>855</v>
      </c>
      <c r="C856">
        <v>-0.38730335217645501</v>
      </c>
      <c r="D856">
        <v>-0.14626200134711501</v>
      </c>
      <c r="E856">
        <v>0.60001554642847699</v>
      </c>
      <c r="F856">
        <f t="shared" si="39"/>
        <v>-0.24104135082934</v>
      </c>
      <c r="G856" s="2">
        <f t="shared" si="40"/>
        <v>9.6832379019963791E-2</v>
      </c>
      <c r="M856">
        <v>4.3278955450436696</v>
      </c>
      <c r="N856">
        <v>4.3282871573070896</v>
      </c>
      <c r="O856" s="1">
        <v>2.22709862269787E-7</v>
      </c>
      <c r="P856" s="2">
        <f t="shared" si="41"/>
        <v>0.68860967043818011</v>
      </c>
    </row>
    <row r="857" spans="2:16" x14ac:dyDescent="0.25">
      <c r="B857">
        <v>856</v>
      </c>
      <c r="C857">
        <v>-0.30029944672467801</v>
      </c>
      <c r="D857">
        <v>-0.12785741888128599</v>
      </c>
      <c r="E857">
        <v>0.36071903081259199</v>
      </c>
      <c r="F857">
        <f t="shared" si="39"/>
        <v>-0.17244202784339202</v>
      </c>
      <c r="G857" s="2">
        <f t="shared" si="40"/>
        <v>8.2436052513653948E-2</v>
      </c>
      <c r="M857">
        <v>4.3194163048719902</v>
      </c>
      <c r="N857">
        <v>4.3198270874754998</v>
      </c>
      <c r="O857" s="1">
        <v>5.1599457265032501E-8</v>
      </c>
      <c r="P857" s="2">
        <f t="shared" si="41"/>
        <v>3.270234926685089</v>
      </c>
    </row>
    <row r="858" spans="2:16" x14ac:dyDescent="0.25">
      <c r="B858">
        <v>857</v>
      </c>
      <c r="C858">
        <v>-0.37027277536380898</v>
      </c>
      <c r="D858">
        <v>-0.155148034587857</v>
      </c>
      <c r="E858">
        <v>0.54840771270247202</v>
      </c>
      <c r="F858">
        <f t="shared" si="39"/>
        <v>-0.21512474077595198</v>
      </c>
      <c r="G858" s="2">
        <f t="shared" si="40"/>
        <v>8.4387314441414729E-2</v>
      </c>
      <c r="M858">
        <v>2.01955331236196</v>
      </c>
      <c r="N858">
        <v>2.0196442886283501</v>
      </c>
      <c r="O858" s="1">
        <v>1.6161668175876101E-8</v>
      </c>
      <c r="P858" s="2">
        <f t="shared" si="41"/>
        <v>0.51211799154719573</v>
      </c>
    </row>
    <row r="859" spans="2:16" x14ac:dyDescent="0.25">
      <c r="B859">
        <v>858</v>
      </c>
      <c r="C859">
        <v>-0.296925745196225</v>
      </c>
      <c r="D859">
        <v>-0.15673974618811801</v>
      </c>
      <c r="E859">
        <v>0.35265959264133301</v>
      </c>
      <c r="F859">
        <f t="shared" si="39"/>
        <v>-0.14018599900810699</v>
      </c>
      <c r="G859" s="2">
        <f t="shared" si="40"/>
        <v>5.5725449492842388E-2</v>
      </c>
      <c r="M859">
        <v>4.3274301228441203</v>
      </c>
      <c r="N859">
        <v>4.3280880618461497</v>
      </c>
      <c r="O859" s="1">
        <v>4.9615037660427698E-8</v>
      </c>
      <c r="P859" s="2">
        <f t="shared" si="41"/>
        <v>8.7248493763952055</v>
      </c>
    </row>
    <row r="860" spans="2:16" x14ac:dyDescent="0.25">
      <c r="B860">
        <v>859</v>
      </c>
      <c r="C860">
        <v>-0.35482016228082802</v>
      </c>
      <c r="D860">
        <v>-0.14980297890477101</v>
      </c>
      <c r="E860">
        <v>0.50358939024397098</v>
      </c>
      <c r="F860">
        <f t="shared" si="39"/>
        <v>-0.20501718337605701</v>
      </c>
      <c r="G860" s="2">
        <f t="shared" si="40"/>
        <v>8.3464914658128067E-2</v>
      </c>
      <c r="M860">
        <v>4.3212294917017999</v>
      </c>
      <c r="N860">
        <v>4.3210124411675599</v>
      </c>
      <c r="O860" s="1">
        <v>1.5887008504776401E-7</v>
      </c>
      <c r="P860" s="2">
        <f t="shared" si="41"/>
        <v>0.29653747840395422</v>
      </c>
    </row>
    <row r="861" spans="2:16" x14ac:dyDescent="0.25">
      <c r="B861">
        <v>860</v>
      </c>
      <c r="C861">
        <v>-0.37290999898857302</v>
      </c>
      <c r="D861">
        <v>-0.140853809211129</v>
      </c>
      <c r="E861">
        <v>0.55624746938263003</v>
      </c>
      <c r="F861">
        <f t="shared" si="39"/>
        <v>-0.23205618977744402</v>
      </c>
      <c r="G861" s="2">
        <f t="shared" si="40"/>
        <v>9.6809564408072604E-2</v>
      </c>
      <c r="M861">
        <v>2.0202380649357101</v>
      </c>
      <c r="N861">
        <v>2.0199629854450598</v>
      </c>
      <c r="O861" s="1">
        <v>3.7440430714954598E-8</v>
      </c>
      <c r="P861" s="2">
        <f t="shared" si="41"/>
        <v>2.0210431539242379</v>
      </c>
    </row>
    <row r="862" spans="2:16" x14ac:dyDescent="0.25">
      <c r="B862">
        <v>861</v>
      </c>
      <c r="C862">
        <v>-0.32637848536736302</v>
      </c>
      <c r="D862">
        <v>-0.35729997326983898</v>
      </c>
      <c r="E862">
        <v>0.426091662842777</v>
      </c>
      <c r="F862">
        <f t="shared" si="39"/>
        <v>3.0921487902475953E-2</v>
      </c>
      <c r="G862" s="2">
        <f t="shared" si="40"/>
        <v>2.2439735331216066E-3</v>
      </c>
      <c r="M862">
        <v>4.3288234703321198</v>
      </c>
      <c r="N862">
        <v>4.32847967152588</v>
      </c>
      <c r="O862" s="1">
        <v>2.0676980626901301E-7</v>
      </c>
      <c r="P862" s="2">
        <f t="shared" si="41"/>
        <v>0.57163868025361331</v>
      </c>
    </row>
    <row r="863" spans="2:16" x14ac:dyDescent="0.25">
      <c r="B863">
        <v>862</v>
      </c>
      <c r="C863">
        <v>-0.33437923568931999</v>
      </c>
      <c r="D863">
        <v>-0.33861809182650998</v>
      </c>
      <c r="E863">
        <v>0.447237893040694</v>
      </c>
      <c r="F863">
        <f t="shared" si="39"/>
        <v>4.2388561371899947E-3</v>
      </c>
      <c r="G863" s="2">
        <f t="shared" si="40"/>
        <v>4.0175266075136412E-5</v>
      </c>
      <c r="M863">
        <v>4.3217589054541703</v>
      </c>
      <c r="N863">
        <v>4.3215789667808</v>
      </c>
      <c r="O863" s="1">
        <v>8.9233805288139497E-8</v>
      </c>
      <c r="P863" s="2">
        <f t="shared" si="41"/>
        <v>0.36284372351612648</v>
      </c>
    </row>
    <row r="864" spans="2:16" x14ac:dyDescent="0.25">
      <c r="B864">
        <v>863</v>
      </c>
      <c r="C864">
        <v>-0.34794979515505597</v>
      </c>
      <c r="D864">
        <v>-0.33185281346484602</v>
      </c>
      <c r="E864">
        <v>0.48427623979378298</v>
      </c>
      <c r="F864">
        <f t="shared" si="39"/>
        <v>-1.6096981690209955E-2</v>
      </c>
      <c r="G864" s="2">
        <f t="shared" si="40"/>
        <v>5.3505168794837279E-4</v>
      </c>
      <c r="M864">
        <v>2.0200208136173998</v>
      </c>
      <c r="N864">
        <v>2.0201152896553798</v>
      </c>
      <c r="O864" s="1">
        <v>3.2289828019092399E-8</v>
      </c>
      <c r="P864" s="2">
        <f t="shared" si="41"/>
        <v>0.27642518712436931</v>
      </c>
    </row>
    <row r="865" spans="2:16" x14ac:dyDescent="0.25">
      <c r="B865">
        <v>864</v>
      </c>
      <c r="C865">
        <v>-0.34188698583662303</v>
      </c>
      <c r="D865">
        <v>-0.31830870315769</v>
      </c>
      <c r="E865">
        <v>0.46754684433780602</v>
      </c>
      <c r="F865">
        <f t="shared" si="39"/>
        <v>-2.3578282678933027E-2</v>
      </c>
      <c r="G865" s="2">
        <f t="shared" si="40"/>
        <v>1.189047516458064E-3</v>
      </c>
      <c r="M865">
        <v>4.3291461024839499</v>
      </c>
      <c r="N865">
        <v>4.3286668112572801</v>
      </c>
      <c r="O865" s="1">
        <v>6.3518446909203501E-8</v>
      </c>
      <c r="P865" s="2">
        <f t="shared" si="41"/>
        <v>3.6165884265243853</v>
      </c>
    </row>
    <row r="866" spans="2:16" x14ac:dyDescent="0.25">
      <c r="B866">
        <v>865</v>
      </c>
      <c r="C866">
        <v>-0.399784508801378</v>
      </c>
      <c r="D866">
        <v>-0.31138718254706499</v>
      </c>
      <c r="E866">
        <v>0.63931061391023503</v>
      </c>
      <c r="F866">
        <f t="shared" si="39"/>
        <v>-8.8397326254313013E-2</v>
      </c>
      <c r="G866" s="2">
        <f t="shared" si="40"/>
        <v>1.2222677238405156E-2</v>
      </c>
      <c r="M866">
        <v>4.3220920095836899</v>
      </c>
      <c r="N866">
        <v>4.3214411096654297</v>
      </c>
      <c r="O866" s="1">
        <v>1.12200234323749E-7</v>
      </c>
      <c r="P866" s="2">
        <f t="shared" si="41"/>
        <v>3.7760233402776655</v>
      </c>
    </row>
    <row r="867" spans="2:16" x14ac:dyDescent="0.25">
      <c r="B867">
        <v>866</v>
      </c>
      <c r="C867">
        <v>-0.39008583530964502</v>
      </c>
      <c r="D867">
        <v>-0.306691828137095</v>
      </c>
      <c r="E867">
        <v>0.60866783563689497</v>
      </c>
      <c r="F867">
        <f t="shared" si="39"/>
        <v>-8.3394007172550022E-2</v>
      </c>
      <c r="G867" s="2">
        <f t="shared" si="40"/>
        <v>1.1425871427916418E-2</v>
      </c>
      <c r="M867">
        <v>2.0203955591819001</v>
      </c>
      <c r="N867">
        <v>2.0200782290598398</v>
      </c>
      <c r="O867" s="1">
        <v>3.6790377989068102E-8</v>
      </c>
      <c r="P867" s="2">
        <f t="shared" si="41"/>
        <v>2.7370853976194018</v>
      </c>
    </row>
    <row r="868" spans="2:16" x14ac:dyDescent="0.25">
      <c r="B868">
        <v>867</v>
      </c>
      <c r="C868">
        <v>-0.37884594142463301</v>
      </c>
      <c r="D868">
        <v>-0.30713452816903802</v>
      </c>
      <c r="E868">
        <v>0.574096989335665</v>
      </c>
      <c r="F868">
        <f t="shared" si="39"/>
        <v>-7.1711413255594991E-2</v>
      </c>
      <c r="G868" s="2">
        <f t="shared" si="40"/>
        <v>8.9575923348170963E-3</v>
      </c>
      <c r="M868">
        <v>4.32943250336535</v>
      </c>
      <c r="N868">
        <v>4.3286212745942603</v>
      </c>
      <c r="O868" s="1">
        <v>1.14534255919297E-7</v>
      </c>
      <c r="P868" s="2">
        <f t="shared" si="41"/>
        <v>5.7458104019768692</v>
      </c>
    </row>
    <row r="869" spans="2:16" x14ac:dyDescent="0.25">
      <c r="B869">
        <v>868</v>
      </c>
      <c r="C869">
        <v>-0.32253791237108498</v>
      </c>
      <c r="D869">
        <v>-0.28723848530587898</v>
      </c>
      <c r="E869">
        <v>0.41612281966678999</v>
      </c>
      <c r="F869">
        <f t="shared" si="39"/>
        <v>-3.5299427065206002E-2</v>
      </c>
      <c r="G869" s="2">
        <f t="shared" si="40"/>
        <v>2.9944273475066112E-3</v>
      </c>
      <c r="M869">
        <v>0.46048988122359402</v>
      </c>
      <c r="N869">
        <v>0.46037643437304598</v>
      </c>
      <c r="O869" s="1">
        <v>4.9621181863409201E-9</v>
      </c>
      <c r="P869" s="2">
        <f t="shared" si="41"/>
        <v>2.5936883032524802</v>
      </c>
    </row>
    <row r="870" spans="2:16" x14ac:dyDescent="0.25">
      <c r="B870">
        <v>869</v>
      </c>
      <c r="C870">
        <v>-0.39712458244008603</v>
      </c>
      <c r="D870">
        <v>-0.28264872117671302</v>
      </c>
      <c r="E870">
        <v>0.63083173591285002</v>
      </c>
      <c r="F870">
        <f t="shared" si="39"/>
        <v>-0.114475861263373</v>
      </c>
      <c r="G870" s="2">
        <f t="shared" si="40"/>
        <v>2.0773721526593351E-2</v>
      </c>
      <c r="M870">
        <v>0.99309042629349897</v>
      </c>
      <c r="N870">
        <v>0.99287234907477895</v>
      </c>
      <c r="O870" s="1">
        <v>1.5928377698556499E-8</v>
      </c>
      <c r="P870" s="2">
        <f t="shared" si="41"/>
        <v>2.9857198406948648</v>
      </c>
    </row>
    <row r="871" spans="2:16" x14ac:dyDescent="0.25">
      <c r="B871">
        <v>870</v>
      </c>
      <c r="C871">
        <v>-0.38012651376037199</v>
      </c>
      <c r="D871">
        <v>-0.273196621340903</v>
      </c>
      <c r="E871">
        <v>0.57798466585445796</v>
      </c>
      <c r="F871">
        <f t="shared" si="39"/>
        <v>-0.10692989241946899</v>
      </c>
      <c r="G871" s="2">
        <f t="shared" si="40"/>
        <v>1.9782535019222121E-2</v>
      </c>
      <c r="M871">
        <v>0.46054991548732599</v>
      </c>
      <c r="N871">
        <v>0.46052870454712103</v>
      </c>
      <c r="O871" s="1">
        <v>4.9745815101509202E-9</v>
      </c>
      <c r="P871" s="2">
        <f t="shared" si="41"/>
        <v>9.0440569414827754E-2</v>
      </c>
    </row>
    <row r="872" spans="2:16" x14ac:dyDescent="0.25">
      <c r="B872">
        <v>871</v>
      </c>
      <c r="C872">
        <v>-0.37849847717857299</v>
      </c>
      <c r="D872">
        <v>-0.27269611115388998</v>
      </c>
      <c r="E872">
        <v>0.57304438890599596</v>
      </c>
      <c r="F872">
        <f t="shared" si="39"/>
        <v>-0.10580236602468301</v>
      </c>
      <c r="G872" s="2">
        <f t="shared" si="40"/>
        <v>1.9534508797463022E-2</v>
      </c>
      <c r="M872">
        <v>0.99268620164825905</v>
      </c>
      <c r="N872">
        <v>0.99265116945226906</v>
      </c>
      <c r="O872" s="1">
        <v>1.19574659240075E-8</v>
      </c>
      <c r="P872" s="2">
        <f t="shared" si="41"/>
        <v>0.10263502013559829</v>
      </c>
    </row>
    <row r="873" spans="2:16" x14ac:dyDescent="0.25">
      <c r="B873">
        <v>872</v>
      </c>
      <c r="C873">
        <v>-0.41875915207707498</v>
      </c>
      <c r="D873">
        <v>-0.27732677963621399</v>
      </c>
      <c r="E873">
        <v>0.70143690979324402</v>
      </c>
      <c r="F873">
        <f t="shared" si="39"/>
        <v>-0.14143237244086099</v>
      </c>
      <c r="G873" s="2">
        <f t="shared" si="40"/>
        <v>2.8517341609734431E-2</v>
      </c>
      <c r="M873">
        <v>0.46081146644729598</v>
      </c>
      <c r="N873">
        <v>0.46092779948067297</v>
      </c>
      <c r="O873" s="1">
        <v>2.7422783288258299E-8</v>
      </c>
      <c r="P873" s="2">
        <f t="shared" si="41"/>
        <v>0.49350842736984069</v>
      </c>
    </row>
    <row r="874" spans="2:16" x14ac:dyDescent="0.25">
      <c r="B874">
        <v>873</v>
      </c>
      <c r="C874">
        <v>-0.37043794503894401</v>
      </c>
      <c r="D874">
        <v>-0.263849258162558</v>
      </c>
      <c r="E874">
        <v>0.548897084498701</v>
      </c>
      <c r="F874">
        <f t="shared" si="39"/>
        <v>-0.10658868687638601</v>
      </c>
      <c r="G874" s="2">
        <f t="shared" si="40"/>
        <v>2.069813903349153E-2</v>
      </c>
      <c r="M874">
        <v>0.99199495356771605</v>
      </c>
      <c r="N874">
        <v>0.99207204558190198</v>
      </c>
      <c r="O874" s="1">
        <v>1.6972557221542199E-8</v>
      </c>
      <c r="P874" s="2">
        <f t="shared" si="41"/>
        <v>0.35016400732474706</v>
      </c>
    </row>
    <row r="875" spans="2:16" x14ac:dyDescent="0.25">
      <c r="B875">
        <v>874</v>
      </c>
      <c r="C875">
        <v>-0.33347099674082098</v>
      </c>
      <c r="D875">
        <v>-0.27056356938700599</v>
      </c>
      <c r="E875">
        <v>0.44481162266926499</v>
      </c>
      <c r="F875">
        <f t="shared" si="39"/>
        <v>-6.2907427353814993E-2</v>
      </c>
      <c r="G875" s="2">
        <f t="shared" si="40"/>
        <v>8.8966749396698058E-3</v>
      </c>
      <c r="M875">
        <v>0.46077532259986198</v>
      </c>
      <c r="N875">
        <v>0.46061740321549499</v>
      </c>
      <c r="O875" s="1">
        <v>7.4876990391487302E-9</v>
      </c>
      <c r="P875" s="2">
        <f t="shared" si="41"/>
        <v>3.3306002055451289</v>
      </c>
    </row>
    <row r="876" spans="2:16" x14ac:dyDescent="0.25">
      <c r="B876">
        <v>875</v>
      </c>
      <c r="C876">
        <v>-0.43819606611422002</v>
      </c>
      <c r="D876">
        <v>-0.251591319992088</v>
      </c>
      <c r="E876">
        <v>0.768063169431911</v>
      </c>
      <c r="F876">
        <f t="shared" si="39"/>
        <v>-0.18660474612213201</v>
      </c>
      <c r="G876" s="2">
        <f t="shared" si="40"/>
        <v>4.5336546082610028E-2</v>
      </c>
      <c r="M876">
        <v>0.99286208892997796</v>
      </c>
      <c r="N876">
        <v>0.99252238685261496</v>
      </c>
      <c r="O876" s="1">
        <v>2.6815817279050499E-8</v>
      </c>
      <c r="P876" s="2">
        <f t="shared" si="41"/>
        <v>4.303337100036547</v>
      </c>
    </row>
    <row r="877" spans="2:16" x14ac:dyDescent="0.25">
      <c r="B877">
        <v>876</v>
      </c>
      <c r="C877">
        <v>-0.35598002288106001</v>
      </c>
      <c r="D877">
        <v>-0.27269549017215799</v>
      </c>
      <c r="E877">
        <v>0.50688710676159898</v>
      </c>
      <c r="F877">
        <f t="shared" si="39"/>
        <v>-8.3284532708902015E-2</v>
      </c>
      <c r="G877" s="2">
        <f t="shared" si="40"/>
        <v>1.3684138531072327E-2</v>
      </c>
      <c r="M877">
        <v>0.46058859454801299</v>
      </c>
      <c r="N877">
        <v>0.46054589741901297</v>
      </c>
      <c r="O877" s="1">
        <v>6.0998237144024901E-9</v>
      </c>
      <c r="P877" s="2">
        <f t="shared" si="41"/>
        <v>0.29886844443378402</v>
      </c>
    </row>
    <row r="878" spans="2:16" x14ac:dyDescent="0.25">
      <c r="B878">
        <v>877</v>
      </c>
      <c r="C878">
        <v>-0.331677888380143</v>
      </c>
      <c r="D878">
        <v>-0.27732490056657899</v>
      </c>
      <c r="E878">
        <v>0.44004088656124302</v>
      </c>
      <c r="F878">
        <f t="shared" si="39"/>
        <v>-5.4352987813564013E-2</v>
      </c>
      <c r="G878" s="2">
        <f t="shared" si="40"/>
        <v>6.7135745211036853E-3</v>
      </c>
      <c r="M878">
        <v>0.99268676737671402</v>
      </c>
      <c r="N878">
        <v>0.99262620368372501</v>
      </c>
      <c r="O878" s="1">
        <v>1.25929254003504E-8</v>
      </c>
      <c r="P878" s="2">
        <f t="shared" si="41"/>
        <v>0.29127155064107335</v>
      </c>
    </row>
    <row r="879" spans="2:16" x14ac:dyDescent="0.25">
      <c r="B879">
        <v>878</v>
      </c>
      <c r="C879">
        <v>-0.338169812903517</v>
      </c>
      <c r="D879">
        <v>-0.26384852008919102</v>
      </c>
      <c r="E879">
        <v>0.45743528943679901</v>
      </c>
      <c r="F879">
        <f t="shared" si="39"/>
        <v>-7.4321292814325979E-2</v>
      </c>
      <c r="G879" s="2">
        <f t="shared" si="40"/>
        <v>1.2075269864713731E-2</v>
      </c>
      <c r="M879">
        <v>0.46056909611760999</v>
      </c>
      <c r="N879">
        <v>0.46058190434774299</v>
      </c>
      <c r="O879" s="1">
        <v>3.4198026802754099E-9</v>
      </c>
      <c r="P879" s="2">
        <f t="shared" si="41"/>
        <v>4.7970825944452664E-2</v>
      </c>
    </row>
    <row r="880" spans="2:16" x14ac:dyDescent="0.25">
      <c r="B880">
        <v>879</v>
      </c>
      <c r="C880">
        <v>-0.35467214085385601</v>
      </c>
      <c r="D880">
        <v>-0.27056392249780897</v>
      </c>
      <c r="E880">
        <v>0.50316930999143095</v>
      </c>
      <c r="F880">
        <f t="shared" si="39"/>
        <v>-8.4108218356047038E-2</v>
      </c>
      <c r="G880" s="2">
        <f t="shared" si="40"/>
        <v>1.4059268430240635E-2</v>
      </c>
      <c r="M880">
        <v>0.99253110666032995</v>
      </c>
      <c r="N880">
        <v>0.992573923078094</v>
      </c>
      <c r="O880" s="1">
        <v>1.9531888895758799E-8</v>
      </c>
      <c r="P880" s="2">
        <f t="shared" si="41"/>
        <v>9.3859105994784017E-2</v>
      </c>
    </row>
    <row r="881" spans="2:16" x14ac:dyDescent="0.25">
      <c r="B881">
        <v>880</v>
      </c>
      <c r="C881">
        <v>-0.37259674283632599</v>
      </c>
      <c r="D881">
        <v>-0.25159058413914298</v>
      </c>
      <c r="E881">
        <v>0.55531333108895797</v>
      </c>
      <c r="F881">
        <f t="shared" si="39"/>
        <v>-0.12100615869718301</v>
      </c>
      <c r="G881" s="2">
        <f t="shared" si="40"/>
        <v>2.6367979342282705E-2</v>
      </c>
      <c r="M881">
        <v>0.46050010000645603</v>
      </c>
      <c r="N881">
        <v>0.46045101045123799</v>
      </c>
      <c r="O881" s="1">
        <v>6.1529325652133104E-9</v>
      </c>
      <c r="P881" s="2">
        <f t="shared" si="41"/>
        <v>0.39164811347505674</v>
      </c>
    </row>
    <row r="882" spans="2:16" x14ac:dyDescent="0.25">
      <c r="B882">
        <v>881</v>
      </c>
      <c r="C882">
        <v>-0.379591134069931</v>
      </c>
      <c r="D882">
        <v>-0.18953952134642699</v>
      </c>
      <c r="E882">
        <v>0.57635771625798604</v>
      </c>
      <c r="F882">
        <f t="shared" si="39"/>
        <v>-0.19005161272350402</v>
      </c>
      <c r="G882" s="2">
        <f t="shared" si="40"/>
        <v>6.2668746301016112E-2</v>
      </c>
      <c r="M882">
        <v>0.99281786305405395</v>
      </c>
      <c r="N882">
        <v>0.99276400850134305</v>
      </c>
      <c r="O882" s="1">
        <v>8.5257401200204306E-9</v>
      </c>
      <c r="P882" s="2">
        <f t="shared" si="41"/>
        <v>0.34018311687452912</v>
      </c>
    </row>
    <row r="883" spans="2:16" x14ac:dyDescent="0.25">
      <c r="B883">
        <v>882</v>
      </c>
      <c r="C883">
        <v>-0.30560226370825899</v>
      </c>
      <c r="D883">
        <v>-0.152475320927901</v>
      </c>
      <c r="E883">
        <v>0.37357097433444902</v>
      </c>
      <c r="F883">
        <f t="shared" si="39"/>
        <v>-0.15312694278035799</v>
      </c>
      <c r="G883" s="2">
        <f t="shared" si="40"/>
        <v>6.2766815990009786E-2</v>
      </c>
      <c r="M883">
        <v>0.46035432567669698</v>
      </c>
      <c r="N883">
        <v>0.46032343256659403</v>
      </c>
      <c r="O883" s="1">
        <v>2.6999424523694101E-9</v>
      </c>
      <c r="P883" s="2">
        <f t="shared" si="41"/>
        <v>0.35348318294561254</v>
      </c>
    </row>
    <row r="884" spans="2:16" x14ac:dyDescent="0.25">
      <c r="B884">
        <v>883</v>
      </c>
      <c r="C884">
        <v>-0.39350553610611499</v>
      </c>
      <c r="D884">
        <v>-0.13059492536584399</v>
      </c>
      <c r="E884">
        <v>0.61938642778464503</v>
      </c>
      <c r="F884">
        <f t="shared" si="39"/>
        <v>-0.262910610740271</v>
      </c>
      <c r="G884" s="2">
        <f t="shared" si="40"/>
        <v>0.11159751996350714</v>
      </c>
      <c r="M884">
        <v>0.99298775638608405</v>
      </c>
      <c r="N884">
        <v>0.99294936543213697</v>
      </c>
      <c r="O884" s="1">
        <v>4.4877339106077102E-9</v>
      </c>
      <c r="P884" s="2">
        <f t="shared" si="41"/>
        <v>0.32842084096910934</v>
      </c>
    </row>
    <row r="885" spans="2:16" x14ac:dyDescent="0.25">
      <c r="B885">
        <v>884</v>
      </c>
      <c r="C885">
        <v>-0.34835717490387202</v>
      </c>
      <c r="D885">
        <v>-7.25117230156406E-2</v>
      </c>
      <c r="E885">
        <v>0.485410885228028</v>
      </c>
      <c r="F885">
        <f t="shared" si="39"/>
        <v>-0.2758454518882314</v>
      </c>
      <c r="G885" s="2">
        <f t="shared" si="40"/>
        <v>0.15675526784216631</v>
      </c>
      <c r="M885">
        <v>0.460368617093808</v>
      </c>
      <c r="N885">
        <v>0.460346500046725</v>
      </c>
      <c r="O885" s="1">
        <v>2.5459599913236101E-9</v>
      </c>
      <c r="P885" s="2">
        <f t="shared" si="41"/>
        <v>0.19213333019306017</v>
      </c>
    </row>
    <row r="886" spans="2:16" x14ac:dyDescent="0.25">
      <c r="B886">
        <v>885</v>
      </c>
      <c r="C886">
        <v>-0.264795008397261</v>
      </c>
      <c r="D886">
        <v>-0.26726113755728198</v>
      </c>
      <c r="E886">
        <v>0.28046558588842202</v>
      </c>
      <c r="F886">
        <f t="shared" si="39"/>
        <v>2.46612916002098E-3</v>
      </c>
      <c r="G886" s="2">
        <f t="shared" si="40"/>
        <v>2.1684632054377296E-5</v>
      </c>
      <c r="M886">
        <v>0.992965127062583</v>
      </c>
      <c r="N886">
        <v>0.99291584449978498</v>
      </c>
      <c r="O886" s="1">
        <v>9.5434386537526205E-9</v>
      </c>
      <c r="P886" s="2">
        <f t="shared" si="41"/>
        <v>0.25449642252220989</v>
      </c>
    </row>
    <row r="887" spans="2:16" x14ac:dyDescent="0.25">
      <c r="B887">
        <v>886</v>
      </c>
      <c r="C887">
        <v>-0.288132285523439</v>
      </c>
      <c r="D887">
        <v>-0.24761688302908</v>
      </c>
      <c r="E887">
        <v>0.332080855843842</v>
      </c>
      <c r="F887">
        <f t="shared" si="39"/>
        <v>-4.0515402494359004E-2</v>
      </c>
      <c r="G887" s="2">
        <f t="shared" si="40"/>
        <v>4.9430667573677036E-3</v>
      </c>
      <c r="M887">
        <v>0.46037190465595101</v>
      </c>
      <c r="N887">
        <v>0.46040441349701999</v>
      </c>
      <c r="O887" s="1">
        <v>6.55006632271304E-9</v>
      </c>
      <c r="P887" s="2">
        <f t="shared" si="41"/>
        <v>0.16134565599488329</v>
      </c>
    </row>
    <row r="888" spans="2:16" x14ac:dyDescent="0.25">
      <c r="B888">
        <v>887</v>
      </c>
      <c r="C888">
        <v>-0.266605347277382</v>
      </c>
      <c r="D888">
        <v>-0.234447231998479</v>
      </c>
      <c r="E888">
        <v>0.28431364478757398</v>
      </c>
      <c r="F888">
        <f t="shared" si="39"/>
        <v>-3.2158115278902999E-2</v>
      </c>
      <c r="G888" s="2">
        <f t="shared" si="40"/>
        <v>3.6373364319671653E-3</v>
      </c>
      <c r="M888">
        <v>0.99280582651303695</v>
      </c>
      <c r="N888">
        <v>0.99283169889381195</v>
      </c>
      <c r="O888" s="1">
        <v>6.6690606466482298E-9</v>
      </c>
      <c r="P888" s="2">
        <f t="shared" si="41"/>
        <v>0.10037097013104351</v>
      </c>
    </row>
    <row r="889" spans="2:16" x14ac:dyDescent="0.25">
      <c r="B889">
        <v>888</v>
      </c>
      <c r="C889">
        <v>-0.25824488799088202</v>
      </c>
      <c r="D889">
        <v>-0.213199820416651</v>
      </c>
      <c r="E889">
        <v>0.26676168869369199</v>
      </c>
      <c r="F889">
        <f t="shared" si="39"/>
        <v>-4.5045067574231018E-2</v>
      </c>
      <c r="G889" s="2">
        <f t="shared" si="40"/>
        <v>7.60625756533164E-3</v>
      </c>
      <c r="M889">
        <v>0.46035936466722299</v>
      </c>
      <c r="N889">
        <v>0.46042658284746502</v>
      </c>
      <c r="O889" s="1">
        <v>3.9596794641707602E-9</v>
      </c>
      <c r="P889" s="2">
        <f t="shared" si="41"/>
        <v>1.1410731085515746</v>
      </c>
    </row>
    <row r="890" spans="2:16" x14ac:dyDescent="0.25">
      <c r="B890">
        <v>889</v>
      </c>
      <c r="C890">
        <v>-0.29768112239460498</v>
      </c>
      <c r="D890">
        <v>-0.21253700776259299</v>
      </c>
      <c r="E890">
        <v>0.35445620252044702</v>
      </c>
      <c r="F890">
        <f t="shared" si="39"/>
        <v>-8.5144114632011991E-2</v>
      </c>
      <c r="G890" s="2">
        <f t="shared" si="40"/>
        <v>2.0452513469702945E-2</v>
      </c>
      <c r="M890">
        <v>0.99269213778521603</v>
      </c>
      <c r="N890">
        <v>0.99279949252572497</v>
      </c>
      <c r="O890" s="1">
        <v>9.8272959555627699E-9</v>
      </c>
      <c r="P890" s="2">
        <f t="shared" si="41"/>
        <v>1.1727580365804673</v>
      </c>
    </row>
    <row r="891" spans="2:16" x14ac:dyDescent="0.25">
      <c r="B891">
        <v>890</v>
      </c>
      <c r="C891">
        <v>-0.29978773226568101</v>
      </c>
      <c r="D891">
        <v>-0.20569058140149801</v>
      </c>
      <c r="E891">
        <v>0.35949073766799799</v>
      </c>
      <c r="F891">
        <f t="shared" si="39"/>
        <v>-9.4097150864182993E-2</v>
      </c>
      <c r="G891" s="2">
        <f t="shared" si="40"/>
        <v>2.4630047099945145E-2</v>
      </c>
      <c r="M891">
        <v>0.46028963231667003</v>
      </c>
      <c r="N891">
        <v>0.46031552294435801</v>
      </c>
      <c r="O891" s="1">
        <v>4.3828193505135598E-9</v>
      </c>
      <c r="P891" s="2">
        <f t="shared" si="41"/>
        <v>0.15294369867180097</v>
      </c>
    </row>
    <row r="892" spans="2:16" x14ac:dyDescent="0.25">
      <c r="B892">
        <v>891</v>
      </c>
      <c r="C892">
        <v>-0.26528450031211898</v>
      </c>
      <c r="D892">
        <v>-0.19552284998758901</v>
      </c>
      <c r="E892">
        <v>0.28150346442340202</v>
      </c>
      <c r="F892">
        <f t="shared" si="39"/>
        <v>-6.9761650324529967E-2</v>
      </c>
      <c r="G892" s="2">
        <f t="shared" si="40"/>
        <v>1.7288198800573671E-2</v>
      </c>
      <c r="M892">
        <v>0.992936730489412</v>
      </c>
      <c r="N892">
        <v>0.99296086009223705</v>
      </c>
      <c r="O892" s="1">
        <v>5.6027311577440799E-9</v>
      </c>
      <c r="P892" s="2">
        <f t="shared" si="41"/>
        <v>0.1039203410090391</v>
      </c>
    </row>
    <row r="893" spans="2:16" x14ac:dyDescent="0.25">
      <c r="B893">
        <v>892</v>
      </c>
      <c r="C893">
        <v>-0.31392533273422601</v>
      </c>
      <c r="D893">
        <v>-0.19117977371564299</v>
      </c>
      <c r="E893">
        <v>0.39419645812917897</v>
      </c>
      <c r="F893">
        <f t="shared" si="39"/>
        <v>-0.12274555901858303</v>
      </c>
      <c r="G893" s="2">
        <f t="shared" si="40"/>
        <v>3.8220719512013314E-2</v>
      </c>
      <c r="M893">
        <v>0.46008640395308897</v>
      </c>
      <c r="N893">
        <v>0.46014345692611902</v>
      </c>
      <c r="O893" s="1">
        <v>1.5746212210405301E-9</v>
      </c>
      <c r="P893" s="2">
        <f t="shared" si="41"/>
        <v>2.0671903109602012</v>
      </c>
    </row>
    <row r="894" spans="2:16" x14ac:dyDescent="0.25">
      <c r="B894">
        <v>893</v>
      </c>
      <c r="C894">
        <v>-0.28660190461196</v>
      </c>
      <c r="D894">
        <v>-0.19543313018026101</v>
      </c>
      <c r="E894">
        <v>0.328562606908812</v>
      </c>
      <c r="F894">
        <f t="shared" si="39"/>
        <v>-9.116877443169899E-2</v>
      </c>
      <c r="G894" s="2">
        <f t="shared" si="40"/>
        <v>2.529729572569657E-2</v>
      </c>
      <c r="M894">
        <v>0.99312360935852995</v>
      </c>
      <c r="N894">
        <v>0.99321099691172299</v>
      </c>
      <c r="O894" s="1">
        <v>3.5667746264581398E-9</v>
      </c>
      <c r="P894" s="2">
        <f t="shared" si="41"/>
        <v>2.1410336376228671</v>
      </c>
    </row>
    <row r="895" spans="2:16" x14ac:dyDescent="0.25">
      <c r="B895">
        <v>894</v>
      </c>
      <c r="C895">
        <v>-0.30212354701864202</v>
      </c>
      <c r="D895">
        <v>-0.16760660626799601</v>
      </c>
      <c r="E895">
        <v>0.36511455065250198</v>
      </c>
      <c r="F895">
        <f t="shared" si="39"/>
        <v>-0.13451694075064602</v>
      </c>
      <c r="G895" s="2">
        <f t="shared" si="40"/>
        <v>4.9559261104700693E-2</v>
      </c>
      <c r="M895">
        <v>0.46006933921884502</v>
      </c>
      <c r="N895">
        <v>0.46012127050526302</v>
      </c>
      <c r="O895" s="1">
        <v>3.53605995079671E-9</v>
      </c>
      <c r="P895" s="2">
        <f t="shared" si="41"/>
        <v>0.76267329925254557</v>
      </c>
    </row>
    <row r="896" spans="2:16" x14ac:dyDescent="0.25">
      <c r="B896">
        <v>895</v>
      </c>
      <c r="C896">
        <v>-0.27545026538671902</v>
      </c>
      <c r="D896">
        <v>-0.17093354138383901</v>
      </c>
      <c r="E896">
        <v>0.30349139480645698</v>
      </c>
      <c r="F896">
        <f t="shared" si="39"/>
        <v>-0.10451672400288001</v>
      </c>
      <c r="G896" s="2">
        <f t="shared" si="40"/>
        <v>3.599359251441215E-2</v>
      </c>
      <c r="M896">
        <v>0.99313523584195196</v>
      </c>
      <c r="N896">
        <v>0.99324326128002605</v>
      </c>
      <c r="O896" s="1">
        <v>1.43334475749491E-8</v>
      </c>
      <c r="P896" s="2">
        <f t="shared" si="41"/>
        <v>0.81414434385582146</v>
      </c>
    </row>
    <row r="897" spans="2:16" x14ac:dyDescent="0.25">
      <c r="B897">
        <v>896</v>
      </c>
      <c r="C897">
        <v>-0.25581144191939897</v>
      </c>
      <c r="D897">
        <v>-0.158397239394867</v>
      </c>
      <c r="E897">
        <v>0.26175797526752798</v>
      </c>
      <c r="F897">
        <f t="shared" si="39"/>
        <v>-9.7414202524531979E-2</v>
      </c>
      <c r="G897" s="2">
        <f t="shared" si="40"/>
        <v>3.6253057213602856E-2</v>
      </c>
      <c r="M897">
        <v>0.45974147208975702</v>
      </c>
      <c r="N897">
        <v>0.45988476978264198</v>
      </c>
      <c r="O897" s="1">
        <v>7.7486404492829295E-9</v>
      </c>
      <c r="P897" s="2">
        <f t="shared" si="41"/>
        <v>2.6500427940300284</v>
      </c>
    </row>
    <row r="898" spans="2:16" x14ac:dyDescent="0.25">
      <c r="B898">
        <v>897</v>
      </c>
      <c r="C898">
        <v>-0.27053102403391899</v>
      </c>
      <c r="D898">
        <v>-0.16225771630555799</v>
      </c>
      <c r="E898">
        <v>0.29274813985936199</v>
      </c>
      <c r="F898">
        <f t="shared" si="39"/>
        <v>-0.108273307728361</v>
      </c>
      <c r="G898" s="2">
        <f t="shared" si="40"/>
        <v>4.0045033837182401E-2</v>
      </c>
      <c r="M898">
        <v>0.993364092918812</v>
      </c>
      <c r="N898">
        <v>0.99358735184828995</v>
      </c>
      <c r="O898" s="1">
        <v>1.82220370219114E-8</v>
      </c>
      <c r="P898" s="2">
        <f t="shared" si="41"/>
        <v>2.7353994249765106</v>
      </c>
    </row>
    <row r="899" spans="2:16" x14ac:dyDescent="0.25">
      <c r="B899">
        <v>898</v>
      </c>
      <c r="C899">
        <v>-0.23154065343487501</v>
      </c>
      <c r="D899">
        <v>-0.13405234945772199</v>
      </c>
      <c r="E899">
        <v>0.21444429677219501</v>
      </c>
      <c r="F899">
        <f t="shared" ref="F899:F962" si="42">C899-D899</f>
        <v>-9.7488303977153024E-2</v>
      </c>
      <c r="G899" s="2">
        <f t="shared" ref="G899:G962" si="43">F899^2/E899</f>
        <v>4.4319058867011478E-2</v>
      </c>
      <c r="M899">
        <v>5.1017679688050999</v>
      </c>
      <c r="N899">
        <v>5.1019505029505599</v>
      </c>
      <c r="O899" s="1">
        <v>1.69951298295586E-7</v>
      </c>
      <c r="P899" s="2">
        <f t="shared" ref="P899:P962" si="44">(M899-N899)^2/O899</f>
        <v>0.19604860094013127</v>
      </c>
    </row>
    <row r="900" spans="2:16" x14ac:dyDescent="0.25">
      <c r="B900">
        <v>899</v>
      </c>
      <c r="C900">
        <v>-0.25754776821040998</v>
      </c>
      <c r="D900">
        <v>-0.115729555850052</v>
      </c>
      <c r="E900">
        <v>0.26532341164065298</v>
      </c>
      <c r="F900">
        <f t="shared" si="42"/>
        <v>-0.14181821236035796</v>
      </c>
      <c r="G900" s="2">
        <f t="shared" si="43"/>
        <v>7.5803357241340241E-2</v>
      </c>
      <c r="M900">
        <v>2.3856415367411601</v>
      </c>
      <c r="N900">
        <v>2.3858373043462202</v>
      </c>
      <c r="O900" s="1">
        <v>5.1293602698822598E-8</v>
      </c>
      <c r="P900" s="2">
        <f t="shared" si="44"/>
        <v>0.74716832459610749</v>
      </c>
    </row>
    <row r="901" spans="2:16" x14ac:dyDescent="0.25">
      <c r="B901">
        <v>900</v>
      </c>
      <c r="C901">
        <v>-0.273191517799658</v>
      </c>
      <c r="D901">
        <v>-8.2899321504158102E-2</v>
      </c>
      <c r="E901">
        <v>0.29853442159072302</v>
      </c>
      <c r="F901">
        <f t="shared" si="42"/>
        <v>-0.1902921962954999</v>
      </c>
      <c r="G901" s="2">
        <f t="shared" si="43"/>
        <v>0.12129629735162951</v>
      </c>
      <c r="M901">
        <v>5.1127895529812104</v>
      </c>
      <c r="N901">
        <v>5.1129475630090502</v>
      </c>
      <c r="O901" s="1">
        <v>1.73802133657284E-7</v>
      </c>
      <c r="P901" s="2">
        <f t="shared" si="44"/>
        <v>0.14365283309558055</v>
      </c>
    </row>
    <row r="902" spans="2:16" x14ac:dyDescent="0.25">
      <c r="B902">
        <v>901</v>
      </c>
      <c r="C902">
        <v>-0.24933050934701001</v>
      </c>
      <c r="D902">
        <v>-8.1643643252006501E-2</v>
      </c>
      <c r="E902">
        <v>0.24866281156495901</v>
      </c>
      <c r="F902">
        <f t="shared" si="42"/>
        <v>-0.1676868660950035</v>
      </c>
      <c r="G902" s="2">
        <f t="shared" si="43"/>
        <v>0.11308037934501534</v>
      </c>
      <c r="M902">
        <v>5.10214821867</v>
      </c>
      <c r="N902">
        <v>5.1023443738734899</v>
      </c>
      <c r="O902" s="1">
        <v>1.81526536845741E-7</v>
      </c>
      <c r="P902" s="2">
        <f t="shared" si="44"/>
        <v>0.21196274949524416</v>
      </c>
    </row>
    <row r="903" spans="2:16" x14ac:dyDescent="0.25">
      <c r="B903">
        <v>902</v>
      </c>
      <c r="C903">
        <v>-0.19416049610627301</v>
      </c>
      <c r="D903">
        <v>-0.187117683680918</v>
      </c>
      <c r="E903">
        <v>0.150793192992937</v>
      </c>
      <c r="F903">
        <f t="shared" si="42"/>
        <v>-7.0428124253550106E-3</v>
      </c>
      <c r="G903" s="2">
        <f t="shared" si="43"/>
        <v>3.2893531779685972E-4</v>
      </c>
      <c r="M903">
        <v>2.3857888438064201</v>
      </c>
      <c r="N903">
        <v>2.3859394809976702</v>
      </c>
      <c r="O903" s="1">
        <v>5.0735505723492599E-8</v>
      </c>
      <c r="P903" s="2">
        <f t="shared" si="44"/>
        <v>0.44725213761309107</v>
      </c>
    </row>
    <row r="904" spans="2:16" x14ac:dyDescent="0.25">
      <c r="B904">
        <v>903</v>
      </c>
      <c r="C904">
        <v>-0.215013965829428</v>
      </c>
      <c r="D904">
        <v>-0.18292771369952299</v>
      </c>
      <c r="E904">
        <v>0.184924022006793</v>
      </c>
      <c r="F904">
        <f t="shared" si="42"/>
        <v>-3.2086252129905013E-2</v>
      </c>
      <c r="G904" s="2">
        <f t="shared" si="43"/>
        <v>5.5673003678560233E-3</v>
      </c>
      <c r="M904">
        <v>5.1128611682911602</v>
      </c>
      <c r="N904">
        <v>5.1130785976937503</v>
      </c>
      <c r="O904" s="1">
        <v>2.09471925768097E-7</v>
      </c>
      <c r="P904" s="2">
        <f t="shared" si="44"/>
        <v>0.22568917021849483</v>
      </c>
    </row>
    <row r="905" spans="2:16" x14ac:dyDescent="0.25">
      <c r="B905">
        <v>904</v>
      </c>
      <c r="C905">
        <v>-0.19300582154891499</v>
      </c>
      <c r="D905">
        <v>-0.186107600025364</v>
      </c>
      <c r="E905">
        <v>0.149004988607086</v>
      </c>
      <c r="F905">
        <f t="shared" si="42"/>
        <v>-6.8982215235509903E-3</v>
      </c>
      <c r="G905" s="2">
        <f t="shared" si="43"/>
        <v>3.1935481243155643E-4</v>
      </c>
      <c r="M905">
        <v>5.1026975050411503</v>
      </c>
      <c r="N905">
        <v>5.10284865985974</v>
      </c>
      <c r="O905" s="1">
        <v>1.4566675092301299E-7</v>
      </c>
      <c r="P905" s="2">
        <f t="shared" si="44"/>
        <v>0.15684965194955203</v>
      </c>
    </row>
    <row r="906" spans="2:16" x14ac:dyDescent="0.25">
      <c r="B906">
        <v>905</v>
      </c>
      <c r="C906">
        <v>-0.19644552714122901</v>
      </c>
      <c r="D906">
        <v>-0.180271337143278</v>
      </c>
      <c r="E906">
        <v>0.15436338053518101</v>
      </c>
      <c r="F906">
        <f t="shared" si="42"/>
        <v>-1.6174189997951005E-2</v>
      </c>
      <c r="G906" s="2">
        <f t="shared" si="43"/>
        <v>1.6947311025635123E-3</v>
      </c>
      <c r="M906">
        <v>2.38584189601041</v>
      </c>
      <c r="N906">
        <v>2.3860702960218201</v>
      </c>
      <c r="O906" s="1">
        <v>2.5640211918337701E-8</v>
      </c>
      <c r="P906" s="2">
        <f t="shared" si="44"/>
        <v>2.0345606104304617</v>
      </c>
    </row>
    <row r="907" spans="2:16" x14ac:dyDescent="0.25">
      <c r="B907">
        <v>906</v>
      </c>
      <c r="C907">
        <v>-0.20112701405989</v>
      </c>
      <c r="D907">
        <v>-0.17878789712360099</v>
      </c>
      <c r="E907">
        <v>0.16180830313858799</v>
      </c>
      <c r="F907">
        <f t="shared" si="42"/>
        <v>-2.2339116936289011E-2</v>
      </c>
      <c r="G907" s="2">
        <f t="shared" si="43"/>
        <v>3.084119515583651E-3</v>
      </c>
      <c r="M907">
        <v>5.1129506026996197</v>
      </c>
      <c r="N907">
        <v>5.1132463558763597</v>
      </c>
      <c r="O907" s="1">
        <v>1.2789566418697201E-7</v>
      </c>
      <c r="P907" s="2">
        <f t="shared" si="44"/>
        <v>0.68391639472578991</v>
      </c>
    </row>
    <row r="908" spans="2:16" x14ac:dyDescent="0.25">
      <c r="B908">
        <v>907</v>
      </c>
      <c r="C908">
        <v>-0.20925798289966399</v>
      </c>
      <c r="D908">
        <v>-0.169686266872764</v>
      </c>
      <c r="E908">
        <v>0.175155613628944</v>
      </c>
      <c r="F908">
        <f t="shared" si="42"/>
        <v>-3.9571716026899989E-2</v>
      </c>
      <c r="G908" s="2">
        <f t="shared" si="43"/>
        <v>8.9401685556645457E-3</v>
      </c>
      <c r="M908">
        <v>5.1031778464672799</v>
      </c>
      <c r="N908">
        <v>5.1037691295982404</v>
      </c>
      <c r="O908" s="1">
        <v>1.09292325225473E-7</v>
      </c>
      <c r="P908" s="2">
        <f t="shared" si="44"/>
        <v>3.1989047743026884</v>
      </c>
    </row>
    <row r="909" spans="2:16" x14ac:dyDescent="0.25">
      <c r="B909">
        <v>908</v>
      </c>
      <c r="C909">
        <v>-0.181964321806285</v>
      </c>
      <c r="D909">
        <v>-0.17026438309453501</v>
      </c>
      <c r="E909">
        <v>0.13244405764168499</v>
      </c>
      <c r="F909">
        <f t="shared" si="42"/>
        <v>-1.1699938711749985E-2</v>
      </c>
      <c r="G909" s="2">
        <f t="shared" si="43"/>
        <v>1.0335576264889523E-3</v>
      </c>
      <c r="M909">
        <v>2.3858556054362698</v>
      </c>
      <c r="N909">
        <v>2.3863090569437699</v>
      </c>
      <c r="O909" s="1">
        <v>3.2862011860795102E-8</v>
      </c>
      <c r="P909" s="2">
        <f t="shared" si="44"/>
        <v>6.2570201278337141</v>
      </c>
    </row>
    <row r="910" spans="2:16" x14ac:dyDescent="0.25">
      <c r="B910">
        <v>909</v>
      </c>
      <c r="C910">
        <v>-0.16843242257361199</v>
      </c>
      <c r="D910">
        <v>-0.17093422853471599</v>
      </c>
      <c r="E910">
        <v>0.113477923896063</v>
      </c>
      <c r="F910">
        <f t="shared" si="42"/>
        <v>2.5018059611039978E-3</v>
      </c>
      <c r="G910" s="2">
        <f t="shared" si="43"/>
        <v>5.5156393879291343E-5</v>
      </c>
      <c r="M910">
        <v>5.1128210522795596</v>
      </c>
      <c r="N910">
        <v>5.11355253517773</v>
      </c>
      <c r="O910" s="1">
        <v>1.2849775037817399E-7</v>
      </c>
      <c r="P910" s="2">
        <f t="shared" si="44"/>
        <v>4.1640202162373265</v>
      </c>
    </row>
    <row r="911" spans="2:16" x14ac:dyDescent="0.25">
      <c r="B911">
        <v>910</v>
      </c>
      <c r="C911">
        <v>-0.18980920400878401</v>
      </c>
      <c r="D911">
        <v>-0.16326003255381499</v>
      </c>
      <c r="E911">
        <v>0.14411013570579201</v>
      </c>
      <c r="F911">
        <f t="shared" si="42"/>
        <v>-2.6549171454969017E-2</v>
      </c>
      <c r="G911" s="2">
        <f t="shared" si="43"/>
        <v>4.8911098549261327E-3</v>
      </c>
      <c r="M911">
        <v>5.10489792069649</v>
      </c>
      <c r="N911">
        <v>5.1049267795899</v>
      </c>
      <c r="O911" s="1">
        <v>1.53557656776398E-7</v>
      </c>
      <c r="P911" s="2">
        <f t="shared" si="44"/>
        <v>5.423602745303578E-3</v>
      </c>
    </row>
    <row r="912" spans="2:16" x14ac:dyDescent="0.25">
      <c r="B912">
        <v>911</v>
      </c>
      <c r="C912">
        <v>-0.15446853620679801</v>
      </c>
      <c r="D912">
        <v>-0.16451262225948299</v>
      </c>
      <c r="E912">
        <v>9.5442114711483297E-2</v>
      </c>
      <c r="F912">
        <f t="shared" si="42"/>
        <v>1.0044086052684975E-2</v>
      </c>
      <c r="G912" s="2">
        <f t="shared" si="43"/>
        <v>1.0570141382418765E-3</v>
      </c>
      <c r="M912">
        <v>2.3866141553990601</v>
      </c>
      <c r="N912">
        <v>2.3866093129050099</v>
      </c>
      <c r="O912" s="1">
        <v>3.2494039794166698E-8</v>
      </c>
      <c r="P912" s="2">
        <f t="shared" si="44"/>
        <v>7.2166307343475501E-4</v>
      </c>
    </row>
    <row r="913" spans="2:16" x14ac:dyDescent="0.25">
      <c r="B913">
        <v>912</v>
      </c>
      <c r="C913">
        <v>-0.199818930259299</v>
      </c>
      <c r="D913">
        <v>-0.15754408430106201</v>
      </c>
      <c r="E913">
        <v>0.15971041955988199</v>
      </c>
      <c r="F913">
        <f t="shared" si="42"/>
        <v>-4.2274845958236995E-2</v>
      </c>
      <c r="G913" s="2">
        <f t="shared" si="43"/>
        <v>1.1190018821048718E-2</v>
      </c>
      <c r="M913">
        <v>5.1138987884901397</v>
      </c>
      <c r="N913">
        <v>5.1139375562705398</v>
      </c>
      <c r="O913" s="1">
        <v>1.4819447551759199E-7</v>
      </c>
      <c r="P913" s="2">
        <f t="shared" si="44"/>
        <v>1.0141678978945315E-2</v>
      </c>
    </row>
    <row r="914" spans="2:16" x14ac:dyDescent="0.25">
      <c r="B914">
        <v>913</v>
      </c>
      <c r="C914">
        <v>-0.18266922383131201</v>
      </c>
      <c r="D914">
        <v>-0.157081846803929</v>
      </c>
      <c r="E914">
        <v>0.13347218134053601</v>
      </c>
      <c r="F914">
        <f t="shared" si="42"/>
        <v>-2.5587377027383007E-2</v>
      </c>
      <c r="G914" s="2">
        <f t="shared" si="43"/>
        <v>4.9052458464811837E-3</v>
      </c>
      <c r="M914">
        <v>5.1056616776023498</v>
      </c>
      <c r="N914">
        <v>5.1057988158782504</v>
      </c>
      <c r="O914" s="1">
        <v>1.5713256820447299E-7</v>
      </c>
      <c r="P914" s="2">
        <f t="shared" si="44"/>
        <v>0.1196881520609112</v>
      </c>
    </row>
    <row r="915" spans="2:16" x14ac:dyDescent="0.25">
      <c r="B915">
        <v>914</v>
      </c>
      <c r="C915">
        <v>-0.183322792841213</v>
      </c>
      <c r="D915">
        <v>-0.15860483263651101</v>
      </c>
      <c r="E915">
        <v>0.13442898550040999</v>
      </c>
      <c r="F915">
        <f t="shared" si="42"/>
        <v>-2.4717960204701989E-2</v>
      </c>
      <c r="G915" s="2">
        <f t="shared" si="43"/>
        <v>4.5449837652711267E-3</v>
      </c>
      <c r="M915">
        <v>2.38662981003977</v>
      </c>
      <c r="N915">
        <v>2.38683547013785</v>
      </c>
      <c r="O915" s="1">
        <v>5.5806474457930902E-8</v>
      </c>
      <c r="P915" s="2">
        <f t="shared" si="44"/>
        <v>0.75790625286952096</v>
      </c>
    </row>
    <row r="916" spans="2:16" x14ac:dyDescent="0.25">
      <c r="B916">
        <v>915</v>
      </c>
      <c r="C916">
        <v>-0.21268307505470499</v>
      </c>
      <c r="D916">
        <v>-0.15366780867369201</v>
      </c>
      <c r="E916">
        <v>0.18093636165890101</v>
      </c>
      <c r="F916">
        <f t="shared" si="42"/>
        <v>-5.9015266381012982E-2</v>
      </c>
      <c r="G916" s="2">
        <f t="shared" si="43"/>
        <v>1.924876588702306E-2</v>
      </c>
      <c r="M916">
        <v>5.1140629033688896</v>
      </c>
      <c r="N916">
        <v>5.1142275470112297</v>
      </c>
      <c r="O916" s="1">
        <v>1.87984459433714E-7</v>
      </c>
      <c r="P916" s="2">
        <f t="shared" si="44"/>
        <v>0.14420090386561032</v>
      </c>
    </row>
    <row r="917" spans="2:16" x14ac:dyDescent="0.25">
      <c r="B917">
        <v>916</v>
      </c>
      <c r="C917">
        <v>-0.18392452966632999</v>
      </c>
      <c r="D917">
        <v>-0.15696136190888799</v>
      </c>
      <c r="E917">
        <v>0.135312930451923</v>
      </c>
      <c r="F917">
        <f t="shared" si="42"/>
        <v>-2.6963167757442008E-2</v>
      </c>
      <c r="G917" s="2">
        <f t="shared" si="43"/>
        <v>5.3728229304313936E-3</v>
      </c>
      <c r="M917">
        <v>5.1066911443579297</v>
      </c>
      <c r="N917">
        <v>5.1068619148238596</v>
      </c>
      <c r="O917" s="1">
        <v>1.1588030507593E-7</v>
      </c>
      <c r="P917" s="2">
        <f t="shared" si="44"/>
        <v>0.25166098773059775</v>
      </c>
    </row>
    <row r="918" spans="2:16" x14ac:dyDescent="0.25">
      <c r="B918">
        <v>917</v>
      </c>
      <c r="C918">
        <v>-0.202646775082508</v>
      </c>
      <c r="D918">
        <v>-0.15295850305518499</v>
      </c>
      <c r="E918">
        <v>0.16426286180536201</v>
      </c>
      <c r="F918">
        <f t="shared" si="42"/>
        <v>-4.9688272027323011E-2</v>
      </c>
      <c r="G918" s="2">
        <f t="shared" si="43"/>
        <v>1.5030326087869592E-2</v>
      </c>
      <c r="M918">
        <v>2.3869836597387799</v>
      </c>
      <c r="N918">
        <v>2.3871111550306399</v>
      </c>
      <c r="O918" s="1">
        <v>3.3993796197514803E-8</v>
      </c>
      <c r="P918" s="2">
        <f t="shared" si="44"/>
        <v>0.47817694005132222</v>
      </c>
    </row>
    <row r="919" spans="2:16" x14ac:dyDescent="0.25">
      <c r="B919">
        <v>918</v>
      </c>
      <c r="C919">
        <v>-0.18883884677326601</v>
      </c>
      <c r="D919">
        <v>-0.150907449375599</v>
      </c>
      <c r="E919">
        <v>0.142640440202628</v>
      </c>
      <c r="F919">
        <f t="shared" si="42"/>
        <v>-3.7931397397667016E-2</v>
      </c>
      <c r="G919" s="2">
        <f t="shared" si="43"/>
        <v>1.0086837270663666E-2</v>
      </c>
      <c r="M919">
        <v>5.1143669792627398</v>
      </c>
      <c r="N919">
        <v>5.1145810298085399</v>
      </c>
      <c r="O919" s="1">
        <v>1.6699705071503699E-7</v>
      </c>
      <c r="P919" s="2">
        <f t="shared" si="44"/>
        <v>0.27436194807730147</v>
      </c>
    </row>
    <row r="920" spans="2:16" x14ac:dyDescent="0.25">
      <c r="B920">
        <v>919</v>
      </c>
      <c r="C920">
        <v>-0.15251588322606299</v>
      </c>
      <c r="D920">
        <v>-0.154065477084187</v>
      </c>
      <c r="E920">
        <v>9.3044378544904702E-2</v>
      </c>
      <c r="F920">
        <f t="shared" si="42"/>
        <v>1.5495938581240043E-3</v>
      </c>
      <c r="G920" s="2">
        <f t="shared" si="43"/>
        <v>2.5807482006844288E-5</v>
      </c>
      <c r="M920">
        <v>5.1072912336697396</v>
      </c>
      <c r="N920">
        <v>5.1072995088798798</v>
      </c>
      <c r="O920" s="1">
        <v>9.1679031999848798E-8</v>
      </c>
      <c r="P920" s="2">
        <f t="shared" si="44"/>
        <v>7.4694399985869575E-4</v>
      </c>
    </row>
    <row r="921" spans="2:16" x14ac:dyDescent="0.25">
      <c r="B921">
        <v>920</v>
      </c>
      <c r="C921">
        <v>-0.19057241738957001</v>
      </c>
      <c r="D921">
        <v>-0.15049372020421201</v>
      </c>
      <c r="E921">
        <v>0.14527138507881801</v>
      </c>
      <c r="F921">
        <f t="shared" si="42"/>
        <v>-4.0078697185358003E-2</v>
      </c>
      <c r="G921" s="2">
        <f t="shared" si="43"/>
        <v>1.1057249624240265E-2</v>
      </c>
      <c r="M921">
        <v>2.3872664092298002</v>
      </c>
      <c r="N921">
        <v>2.3872246253512901</v>
      </c>
      <c r="O921" s="1">
        <v>1.6596541325773301E-8</v>
      </c>
      <c r="P921" s="2">
        <f t="shared" si="44"/>
        <v>0.10519616521739961</v>
      </c>
    </row>
    <row r="922" spans="2:16" x14ac:dyDescent="0.25">
      <c r="B922">
        <v>921</v>
      </c>
      <c r="C922">
        <v>-0.21176835457656401</v>
      </c>
      <c r="D922">
        <v>-0.15038571528040301</v>
      </c>
      <c r="E922">
        <v>0.17938334400026101</v>
      </c>
      <c r="F922">
        <f t="shared" si="42"/>
        <v>-6.1382639296161001E-2</v>
      </c>
      <c r="G922" s="2">
        <f t="shared" si="43"/>
        <v>2.1004338100404273E-2</v>
      </c>
      <c r="M922">
        <v>5.1147526239638204</v>
      </c>
      <c r="N922">
        <v>5.114726516538</v>
      </c>
      <c r="O922" s="1">
        <v>7.3969465062900202E-8</v>
      </c>
      <c r="P922" s="2">
        <f t="shared" si="44"/>
        <v>9.2145817518615083E-3</v>
      </c>
    </row>
    <row r="923" spans="2:16" x14ac:dyDescent="0.25">
      <c r="B923">
        <v>922</v>
      </c>
      <c r="C923">
        <v>-0.16142308733847299</v>
      </c>
      <c r="D923">
        <v>-0.144369614108289</v>
      </c>
      <c r="E923">
        <v>0.104229652503537</v>
      </c>
      <c r="F923">
        <f t="shared" si="42"/>
        <v>-1.7053473230183996E-2</v>
      </c>
      <c r="G923" s="2">
        <f t="shared" si="43"/>
        <v>2.7901939824920099E-3</v>
      </c>
      <c r="M923">
        <v>5.1083735869584004</v>
      </c>
      <c r="N923">
        <v>5.1082686202815104</v>
      </c>
      <c r="O923" s="1">
        <v>9.9537574966472498E-8</v>
      </c>
      <c r="P923" s="2">
        <f t="shared" si="44"/>
        <v>0.11069189962720247</v>
      </c>
    </row>
    <row r="924" spans="2:16" x14ac:dyDescent="0.25">
      <c r="B924">
        <v>923</v>
      </c>
      <c r="C924">
        <v>-0.17230714673973099</v>
      </c>
      <c r="D924">
        <v>-0.145023750219925</v>
      </c>
      <c r="E924">
        <v>0.118759011270349</v>
      </c>
      <c r="F924">
        <f t="shared" si="42"/>
        <v>-2.7283396519805991E-2</v>
      </c>
      <c r="G924" s="2">
        <f t="shared" si="43"/>
        <v>6.2680188871091979E-3</v>
      </c>
      <c r="M924">
        <v>2.3875015837514102</v>
      </c>
      <c r="N924">
        <v>2.3874759053622401</v>
      </c>
      <c r="O924" s="1">
        <v>2.6531507004905499E-8</v>
      </c>
      <c r="P924" s="2">
        <f t="shared" si="44"/>
        <v>2.4852703250136266E-2</v>
      </c>
    </row>
    <row r="925" spans="2:16" x14ac:dyDescent="0.25">
      <c r="B925">
        <v>924</v>
      </c>
      <c r="C925">
        <v>-0.34996305800091998</v>
      </c>
      <c r="D925">
        <v>-0.331991386423652</v>
      </c>
      <c r="E925">
        <v>0.48989656786142199</v>
      </c>
      <c r="F925">
        <f t="shared" si="42"/>
        <v>-1.7971671577267978E-2</v>
      </c>
      <c r="G925" s="2">
        <f t="shared" si="43"/>
        <v>6.5928402130088803E-4</v>
      </c>
      <c r="M925">
        <v>5.1152024089738202</v>
      </c>
      <c r="N925">
        <v>5.1150486869984801</v>
      </c>
      <c r="O925" s="1">
        <v>1.05784379002909E-7</v>
      </c>
      <c r="P925" s="2">
        <f t="shared" si="44"/>
        <v>0.22338313014807129</v>
      </c>
    </row>
    <row r="926" spans="2:16" x14ac:dyDescent="0.25">
      <c r="B926">
        <v>925</v>
      </c>
      <c r="C926">
        <v>-0.33680019266196698</v>
      </c>
      <c r="D926">
        <v>-0.29962961937614402</v>
      </c>
      <c r="E926">
        <v>0.453737479108552</v>
      </c>
      <c r="F926">
        <f t="shared" si="42"/>
        <v>-3.7170573285822961E-2</v>
      </c>
      <c r="G926" s="2">
        <f t="shared" si="43"/>
        <v>3.045046049780229E-3</v>
      </c>
      <c r="M926">
        <v>5.1099385056609696</v>
      </c>
      <c r="N926">
        <v>5.1098694852584101</v>
      </c>
      <c r="O926" s="1">
        <v>7.8526898378759504E-8</v>
      </c>
      <c r="P926" s="2">
        <f t="shared" si="44"/>
        <v>6.0664766695614929E-2</v>
      </c>
    </row>
    <row r="927" spans="2:16" x14ac:dyDescent="0.25">
      <c r="B927">
        <v>926</v>
      </c>
      <c r="C927">
        <v>-0.340440940809558</v>
      </c>
      <c r="D927">
        <v>-0.24464604368499199</v>
      </c>
      <c r="E927">
        <v>0.46360013671718803</v>
      </c>
      <c r="F927">
        <f t="shared" si="42"/>
        <v>-9.5794897124566014E-2</v>
      </c>
      <c r="G927" s="2">
        <f t="shared" si="43"/>
        <v>1.9794347732697639E-2</v>
      </c>
      <c r="M927">
        <v>2.3879563429304298</v>
      </c>
      <c r="N927">
        <v>2.3878909456954398</v>
      </c>
      <c r="O927" s="1">
        <v>1.43749678585669E-8</v>
      </c>
      <c r="P927" s="2">
        <f t="shared" si="44"/>
        <v>0.29751707178863446</v>
      </c>
    </row>
    <row r="928" spans="2:16" x14ac:dyDescent="0.25">
      <c r="B928">
        <v>927</v>
      </c>
      <c r="C928">
        <v>-0.32803794955210802</v>
      </c>
      <c r="D928">
        <v>-0.21460489673240099</v>
      </c>
      <c r="E928">
        <v>0.430435585385404</v>
      </c>
      <c r="F928">
        <f t="shared" si="42"/>
        <v>-0.11343305281970703</v>
      </c>
      <c r="G928" s="2">
        <f t="shared" si="43"/>
        <v>2.9893108072088236E-2</v>
      </c>
      <c r="M928">
        <v>5.1156866062492599</v>
      </c>
      <c r="N928">
        <v>5.1155807875905301</v>
      </c>
      <c r="O928" s="1">
        <v>7.9535218027250903E-8</v>
      </c>
      <c r="P928" s="2">
        <f t="shared" si="44"/>
        <v>0.14078780209692462</v>
      </c>
    </row>
    <row r="929" spans="2:16" x14ac:dyDescent="0.25">
      <c r="B929">
        <v>928</v>
      </c>
      <c r="C929">
        <v>-0.33278510913974502</v>
      </c>
      <c r="D929">
        <v>-0.1689372422631</v>
      </c>
      <c r="E929">
        <v>0.442983715460608</v>
      </c>
      <c r="F929">
        <f t="shared" si="42"/>
        <v>-0.16384786687664502</v>
      </c>
      <c r="G929" s="2">
        <f t="shared" si="43"/>
        <v>6.0602957948719581E-2</v>
      </c>
      <c r="M929">
        <v>5.1099179669802499</v>
      </c>
      <c r="N929">
        <v>5.1097443753813296</v>
      </c>
      <c r="O929" s="1">
        <v>7.9064676344991202E-8</v>
      </c>
      <c r="P929" s="2">
        <f t="shared" si="44"/>
        <v>0.3811315572103357</v>
      </c>
    </row>
    <row r="930" spans="2:16" x14ac:dyDescent="0.25">
      <c r="B930">
        <v>929</v>
      </c>
      <c r="C930">
        <v>-0.34670403466193001</v>
      </c>
      <c r="D930">
        <v>-0.140081593871178</v>
      </c>
      <c r="E930">
        <v>0.48081475060344397</v>
      </c>
      <c r="F930">
        <f t="shared" si="42"/>
        <v>-0.20662244079075201</v>
      </c>
      <c r="G930" s="2">
        <f t="shared" si="43"/>
        <v>8.8792685716788861E-2</v>
      </c>
      <c r="M930">
        <v>2.3878820158299399</v>
      </c>
      <c r="N930">
        <v>2.3878585117881701</v>
      </c>
      <c r="O930" s="1">
        <v>1.8416412377139001E-8</v>
      </c>
      <c r="P930" s="2">
        <f t="shared" si="44"/>
        <v>2.9997155157128988E-2</v>
      </c>
    </row>
    <row r="931" spans="2:16" x14ac:dyDescent="0.25">
      <c r="B931">
        <v>930</v>
      </c>
      <c r="C931">
        <v>-0.33694565682116001</v>
      </c>
      <c r="D931">
        <v>-9.29554414039587E-2</v>
      </c>
      <c r="E931">
        <v>0.45412950260257101</v>
      </c>
      <c r="F931">
        <f t="shared" si="42"/>
        <v>-0.24399021541720131</v>
      </c>
      <c r="G931" s="2">
        <f t="shared" si="43"/>
        <v>0.13108865395920055</v>
      </c>
      <c r="M931">
        <v>5.1157118639026198</v>
      </c>
      <c r="N931">
        <v>5.1155392071834598</v>
      </c>
      <c r="O931" s="1">
        <v>6.8738622986522501E-8</v>
      </c>
      <c r="P931" s="2">
        <f t="shared" si="44"/>
        <v>0.43367675079759571</v>
      </c>
    </row>
    <row r="932" spans="2:16" x14ac:dyDescent="0.25">
      <c r="B932">
        <v>931</v>
      </c>
      <c r="C932">
        <v>-0.32909133406744701</v>
      </c>
      <c r="D932">
        <v>-6.5869266438169705E-2</v>
      </c>
      <c r="E932">
        <v>0.43320442463316899</v>
      </c>
      <c r="F932">
        <f t="shared" si="42"/>
        <v>-0.2632220676292773</v>
      </c>
      <c r="G932" s="2">
        <f t="shared" si="43"/>
        <v>0.15993801758996817</v>
      </c>
      <c r="M932">
        <v>5.1108415206588802</v>
      </c>
      <c r="N932">
        <v>5.1108181348323098</v>
      </c>
      <c r="O932" s="1">
        <v>1.50172301703989E-7</v>
      </c>
      <c r="P932" s="2">
        <f t="shared" si="44"/>
        <v>3.6417959781738893E-3</v>
      </c>
    </row>
    <row r="933" spans="2:16" x14ac:dyDescent="0.25">
      <c r="B933">
        <v>932</v>
      </c>
      <c r="C933">
        <v>-0.31943864021733798</v>
      </c>
      <c r="D933">
        <v>-5.2002210261480698E-2</v>
      </c>
      <c r="E933">
        <v>0.40816417945560701</v>
      </c>
      <c r="F933">
        <f t="shared" si="42"/>
        <v>-0.26743642995585726</v>
      </c>
      <c r="G933" s="2">
        <f t="shared" si="43"/>
        <v>0.17522910551074727</v>
      </c>
      <c r="M933">
        <v>2.3881404765802401</v>
      </c>
      <c r="N933">
        <v>2.3881368653125499</v>
      </c>
      <c r="O933" s="1">
        <v>3.2075960750680497E-8</v>
      </c>
      <c r="P933" s="2">
        <f t="shared" si="44"/>
        <v>4.0657408305795915E-4</v>
      </c>
    </row>
    <row r="934" spans="2:16" x14ac:dyDescent="0.25">
      <c r="B934">
        <v>933</v>
      </c>
      <c r="C934">
        <v>-0.33569939360387302</v>
      </c>
      <c r="D934">
        <v>-2.7542752892140601E-2</v>
      </c>
      <c r="E934">
        <v>0.45077633146403201</v>
      </c>
      <c r="F934">
        <f t="shared" si="42"/>
        <v>-0.30815664071173243</v>
      </c>
      <c r="G934" s="2">
        <f t="shared" si="43"/>
        <v>0.21065994061029525</v>
      </c>
      <c r="M934">
        <v>5.1159362290985904</v>
      </c>
      <c r="N934">
        <v>5.1158960502068398</v>
      </c>
      <c r="O934" s="1">
        <v>1.04834184762586E-7</v>
      </c>
      <c r="P934" s="2">
        <f t="shared" si="44"/>
        <v>1.5399016513167822E-2</v>
      </c>
    </row>
    <row r="935" spans="2:16" x14ac:dyDescent="0.25">
      <c r="B935">
        <v>934</v>
      </c>
      <c r="C935">
        <v>-0.29967606155285698</v>
      </c>
      <c r="D935">
        <v>-0.28759384440485197</v>
      </c>
      <c r="E935">
        <v>0.35922296747132698</v>
      </c>
      <c r="F935">
        <f t="shared" si="42"/>
        <v>-1.2082217148005003E-2</v>
      </c>
      <c r="G935" s="2">
        <f t="shared" si="43"/>
        <v>4.06377053892575E-4</v>
      </c>
      <c r="M935">
        <v>5.1116596406577202</v>
      </c>
      <c r="N935">
        <v>5.1120019031672701</v>
      </c>
      <c r="O935" s="1">
        <v>9.1337035787654998E-8</v>
      </c>
      <c r="P935" s="2">
        <f t="shared" si="44"/>
        <v>1.2825424476853415</v>
      </c>
    </row>
    <row r="936" spans="2:16" x14ac:dyDescent="0.25">
      <c r="B936">
        <v>935</v>
      </c>
      <c r="C936">
        <v>-0.262168310359636</v>
      </c>
      <c r="D936">
        <v>-0.28560939770931598</v>
      </c>
      <c r="E936">
        <v>0.27492889182730501</v>
      </c>
      <c r="F936">
        <f t="shared" si="42"/>
        <v>2.3441087349679979E-2</v>
      </c>
      <c r="G936" s="2">
        <f t="shared" si="43"/>
        <v>1.9986425307402115E-3</v>
      </c>
      <c r="M936">
        <v>2.38837770474125</v>
      </c>
      <c r="N936">
        <v>2.3884437065583701</v>
      </c>
      <c r="O936" s="1">
        <v>2.6227720439087499E-8</v>
      </c>
      <c r="P936" s="2">
        <f t="shared" si="44"/>
        <v>0.16609296539043208</v>
      </c>
    </row>
    <row r="937" spans="2:16" x14ac:dyDescent="0.25">
      <c r="B937">
        <v>936</v>
      </c>
      <c r="C937">
        <v>-0.27291811306173802</v>
      </c>
      <c r="D937">
        <v>-0.28578941285079001</v>
      </c>
      <c r="E937">
        <v>0.29793718574871803</v>
      </c>
      <c r="F937">
        <f t="shared" si="42"/>
        <v>1.2871299789051993E-2</v>
      </c>
      <c r="G937" s="2">
        <f t="shared" si="43"/>
        <v>5.560580088159161E-4</v>
      </c>
      <c r="M937">
        <v>5.1156924199565799</v>
      </c>
      <c r="N937">
        <v>5.11628939450146</v>
      </c>
      <c r="O937" s="1">
        <v>9.6467169205989496E-8</v>
      </c>
      <c r="P937" s="2">
        <f t="shared" si="44"/>
        <v>3.6942994198772214</v>
      </c>
    </row>
    <row r="938" spans="2:16" x14ac:dyDescent="0.25">
      <c r="B938">
        <v>937</v>
      </c>
      <c r="C938">
        <v>-0.30352746908906098</v>
      </c>
      <c r="D938">
        <v>-0.28229569378091801</v>
      </c>
      <c r="E938">
        <v>0.36851569796644201</v>
      </c>
      <c r="F938">
        <f t="shared" si="42"/>
        <v>-2.1231775308142964E-2</v>
      </c>
      <c r="G938" s="2">
        <f t="shared" si="43"/>
        <v>1.2232539488087673E-3</v>
      </c>
      <c r="M938">
        <v>5.1126619128822499</v>
      </c>
      <c r="N938">
        <v>5.1130206627203298</v>
      </c>
      <c r="O938" s="1">
        <v>6.0922549777589203E-8</v>
      </c>
      <c r="P938" s="2">
        <f t="shared" si="44"/>
        <v>2.1125420192068187</v>
      </c>
    </row>
    <row r="939" spans="2:16" x14ac:dyDescent="0.25">
      <c r="B939">
        <v>938</v>
      </c>
      <c r="C939">
        <v>-0.30548143740878902</v>
      </c>
      <c r="D939">
        <v>-0.27315364491124799</v>
      </c>
      <c r="E939">
        <v>0.37327563440535899</v>
      </c>
      <c r="F939">
        <f t="shared" si="42"/>
        <v>-3.232779249754103E-2</v>
      </c>
      <c r="G939" s="2">
        <f t="shared" si="43"/>
        <v>2.7997706558825588E-3</v>
      </c>
      <c r="M939">
        <v>2.3886312019306501</v>
      </c>
      <c r="N939">
        <v>2.3887077510158599</v>
      </c>
      <c r="O939" s="1">
        <v>1.11315710994506E-8</v>
      </c>
      <c r="P939" s="2">
        <f t="shared" si="44"/>
        <v>0.52640929066451125</v>
      </c>
    </row>
    <row r="940" spans="2:16" x14ac:dyDescent="0.25">
      <c r="B940">
        <v>939</v>
      </c>
      <c r="C940">
        <v>-0.26691701528314798</v>
      </c>
      <c r="D940">
        <v>-0.27045940840336402</v>
      </c>
      <c r="E940">
        <v>0.28497877219065698</v>
      </c>
      <c r="F940">
        <f t="shared" si="42"/>
        <v>3.5423931202160364E-3</v>
      </c>
      <c r="G940" s="2">
        <f t="shared" si="43"/>
        <v>4.4033276309291748E-5</v>
      </c>
      <c r="M940">
        <v>5.1161181520589203</v>
      </c>
      <c r="N940">
        <v>5.1166278607209099</v>
      </c>
      <c r="O940" s="1">
        <v>8.40165670368506E-8</v>
      </c>
      <c r="P940" s="2">
        <f t="shared" si="44"/>
        <v>3.0922820256783852</v>
      </c>
    </row>
    <row r="941" spans="2:16" x14ac:dyDescent="0.25">
      <c r="B941">
        <v>940</v>
      </c>
      <c r="C941">
        <v>-0.29885781659135502</v>
      </c>
      <c r="D941">
        <v>-0.25805841668503499</v>
      </c>
      <c r="E941">
        <v>0.35726397815100802</v>
      </c>
      <c r="F941">
        <f t="shared" si="42"/>
        <v>-4.0799399906320033E-2</v>
      </c>
      <c r="G941" s="2">
        <f t="shared" si="43"/>
        <v>4.6592747506501745E-3</v>
      </c>
      <c r="M941">
        <v>5.1137939241743302</v>
      </c>
      <c r="N941">
        <v>5.1138644917496103</v>
      </c>
      <c r="O941" s="1">
        <v>1.5085187747443701E-7</v>
      </c>
      <c r="P941" s="2">
        <f t="shared" si="44"/>
        <v>3.3011075263280336E-2</v>
      </c>
    </row>
    <row r="942" spans="2:16" x14ac:dyDescent="0.25">
      <c r="B942">
        <v>941</v>
      </c>
      <c r="C942">
        <v>-0.31609355503675401</v>
      </c>
      <c r="D942">
        <v>-0.25377238134225599</v>
      </c>
      <c r="E942">
        <v>0.39966054214309399</v>
      </c>
      <c r="F942">
        <f t="shared" si="42"/>
        <v>-6.2321173694498022E-2</v>
      </c>
      <c r="G942" s="2">
        <f t="shared" si="43"/>
        <v>9.7180689137663107E-3</v>
      </c>
      <c r="M942">
        <v>2.3888428052962798</v>
      </c>
      <c r="N942">
        <v>2.3889264388395</v>
      </c>
      <c r="O942" s="1">
        <v>3.5081731831645402E-8</v>
      </c>
      <c r="P942" s="2">
        <f t="shared" si="44"/>
        <v>0.19937925485335997</v>
      </c>
    </row>
    <row r="943" spans="2:16" x14ac:dyDescent="0.25">
      <c r="B943">
        <v>942</v>
      </c>
      <c r="C943">
        <v>-0.310786748260102</v>
      </c>
      <c r="D943">
        <v>-0.25892698279117499</v>
      </c>
      <c r="E943">
        <v>0.38635361157635201</v>
      </c>
      <c r="F943">
        <f t="shared" si="42"/>
        <v>-5.185976546892701E-2</v>
      </c>
      <c r="G943" s="2">
        <f t="shared" si="43"/>
        <v>6.9610719141954304E-3</v>
      </c>
      <c r="M943">
        <v>5.1168268136577</v>
      </c>
      <c r="N943">
        <v>5.1169081750217202</v>
      </c>
      <c r="O943" s="1">
        <v>1.43016260949937E-7</v>
      </c>
      <c r="P943" s="2">
        <f t="shared" si="44"/>
        <v>4.6286146143581161E-2</v>
      </c>
    </row>
    <row r="944" spans="2:16" x14ac:dyDescent="0.25">
      <c r="B944">
        <v>943</v>
      </c>
      <c r="C944">
        <v>-0.26365198297915199</v>
      </c>
      <c r="D944">
        <v>-0.28626581282831998</v>
      </c>
      <c r="E944">
        <v>0.278049472515356</v>
      </c>
      <c r="F944">
        <f t="shared" si="42"/>
        <v>2.2613829849167988E-2</v>
      </c>
      <c r="G944" s="2">
        <f t="shared" si="43"/>
        <v>1.839188169719971E-3</v>
      </c>
      <c r="M944">
        <v>5.1148232376042602</v>
      </c>
      <c r="N944">
        <v>5.1148657996037903</v>
      </c>
      <c r="O944" s="1">
        <v>7.7978281400726297E-8</v>
      </c>
      <c r="P944" s="2">
        <f t="shared" si="44"/>
        <v>2.3231132713643264E-2</v>
      </c>
    </row>
    <row r="945" spans="2:16" x14ac:dyDescent="0.25">
      <c r="B945">
        <v>944</v>
      </c>
      <c r="C945">
        <v>-0.31178714210154601</v>
      </c>
      <c r="D945">
        <v>-0.299280450927707</v>
      </c>
      <c r="E945">
        <v>0.38884488791939997</v>
      </c>
      <c r="F945">
        <f t="shared" si="42"/>
        <v>-1.2506691173839013E-2</v>
      </c>
      <c r="G945" s="2">
        <f t="shared" si="43"/>
        <v>4.0226149032002948E-4</v>
      </c>
      <c r="M945">
        <v>2.3891247612512299</v>
      </c>
      <c r="N945">
        <v>2.3891859182360702</v>
      </c>
      <c r="O945" s="1">
        <v>1.5584575552924599E-8</v>
      </c>
      <c r="P945" s="2">
        <f t="shared" si="44"/>
        <v>0.23999221422864561</v>
      </c>
    </row>
    <row r="946" spans="2:16" x14ac:dyDescent="0.25">
      <c r="B946">
        <v>945</v>
      </c>
      <c r="C946">
        <v>-0.31501316182339001</v>
      </c>
      <c r="D946">
        <v>-0.29312922639359501</v>
      </c>
      <c r="E946">
        <v>0.39693316848787802</v>
      </c>
      <c r="F946">
        <f t="shared" si="42"/>
        <v>-2.1883935429794998E-2</v>
      </c>
      <c r="G946" s="2">
        <f t="shared" si="43"/>
        <v>1.2065170359026375E-3</v>
      </c>
      <c r="M946">
        <v>5.1171836167464297</v>
      </c>
      <c r="N946">
        <v>5.1172407626402201</v>
      </c>
      <c r="O946" s="1">
        <v>8.6625720519294196E-8</v>
      </c>
      <c r="P946" s="2">
        <f t="shared" si="44"/>
        <v>3.7698424411618678E-2</v>
      </c>
    </row>
    <row r="947" spans="2:16" x14ac:dyDescent="0.25">
      <c r="B947">
        <v>946</v>
      </c>
      <c r="C947">
        <v>-0.31079826225555501</v>
      </c>
      <c r="D947">
        <v>-0.298263452156176</v>
      </c>
      <c r="E947">
        <v>0.38638223928429</v>
      </c>
      <c r="F947">
        <f t="shared" si="42"/>
        <v>-1.2534810099379012E-2</v>
      </c>
      <c r="G947" s="2">
        <f t="shared" si="43"/>
        <v>4.0664773960246195E-4</v>
      </c>
      <c r="M947">
        <v>5.1162838473117001</v>
      </c>
      <c r="N947">
        <v>5.1158362851995696</v>
      </c>
      <c r="O947" s="1">
        <v>7.9816071986634205E-8</v>
      </c>
      <c r="P947" s="2">
        <f t="shared" si="44"/>
        <v>2.5096680308728252</v>
      </c>
    </row>
    <row r="948" spans="2:16" x14ac:dyDescent="0.25">
      <c r="B948">
        <v>947</v>
      </c>
      <c r="C948">
        <v>-0.298851143995706</v>
      </c>
      <c r="D948">
        <v>-0.27405811117288198</v>
      </c>
      <c r="E948">
        <v>0.35724802507017001</v>
      </c>
      <c r="F948">
        <f t="shared" si="42"/>
        <v>-2.4793032822824024E-2</v>
      </c>
      <c r="G948" s="2">
        <f t="shared" si="43"/>
        <v>1.7206378577821172E-3</v>
      </c>
      <c r="M948">
        <v>2.38981811791</v>
      </c>
      <c r="N948">
        <v>2.38943738875526</v>
      </c>
      <c r="O948" s="1">
        <v>1.5296539522982401E-8</v>
      </c>
      <c r="P948" s="2">
        <f t="shared" si="44"/>
        <v>9.4763060005317925</v>
      </c>
    </row>
    <row r="949" spans="2:16" x14ac:dyDescent="0.25">
      <c r="B949">
        <v>948</v>
      </c>
      <c r="C949">
        <v>-0.28947196313891699</v>
      </c>
      <c r="D949">
        <v>-0.27778579894038302</v>
      </c>
      <c r="E949">
        <v>0.335176069773993</v>
      </c>
      <c r="F949">
        <f t="shared" si="42"/>
        <v>-1.1686164198533966E-2</v>
      </c>
      <c r="G949" s="2">
        <f t="shared" si="43"/>
        <v>4.0744684955337909E-4</v>
      </c>
      <c r="M949">
        <v>5.11820168361412</v>
      </c>
      <c r="N949">
        <v>5.1175630710427198</v>
      </c>
      <c r="O949" s="1">
        <v>8.0949046220369002E-8</v>
      </c>
      <c r="P949" s="2">
        <f t="shared" si="44"/>
        <v>5.038058326717378</v>
      </c>
    </row>
    <row r="950" spans="2:16" x14ac:dyDescent="0.25">
      <c r="B950">
        <v>949</v>
      </c>
      <c r="C950">
        <v>-0.25595403781062898</v>
      </c>
      <c r="D950">
        <v>-0.26949178793984702</v>
      </c>
      <c r="E950">
        <v>0.26204987788626</v>
      </c>
      <c r="F950">
        <f t="shared" si="42"/>
        <v>1.353775012921804E-2</v>
      </c>
      <c r="G950" s="2">
        <f t="shared" si="43"/>
        <v>6.9937326450764375E-4</v>
      </c>
      <c r="M950">
        <v>5.1173510508167803</v>
      </c>
      <c r="N950">
        <v>5.1168992392443799</v>
      </c>
      <c r="O950" s="1">
        <v>9.0219600265965197E-8</v>
      </c>
      <c r="P950" s="2">
        <f t="shared" si="44"/>
        <v>2.2626313611800182</v>
      </c>
    </row>
    <row r="951" spans="2:16" x14ac:dyDescent="0.25">
      <c r="B951">
        <v>950</v>
      </c>
      <c r="C951">
        <v>-0.240837654518957</v>
      </c>
      <c r="D951">
        <v>-0.27711344798354898</v>
      </c>
      <c r="E951">
        <v>0.232011103336769</v>
      </c>
      <c r="F951">
        <f t="shared" si="42"/>
        <v>3.6275793464591977E-2</v>
      </c>
      <c r="G951" s="2">
        <f t="shared" si="43"/>
        <v>5.6718543748987271E-3</v>
      </c>
      <c r="M951">
        <v>2.3901302014200301</v>
      </c>
      <c r="N951">
        <v>2.3897127951650901</v>
      </c>
      <c r="O951" s="1">
        <v>1.87005945285255E-8</v>
      </c>
      <c r="P951" s="2">
        <f t="shared" si="44"/>
        <v>9.3167081611919542</v>
      </c>
    </row>
    <row r="952" spans="2:16" x14ac:dyDescent="0.25">
      <c r="B952">
        <v>951</v>
      </c>
      <c r="C952">
        <v>-0.268345399153954</v>
      </c>
      <c r="D952">
        <v>-0.255165010193521</v>
      </c>
      <c r="E952">
        <v>0.28803701298838003</v>
      </c>
      <c r="F952">
        <f t="shared" si="42"/>
        <v>-1.3180388960432998E-2</v>
      </c>
      <c r="G952" s="2">
        <f t="shared" si="43"/>
        <v>6.0312614460875677E-4</v>
      </c>
      <c r="M952">
        <v>5.1186400570822803</v>
      </c>
      <c r="N952">
        <v>5.1179160423187504</v>
      </c>
      <c r="O952" s="1">
        <v>7.9474232621433102E-8</v>
      </c>
      <c r="P952" s="2">
        <f t="shared" si="44"/>
        <v>6.5958155306288502</v>
      </c>
    </row>
    <row r="953" spans="2:16" x14ac:dyDescent="0.25">
      <c r="B953">
        <v>952</v>
      </c>
      <c r="C953">
        <v>-0.25637507918356101</v>
      </c>
      <c r="D953">
        <v>-0.268796522102485</v>
      </c>
      <c r="E953">
        <v>0.26291272490550799</v>
      </c>
      <c r="F953">
        <f t="shared" si="42"/>
        <v>1.2421442918923997E-2</v>
      </c>
      <c r="G953" s="2">
        <f t="shared" si="43"/>
        <v>5.8685727076747787E-4</v>
      </c>
      <c r="M953">
        <v>5.1177411169793796</v>
      </c>
      <c r="N953">
        <v>5.1173571264358202</v>
      </c>
      <c r="O953" s="1">
        <v>8.8849056338878898E-8</v>
      </c>
      <c r="P953" s="2">
        <f t="shared" si="44"/>
        <v>1.6595419649779442</v>
      </c>
    </row>
    <row r="954" spans="2:16" x14ac:dyDescent="0.25">
      <c r="B954">
        <v>953</v>
      </c>
      <c r="C954">
        <v>-0.28183533045479803</v>
      </c>
      <c r="D954">
        <v>-0.27763382149654098</v>
      </c>
      <c r="E954">
        <v>0.31772461397025997</v>
      </c>
      <c r="F954">
        <f t="shared" si="42"/>
        <v>-4.2015089582570497E-3</v>
      </c>
      <c r="G954" s="2">
        <f t="shared" si="43"/>
        <v>5.5559678885837237E-5</v>
      </c>
      <c r="M954">
        <v>2.39015880303779</v>
      </c>
      <c r="N954">
        <v>2.3898314237398002</v>
      </c>
      <c r="O954" s="1">
        <v>1.4760795478019401E-8</v>
      </c>
      <c r="P954" s="2">
        <f t="shared" si="44"/>
        <v>7.2609369130505765</v>
      </c>
    </row>
    <row r="955" spans="2:16" x14ac:dyDescent="0.25">
      <c r="B955">
        <v>954</v>
      </c>
      <c r="C955">
        <v>-0.27130477397991998</v>
      </c>
      <c r="D955">
        <v>-0.26537950577119901</v>
      </c>
      <c r="E955">
        <v>0.29442512153718098</v>
      </c>
      <c r="F955">
        <f t="shared" si="42"/>
        <v>-5.9252682087209685E-3</v>
      </c>
      <c r="G955" s="2">
        <f t="shared" si="43"/>
        <v>1.1924527079067789E-4</v>
      </c>
      <c r="M955">
        <v>5.1185417264675204</v>
      </c>
      <c r="N955">
        <v>5.1180680761552297</v>
      </c>
      <c r="O955" s="1">
        <v>6.3400505409209602E-8</v>
      </c>
      <c r="P955" s="2">
        <f t="shared" si="44"/>
        <v>3.5385304404911384</v>
      </c>
    </row>
    <row r="956" spans="2:16" x14ac:dyDescent="0.25">
      <c r="B956">
        <v>955</v>
      </c>
      <c r="C956">
        <v>-0.29918407609721598</v>
      </c>
      <c r="D956">
        <v>-0.26958276961220001</v>
      </c>
      <c r="E956">
        <v>0.35804444556057902</v>
      </c>
      <c r="F956">
        <f t="shared" si="42"/>
        <v>-2.9601306485015966E-2</v>
      </c>
      <c r="G956" s="2">
        <f t="shared" si="43"/>
        <v>2.4472865212249021E-3</v>
      </c>
      <c r="M956">
        <v>5.11881711908614</v>
      </c>
      <c r="N956">
        <v>5.11799909573734</v>
      </c>
      <c r="O956" s="1">
        <v>1.07934245694328E-7</v>
      </c>
      <c r="P956" s="2">
        <f t="shared" si="44"/>
        <v>6.199720903011924</v>
      </c>
    </row>
    <row r="957" spans="2:16" x14ac:dyDescent="0.25">
      <c r="B957">
        <v>956</v>
      </c>
      <c r="C957">
        <v>-0.38777659682909199</v>
      </c>
      <c r="D957">
        <v>-0.27039921439382197</v>
      </c>
      <c r="E957">
        <v>0.60148275619340996</v>
      </c>
      <c r="F957">
        <f t="shared" si="42"/>
        <v>-0.11737738243527002</v>
      </c>
      <c r="G957" s="2">
        <f t="shared" si="43"/>
        <v>2.2905810292133167E-2</v>
      </c>
      <c r="M957">
        <v>2.3904184146876299</v>
      </c>
      <c r="N957">
        <v>2.3899977360126301</v>
      </c>
      <c r="O957" s="1">
        <v>2.9716893151022801E-8</v>
      </c>
      <c r="P957" s="2">
        <f t="shared" si="44"/>
        <v>5.9552170107503732</v>
      </c>
    </row>
    <row r="958" spans="2:16" x14ac:dyDescent="0.25">
      <c r="B958">
        <v>957</v>
      </c>
      <c r="C958">
        <v>-0.226259417113646</v>
      </c>
      <c r="D958">
        <v>-0.295754085147103</v>
      </c>
      <c r="E958">
        <v>0.20477329533042801</v>
      </c>
      <c r="F958">
        <f t="shared" si="42"/>
        <v>6.9494668033456997E-2</v>
      </c>
      <c r="G958" s="2">
        <f t="shared" si="43"/>
        <v>2.3584661648811955E-2</v>
      </c>
      <c r="M958">
        <v>5.1190539269961404</v>
      </c>
      <c r="N958">
        <v>5.1182812160975697</v>
      </c>
      <c r="O958" s="1">
        <v>8.3631772715979795E-8</v>
      </c>
      <c r="P958" s="2">
        <f t="shared" si="44"/>
        <v>7.1394173934066218</v>
      </c>
    </row>
    <row r="959" spans="2:16" x14ac:dyDescent="0.25">
      <c r="B959">
        <v>958</v>
      </c>
      <c r="C959">
        <v>-0.26708829858682698</v>
      </c>
      <c r="D959">
        <v>-0.29162195183282802</v>
      </c>
      <c r="E959">
        <v>0.28534463696802498</v>
      </c>
      <c r="F959">
        <f t="shared" si="42"/>
        <v>2.4533653246001041E-2</v>
      </c>
      <c r="G959" s="2">
        <f t="shared" si="43"/>
        <v>2.1093795488522356E-3</v>
      </c>
      <c r="M959">
        <v>5.1186607427424899</v>
      </c>
      <c r="N959">
        <v>5.1182475360727704</v>
      </c>
      <c r="O959" s="1">
        <v>7.4019446685860801E-8</v>
      </c>
      <c r="P959" s="2">
        <f t="shared" si="44"/>
        <v>2.3066877630867468</v>
      </c>
    </row>
    <row r="960" spans="2:16" x14ac:dyDescent="0.25">
      <c r="B960">
        <v>959</v>
      </c>
      <c r="C960">
        <v>-0.29172371830338301</v>
      </c>
      <c r="D960">
        <v>-0.28074146423422403</v>
      </c>
      <c r="E960">
        <v>0.34041091128300599</v>
      </c>
      <c r="F960">
        <f t="shared" si="42"/>
        <v>-1.0982254069158981E-2</v>
      </c>
      <c r="G960" s="2">
        <f t="shared" si="43"/>
        <v>3.5430681109774429E-4</v>
      </c>
      <c r="M960">
        <v>2.3903780961531802</v>
      </c>
      <c r="N960">
        <v>2.3900620959071199</v>
      </c>
      <c r="O960" s="1">
        <v>2.2199025644771701E-8</v>
      </c>
      <c r="P960" s="2">
        <f t="shared" si="44"/>
        <v>4.4982224494013705</v>
      </c>
    </row>
    <row r="961" spans="2:16" x14ac:dyDescent="0.25">
      <c r="B961">
        <v>960</v>
      </c>
      <c r="C961">
        <v>-0.30184096910845798</v>
      </c>
      <c r="D961">
        <v>-0.27160487633793501</v>
      </c>
      <c r="E961">
        <v>0.36443188252933301</v>
      </c>
      <c r="F961">
        <f t="shared" si="42"/>
        <v>-3.0236092770522971E-2</v>
      </c>
      <c r="G961" s="2">
        <f t="shared" si="43"/>
        <v>2.5086205402297264E-3</v>
      </c>
      <c r="M961">
        <v>5.1188382034689601</v>
      </c>
      <c r="N961">
        <v>5.1183636958696797</v>
      </c>
      <c r="O961" s="1">
        <v>6.6312674981973397E-8</v>
      </c>
      <c r="P961" s="2">
        <f t="shared" si="44"/>
        <v>3.395391029484542</v>
      </c>
    </row>
    <row r="962" spans="2:16" x14ac:dyDescent="0.25">
      <c r="B962">
        <v>961</v>
      </c>
      <c r="C962">
        <v>-0.31183771449789999</v>
      </c>
      <c r="D962">
        <v>-0.27527319052891103</v>
      </c>
      <c r="E962">
        <v>0.38897104073309602</v>
      </c>
      <c r="F962">
        <f t="shared" si="42"/>
        <v>-3.656452396898896E-2</v>
      </c>
      <c r="G962" s="2">
        <f t="shared" si="43"/>
        <v>3.4371823942445263E-3</v>
      </c>
      <c r="M962">
        <v>5.1200998832400604</v>
      </c>
      <c r="N962">
        <v>5.1197821762878402</v>
      </c>
      <c r="O962" s="1">
        <v>8.6343614718126495E-8</v>
      </c>
      <c r="P962" s="2">
        <f t="shared" si="44"/>
        <v>1.1690234167121454</v>
      </c>
    </row>
    <row r="963" spans="2:16" x14ac:dyDescent="0.25">
      <c r="B963">
        <v>962</v>
      </c>
      <c r="C963">
        <v>-0.30374820831092098</v>
      </c>
      <c r="D963">
        <v>-0.26273597447698399</v>
      </c>
      <c r="E963">
        <v>0.36905189620837803</v>
      </c>
      <c r="F963">
        <f t="shared" ref="F963:F1026" si="45">C963-D963</f>
        <v>-4.1012233833936984E-2</v>
      </c>
      <c r="G963" s="2">
        <f t="shared" ref="G963:G1026" si="46">F963^2/E963</f>
        <v>4.5576336047324214E-3</v>
      </c>
      <c r="M963">
        <v>2.3906659811977198</v>
      </c>
      <c r="N963">
        <v>2.39045962243175</v>
      </c>
      <c r="O963" s="1">
        <v>1.7717826438741898E-8</v>
      </c>
      <c r="P963" s="2">
        <f t="shared" ref="P963:P1026" si="47">(M963-N963)^2/O963</f>
        <v>2.4034517123073083</v>
      </c>
    </row>
    <row r="964" spans="2:16" x14ac:dyDescent="0.25">
      <c r="B964">
        <v>963</v>
      </c>
      <c r="C964">
        <v>-0.26756497888710401</v>
      </c>
      <c r="D964">
        <v>-0.25831357758585299</v>
      </c>
      <c r="E964">
        <v>0.28636407170742501</v>
      </c>
      <c r="F964">
        <f t="shared" si="45"/>
        <v>-9.2514013012510166E-3</v>
      </c>
      <c r="G964" s="2">
        <f t="shared" si="46"/>
        <v>2.9887976353483946E-4</v>
      </c>
      <c r="M964">
        <v>5.1192684351742201</v>
      </c>
      <c r="N964">
        <v>5.1188731222016699</v>
      </c>
      <c r="O964" s="1">
        <v>8.1167487452760903E-8</v>
      </c>
      <c r="P964" s="2">
        <f t="shared" si="47"/>
        <v>1.9253071786589353</v>
      </c>
    </row>
    <row r="965" spans="2:16" x14ac:dyDescent="0.25">
      <c r="B965">
        <v>964</v>
      </c>
      <c r="C965">
        <v>-0.25425492395774402</v>
      </c>
      <c r="D965">
        <v>-0.25340537647292999</v>
      </c>
      <c r="E965">
        <v>0.258582265427032</v>
      </c>
      <c r="F965">
        <f t="shared" si="45"/>
        <v>-8.4954748481402831E-4</v>
      </c>
      <c r="G965" s="2">
        <f t="shared" si="46"/>
        <v>2.7911076104231253E-6</v>
      </c>
      <c r="M965">
        <v>5.1203321526007697</v>
      </c>
      <c r="N965">
        <v>5.1200875650962203</v>
      </c>
      <c r="O965" s="1">
        <v>1.05922919332649E-7</v>
      </c>
      <c r="P965" s="2">
        <f t="shared" si="47"/>
        <v>0.56477906536745348</v>
      </c>
    </row>
    <row r="966" spans="2:16" x14ac:dyDescent="0.25">
      <c r="B966">
        <v>965</v>
      </c>
      <c r="C966">
        <v>-0.287320589792189</v>
      </c>
      <c r="D966">
        <v>-0.250028674545693</v>
      </c>
      <c r="E966">
        <v>0.330212485274126</v>
      </c>
      <c r="F966">
        <f t="shared" si="45"/>
        <v>-3.7291915246495999E-2</v>
      </c>
      <c r="G966" s="2">
        <f t="shared" si="46"/>
        <v>4.2114910997304101E-3</v>
      </c>
      <c r="M966">
        <v>2.3907784148986901</v>
      </c>
      <c r="N966">
        <v>2.3905387226904198</v>
      </c>
      <c r="O966" s="1">
        <v>3.5353973500644999E-8</v>
      </c>
      <c r="P966" s="2">
        <f t="shared" si="47"/>
        <v>1.6250607503700534</v>
      </c>
    </row>
    <row r="967" spans="2:16" x14ac:dyDescent="0.25">
      <c r="B967">
        <v>966</v>
      </c>
      <c r="C967">
        <v>-0.29839186585636501</v>
      </c>
      <c r="D967">
        <v>-0.24186824238949001</v>
      </c>
      <c r="E967">
        <v>0.35615082243697199</v>
      </c>
      <c r="F967">
        <f t="shared" si="45"/>
        <v>-5.6523623466875006E-2</v>
      </c>
      <c r="G967" s="2">
        <f t="shared" si="46"/>
        <v>8.9706938986234344E-3</v>
      </c>
      <c r="M967">
        <v>5.1192398077077899</v>
      </c>
      <c r="N967">
        <v>5.1189744843470004</v>
      </c>
      <c r="O967" s="1">
        <v>1.12215618334574E-7</v>
      </c>
      <c r="P967" s="2">
        <f t="shared" si="47"/>
        <v>0.62733233417395717</v>
      </c>
    </row>
    <row r="968" spans="2:16" x14ac:dyDescent="0.25">
      <c r="B968">
        <v>967</v>
      </c>
      <c r="C968">
        <v>-0.32093144225265902</v>
      </c>
      <c r="D968">
        <v>-0.23993316786336899</v>
      </c>
      <c r="E968">
        <v>0.41198796250548603</v>
      </c>
      <c r="F968">
        <f t="shared" si="45"/>
        <v>-8.0998274389290026E-2</v>
      </c>
      <c r="G968" s="2">
        <f t="shared" si="46"/>
        <v>1.592454404285017E-2</v>
      </c>
      <c r="M968">
        <v>5.1203541046987597</v>
      </c>
      <c r="N968">
        <v>5.12051511625911</v>
      </c>
      <c r="O968" s="1">
        <v>6.2400571207879894E-8</v>
      </c>
      <c r="P968" s="2">
        <f t="shared" si="47"/>
        <v>0.41545649446183103</v>
      </c>
    </row>
    <row r="969" spans="2:16" x14ac:dyDescent="0.25">
      <c r="B969">
        <v>968</v>
      </c>
      <c r="C969">
        <v>-0.29082438186812298</v>
      </c>
      <c r="D969">
        <v>-0.246040800322924</v>
      </c>
      <c r="E969">
        <v>0.33831528435590302</v>
      </c>
      <c r="F969">
        <f t="shared" si="45"/>
        <v>-4.4783581545198986E-2</v>
      </c>
      <c r="G969" s="2">
        <f t="shared" si="46"/>
        <v>5.9281069131528101E-3</v>
      </c>
      <c r="M969">
        <v>2.39088648915794</v>
      </c>
      <c r="N969">
        <v>2.3906494612928402</v>
      </c>
      <c r="O969" s="1">
        <v>2.3106966253189499E-8</v>
      </c>
      <c r="P969" s="2">
        <f t="shared" si="47"/>
        <v>2.4313970175996737</v>
      </c>
    </row>
    <row r="970" spans="2:16" x14ac:dyDescent="0.25">
      <c r="B970">
        <v>969</v>
      </c>
      <c r="C970">
        <v>-0.263400316503349</v>
      </c>
      <c r="D970">
        <v>-0.244531335921019</v>
      </c>
      <c r="E970">
        <v>0.27751890693625703</v>
      </c>
      <c r="F970">
        <f t="shared" si="45"/>
        <v>-1.8868980582329997E-2</v>
      </c>
      <c r="G970" s="2">
        <f t="shared" si="46"/>
        <v>1.2829339526698427E-3</v>
      </c>
      <c r="M970">
        <v>5.1188621450632299</v>
      </c>
      <c r="N970">
        <v>5.1191163868328102</v>
      </c>
      <c r="O970" s="1">
        <v>8.6498877476161401E-8</v>
      </c>
      <c r="P970" s="2">
        <f t="shared" si="47"/>
        <v>0.74727995651912238</v>
      </c>
    </row>
    <row r="971" spans="2:16" x14ac:dyDescent="0.25">
      <c r="B971">
        <v>970</v>
      </c>
      <c r="C971">
        <v>-0.113887014739861</v>
      </c>
      <c r="D971">
        <v>-0.10245761662882701</v>
      </c>
      <c r="E971">
        <v>5.1881008505428802E-2</v>
      </c>
      <c r="F971">
        <f t="shared" si="45"/>
        <v>-1.1429398111033995E-2</v>
      </c>
      <c r="G971" s="2">
        <f t="shared" si="46"/>
        <v>2.5178990336480887E-3</v>
      </c>
      <c r="M971">
        <v>5.12161531019109</v>
      </c>
      <c r="N971">
        <v>5.1210873200084404</v>
      </c>
      <c r="O971" s="1">
        <v>1.4977993363574601E-7</v>
      </c>
      <c r="P971" s="2">
        <f t="shared" si="47"/>
        <v>1.8612215014883833</v>
      </c>
    </row>
    <row r="972" spans="2:16" x14ac:dyDescent="0.25">
      <c r="B972">
        <v>971</v>
      </c>
      <c r="C972">
        <v>-0.13230653026196301</v>
      </c>
      <c r="D972">
        <v>-0.103180595290477</v>
      </c>
      <c r="E972">
        <v>7.0020071799838907E-2</v>
      </c>
      <c r="F972">
        <f t="shared" si="45"/>
        <v>-2.9125934971486009E-2</v>
      </c>
      <c r="G972" s="2">
        <f t="shared" si="46"/>
        <v>1.2115384434169965E-2</v>
      </c>
      <c r="M972">
        <v>2.3913518930037099</v>
      </c>
      <c r="N972">
        <v>2.3907976594381499</v>
      </c>
      <c r="O972" s="1">
        <v>4.3471752906057797E-8</v>
      </c>
      <c r="P972" s="2">
        <f t="shared" si="47"/>
        <v>7.0660791125008338</v>
      </c>
    </row>
    <row r="973" spans="2:16" x14ac:dyDescent="0.25">
      <c r="B973">
        <v>972</v>
      </c>
      <c r="C973">
        <v>-4.1757151747368999E-2</v>
      </c>
      <c r="D973">
        <v>-8.7510923495161902E-2</v>
      </c>
      <c r="E973">
        <v>6.9746388882112103E-3</v>
      </c>
      <c r="F973">
        <f t="shared" si="45"/>
        <v>4.5753771747792903E-2</v>
      </c>
      <c r="G973" s="2">
        <f t="shared" si="46"/>
        <v>0.30014566527415293</v>
      </c>
      <c r="M973">
        <v>5.1197943020359498</v>
      </c>
      <c r="N973">
        <v>5.1193062865372401</v>
      </c>
      <c r="O973" s="1">
        <v>1.59472081725063E-7</v>
      </c>
      <c r="P973" s="2">
        <f t="shared" si="47"/>
        <v>1.4934220736609392</v>
      </c>
    </row>
    <row r="974" spans="2:16" x14ac:dyDescent="0.25">
      <c r="B974">
        <v>973</v>
      </c>
      <c r="C974">
        <v>-0.12813360530935999</v>
      </c>
      <c r="D974">
        <v>-7.8575738660936298E-2</v>
      </c>
      <c r="E974">
        <v>6.5672883238298896E-2</v>
      </c>
      <c r="F974">
        <f t="shared" si="45"/>
        <v>-4.9557866648423696E-2</v>
      </c>
      <c r="G974" s="2">
        <f t="shared" si="46"/>
        <v>3.7397203010430251E-2</v>
      </c>
      <c r="M974">
        <v>5.1226938634828398</v>
      </c>
      <c r="N974">
        <v>5.1219387516135599</v>
      </c>
      <c r="O974" s="1">
        <v>1.3172253469824801E-7</v>
      </c>
      <c r="P974" s="2">
        <f t="shared" si="47"/>
        <v>4.3287500990896888</v>
      </c>
    </row>
    <row r="975" spans="2:16" x14ac:dyDescent="0.25">
      <c r="B975">
        <v>974</v>
      </c>
      <c r="C975">
        <v>-8.3556295565285002E-2</v>
      </c>
      <c r="D975">
        <v>-7.0947734173486807E-2</v>
      </c>
      <c r="E975">
        <v>2.7926618114373102E-2</v>
      </c>
      <c r="F975">
        <f t="shared" si="45"/>
        <v>-1.2608561391798195E-2</v>
      </c>
      <c r="G975" s="2">
        <f t="shared" si="46"/>
        <v>5.6926270026560555E-3</v>
      </c>
      <c r="M975">
        <v>2.39185364953416</v>
      </c>
      <c r="N975">
        <v>2.3910181626701199</v>
      </c>
      <c r="O975" s="1">
        <v>4.90201898782704E-8</v>
      </c>
      <c r="P975" s="2">
        <f t="shared" si="47"/>
        <v>14.239812243016397</v>
      </c>
    </row>
    <row r="976" spans="2:16" x14ac:dyDescent="0.25">
      <c r="B976">
        <v>975</v>
      </c>
      <c r="C976">
        <v>-0.113661645765311</v>
      </c>
      <c r="D976">
        <v>-8.1552879871228806E-2</v>
      </c>
      <c r="E976">
        <v>5.1675878872316297E-2</v>
      </c>
      <c r="F976">
        <f t="shared" si="45"/>
        <v>-3.2108765894082195E-2</v>
      </c>
      <c r="G976" s="2">
        <f t="shared" si="46"/>
        <v>1.9950755937569294E-2</v>
      </c>
      <c r="M976">
        <v>5.1205440001535001</v>
      </c>
      <c r="N976">
        <v>5.1195888285482098</v>
      </c>
      <c r="O976" s="1">
        <v>1.61447578261113E-7</v>
      </c>
      <c r="P976" s="2">
        <f t="shared" si="47"/>
        <v>5.6510776152811832</v>
      </c>
    </row>
    <row r="977" spans="2:16" x14ac:dyDescent="0.25">
      <c r="B977">
        <v>976</v>
      </c>
      <c r="C977">
        <v>-0.122059809065884</v>
      </c>
      <c r="D977">
        <v>-7.5301886195388398E-2</v>
      </c>
      <c r="E977">
        <v>5.9594387956800499E-2</v>
      </c>
      <c r="F977">
        <f t="shared" si="45"/>
        <v>-4.67579228704956E-2</v>
      </c>
      <c r="G977" s="2">
        <f t="shared" si="46"/>
        <v>3.6686396590699943E-2</v>
      </c>
      <c r="M977">
        <v>5.1221377017234904</v>
      </c>
      <c r="N977">
        <v>5.1223165833654001</v>
      </c>
      <c r="O977" s="1">
        <v>1.8492867895173601E-7</v>
      </c>
      <c r="P977" s="2">
        <f t="shared" si="47"/>
        <v>0.17303233870321186</v>
      </c>
    </row>
    <row r="978" spans="2:16" x14ac:dyDescent="0.25">
      <c r="B978">
        <v>977</v>
      </c>
      <c r="C978">
        <v>-8.45952013793069E-2</v>
      </c>
      <c r="D978">
        <v>-7.8324506801229099E-2</v>
      </c>
      <c r="E978">
        <v>2.8625392385621999E-2</v>
      </c>
      <c r="F978">
        <f t="shared" si="45"/>
        <v>-6.2706945780778012E-3</v>
      </c>
      <c r="G978" s="2">
        <f t="shared" si="46"/>
        <v>1.3736618859864029E-3</v>
      </c>
      <c r="M978">
        <v>2.3913545565627801</v>
      </c>
      <c r="N978">
        <v>2.3911160080760401</v>
      </c>
      <c r="O978" s="1">
        <v>3.5802958430855703E-8</v>
      </c>
      <c r="P978" s="2">
        <f t="shared" si="47"/>
        <v>1.5894044241018765</v>
      </c>
    </row>
    <row r="979" spans="2:16" x14ac:dyDescent="0.25">
      <c r="B979">
        <v>978</v>
      </c>
      <c r="C979">
        <v>-8.0327596795301895E-2</v>
      </c>
      <c r="D979">
        <v>-8.3141200102735097E-2</v>
      </c>
      <c r="E979">
        <v>2.5810091227634401E-2</v>
      </c>
      <c r="F979">
        <f t="shared" si="45"/>
        <v>2.8136033074332018E-3</v>
      </c>
      <c r="G979" s="2">
        <f t="shared" si="46"/>
        <v>3.067158307105534E-4</v>
      </c>
      <c r="M979">
        <v>5.1196724053474902</v>
      </c>
      <c r="N979">
        <v>5.1197141994937398</v>
      </c>
      <c r="O979" s="1">
        <v>1.8541320358925101E-7</v>
      </c>
      <c r="P979" s="2">
        <f t="shared" si="47"/>
        <v>9.4208536766517467E-3</v>
      </c>
    </row>
    <row r="980" spans="2:16" x14ac:dyDescent="0.25">
      <c r="B980">
        <v>979</v>
      </c>
      <c r="C980">
        <v>-0.143215795784183</v>
      </c>
      <c r="D980">
        <v>-8.0157027216565702E-2</v>
      </c>
      <c r="E980">
        <v>8.2043056648387194E-2</v>
      </c>
      <c r="F980">
        <f t="shared" si="45"/>
        <v>-6.3058768567617302E-2</v>
      </c>
      <c r="G980" s="2">
        <f t="shared" si="46"/>
        <v>4.8467334783808158E-2</v>
      </c>
      <c r="M980">
        <v>0.54231644098555698</v>
      </c>
      <c r="N980">
        <v>0.54231024430211705</v>
      </c>
      <c r="O980" s="1">
        <v>3.3306227588986202E-10</v>
      </c>
      <c r="P980" s="2">
        <f t="shared" si="47"/>
        <v>0.1152904079337882</v>
      </c>
    </row>
    <row r="981" spans="2:16" x14ac:dyDescent="0.25">
      <c r="B981">
        <v>980</v>
      </c>
      <c r="C981">
        <v>-8.8860400099657802E-2</v>
      </c>
      <c r="D981">
        <v>-8.6976212077821094E-2</v>
      </c>
      <c r="E981">
        <v>3.1584682823485102E-2</v>
      </c>
      <c r="F981">
        <f t="shared" si="45"/>
        <v>-1.884188021836708E-3</v>
      </c>
      <c r="G981" s="2">
        <f t="shared" si="46"/>
        <v>1.1240146122325999E-4</v>
      </c>
      <c r="M981">
        <v>0.99321717297991596</v>
      </c>
      <c r="N981">
        <v>0.99319942119020599</v>
      </c>
      <c r="O981" s="1">
        <v>1.4582257286339799E-9</v>
      </c>
      <c r="P981" s="2">
        <f t="shared" si="47"/>
        <v>0.21610237134023982</v>
      </c>
    </row>
    <row r="982" spans="2:16" x14ac:dyDescent="0.25">
      <c r="B982">
        <v>981</v>
      </c>
      <c r="C982">
        <v>-7.5453848116734598E-2</v>
      </c>
      <c r="D982">
        <v>-8.5378717664300205E-2</v>
      </c>
      <c r="E982">
        <v>2.2773132782492999E-2</v>
      </c>
      <c r="F982">
        <f t="shared" si="45"/>
        <v>9.9248695475656068E-3</v>
      </c>
      <c r="G982" s="2">
        <f t="shared" si="46"/>
        <v>4.3254055766943061E-3</v>
      </c>
      <c r="M982">
        <v>0.54235457950202504</v>
      </c>
      <c r="N982">
        <v>0.54242166372686895</v>
      </c>
      <c r="O982" s="1">
        <v>9.6658872573827408E-10</v>
      </c>
      <c r="P982" s="2">
        <f t="shared" si="47"/>
        <v>4.6558511423478715</v>
      </c>
    </row>
    <row r="983" spans="2:16" x14ac:dyDescent="0.25">
      <c r="B983">
        <v>982</v>
      </c>
      <c r="C983">
        <v>-0.33076665968817598</v>
      </c>
      <c r="D983">
        <v>-0.315163440202755</v>
      </c>
      <c r="E983">
        <v>0.43762633264509399</v>
      </c>
      <c r="F983">
        <f t="shared" si="45"/>
        <v>-1.5603219485420983E-2</v>
      </c>
      <c r="G983" s="2">
        <f t="shared" si="46"/>
        <v>5.5632040430177339E-4</v>
      </c>
      <c r="M983">
        <v>0.99297547768150396</v>
      </c>
      <c r="N983">
        <v>0.99306197110118399</v>
      </c>
      <c r="O983" s="1">
        <v>1.57580042188034E-9</v>
      </c>
      <c r="P983" s="2">
        <f t="shared" si="47"/>
        <v>4.7474994574627285</v>
      </c>
    </row>
    <row r="984" spans="2:16" x14ac:dyDescent="0.25">
      <c r="B984">
        <v>983</v>
      </c>
      <c r="C984">
        <v>-0.31589463498060999</v>
      </c>
      <c r="D984">
        <v>-0.30476145317754999</v>
      </c>
      <c r="E984">
        <v>0.39915768163813198</v>
      </c>
      <c r="F984">
        <f t="shared" si="45"/>
        <v>-1.1133181803059999E-2</v>
      </c>
      <c r="G984" s="2">
        <f t="shared" si="46"/>
        <v>3.1052324121963091E-4</v>
      </c>
      <c r="M984">
        <v>0.54246954101657097</v>
      </c>
      <c r="N984">
        <v>0.54249041032011902</v>
      </c>
      <c r="O984" s="1">
        <v>6.7242436408084698E-10</v>
      </c>
      <c r="P984" s="2">
        <f t="shared" si="47"/>
        <v>0.64769787331571993</v>
      </c>
    </row>
    <row r="985" spans="2:16" x14ac:dyDescent="0.25">
      <c r="B985">
        <v>984</v>
      </c>
      <c r="C985">
        <v>-0.32770738395427002</v>
      </c>
      <c r="D985">
        <v>-0.28726108190494398</v>
      </c>
      <c r="E985">
        <v>0.42956851799260498</v>
      </c>
      <c r="F985">
        <f t="shared" si="45"/>
        <v>-4.0446302049326033E-2</v>
      </c>
      <c r="G985" s="2">
        <f t="shared" si="46"/>
        <v>3.8082477671081967E-3</v>
      </c>
      <c r="M985">
        <v>0.99295314945301805</v>
      </c>
      <c r="N985">
        <v>0.99297718697015902</v>
      </c>
      <c r="O985" s="1">
        <v>9.1427035779473498E-10</v>
      </c>
      <c r="P985" s="2">
        <f t="shared" si="47"/>
        <v>0.63198180426223205</v>
      </c>
    </row>
    <row r="986" spans="2:16" x14ac:dyDescent="0.25">
      <c r="B986">
        <v>985</v>
      </c>
      <c r="C986">
        <v>-0.31376884515241599</v>
      </c>
      <c r="D986">
        <v>-0.27573656535948798</v>
      </c>
      <c r="E986">
        <v>0.39380355275312401</v>
      </c>
      <c r="F986">
        <f t="shared" si="45"/>
        <v>-3.8032279792928003E-2</v>
      </c>
      <c r="G986" s="2">
        <f t="shared" si="46"/>
        <v>3.6730351875579543E-3</v>
      </c>
      <c r="M986">
        <v>0.54250750914355705</v>
      </c>
      <c r="N986">
        <v>0.54252229062754898</v>
      </c>
      <c r="O986" s="1">
        <v>3.3066424735676502E-10</v>
      </c>
      <c r="P986" s="2">
        <f t="shared" si="47"/>
        <v>0.66076774477431988</v>
      </c>
    </row>
    <row r="987" spans="2:16" x14ac:dyDescent="0.25">
      <c r="B987">
        <v>986</v>
      </c>
      <c r="C987">
        <v>-0.31104272215836198</v>
      </c>
      <c r="D987">
        <v>-0.25792514822789903</v>
      </c>
      <c r="E987">
        <v>0.38699030003073698</v>
      </c>
      <c r="F987">
        <f t="shared" si="45"/>
        <v>-5.3117573930462958E-2</v>
      </c>
      <c r="G987" s="2">
        <f t="shared" si="46"/>
        <v>7.2908201059150588E-3</v>
      </c>
      <c r="M987">
        <v>0.99290897243371201</v>
      </c>
      <c r="N987">
        <v>0.99293787557333202</v>
      </c>
      <c r="O987" s="1">
        <v>1.04767184062626E-9</v>
      </c>
      <c r="P987" s="2">
        <f t="shared" si="47"/>
        <v>0.79737895732144504</v>
      </c>
    </row>
    <row r="988" spans="2:16" x14ac:dyDescent="0.25">
      <c r="B988">
        <v>987</v>
      </c>
      <c r="C988">
        <v>-0.30249900892015702</v>
      </c>
      <c r="D988">
        <v>-0.24431405335786699</v>
      </c>
      <c r="E988">
        <v>0.36602260159070799</v>
      </c>
      <c r="F988">
        <f t="shared" si="45"/>
        <v>-5.8184955562290031E-2</v>
      </c>
      <c r="G988" s="2">
        <f t="shared" si="46"/>
        <v>9.2493989143636827E-3</v>
      </c>
      <c r="M988">
        <v>0.542425977639723</v>
      </c>
      <c r="N988">
        <v>0.54248648196085902</v>
      </c>
      <c r="O988" s="1">
        <v>4.9867656615900596E-10</v>
      </c>
      <c r="P988" s="2">
        <f t="shared" si="47"/>
        <v>7.3409763453047319</v>
      </c>
    </row>
    <row r="989" spans="2:16" x14ac:dyDescent="0.25">
      <c r="B989">
        <v>988</v>
      </c>
      <c r="C989">
        <v>-0.31725778191021597</v>
      </c>
      <c r="D989">
        <v>-0.23370100988633799</v>
      </c>
      <c r="E989">
        <v>0.40261000073036202</v>
      </c>
      <c r="F989">
        <f t="shared" si="45"/>
        <v>-8.3556772023877984E-2</v>
      </c>
      <c r="G989" s="2">
        <f t="shared" si="46"/>
        <v>1.7341184119582166E-2</v>
      </c>
      <c r="M989">
        <v>0.99289150228593503</v>
      </c>
      <c r="N989">
        <v>0.99298203127163398</v>
      </c>
      <c r="O989" s="1">
        <v>1.0614823526610401E-9</v>
      </c>
      <c r="P989" s="2">
        <f t="shared" si="47"/>
        <v>7.7208040540047724</v>
      </c>
    </row>
    <row r="990" spans="2:16" x14ac:dyDescent="0.25">
      <c r="B990">
        <v>989</v>
      </c>
      <c r="C990">
        <v>-0.31693932482102399</v>
      </c>
      <c r="D990">
        <v>-0.21767808154655699</v>
      </c>
      <c r="E990">
        <v>0.401802142472025</v>
      </c>
      <c r="F990">
        <f t="shared" si="45"/>
        <v>-9.9261243274467004E-2</v>
      </c>
      <c r="G990" s="2">
        <f t="shared" si="46"/>
        <v>2.4521507913758601E-2</v>
      </c>
      <c r="M990">
        <v>0.54242157073488895</v>
      </c>
      <c r="N990">
        <v>0.54248073090054105</v>
      </c>
      <c r="O990" s="1">
        <v>3.69929597413142E-10</v>
      </c>
      <c r="P990" s="2">
        <f t="shared" si="47"/>
        <v>9.4610575213743324</v>
      </c>
    </row>
    <row r="991" spans="2:16" x14ac:dyDescent="0.25">
      <c r="B991">
        <v>990</v>
      </c>
      <c r="C991">
        <v>-0.30182786583705901</v>
      </c>
      <c r="D991">
        <v>-0.20167717360443099</v>
      </c>
      <c r="E991">
        <v>0.36440024238301499</v>
      </c>
      <c r="F991">
        <f t="shared" si="45"/>
        <v>-0.10015069223262801</v>
      </c>
      <c r="G991" s="2">
        <f t="shared" si="46"/>
        <v>2.7525122072043089E-2</v>
      </c>
      <c r="M991">
        <v>0.992896016191814</v>
      </c>
      <c r="N991">
        <v>0.99298912336381095</v>
      </c>
      <c r="O991" s="1">
        <v>8.1577419124494096E-10</v>
      </c>
      <c r="P991" s="2">
        <f t="shared" si="47"/>
        <v>10.626648367044702</v>
      </c>
    </row>
    <row r="992" spans="2:16" x14ac:dyDescent="0.25">
      <c r="B992">
        <v>991</v>
      </c>
      <c r="C992">
        <v>-0.33541517753417999</v>
      </c>
      <c r="D992">
        <v>-0.19188658764078501</v>
      </c>
      <c r="E992">
        <v>0.450013365281142</v>
      </c>
      <c r="F992">
        <f t="shared" si="45"/>
        <v>-0.14352858989339498</v>
      </c>
      <c r="G992" s="2">
        <f t="shared" si="46"/>
        <v>4.5777431752313413E-2</v>
      </c>
      <c r="M992">
        <v>0.54245866258102904</v>
      </c>
      <c r="N992">
        <v>0.54248558698313698</v>
      </c>
      <c r="O992" s="1">
        <v>3.6615635008537799E-10</v>
      </c>
      <c r="P992" s="2">
        <f t="shared" si="47"/>
        <v>1.9798193550408365</v>
      </c>
    </row>
    <row r="993" spans="2:16" x14ac:dyDescent="0.25">
      <c r="B993">
        <v>992</v>
      </c>
      <c r="C993">
        <v>-0.31679821672623099</v>
      </c>
      <c r="D993">
        <v>-0.181511356566459</v>
      </c>
      <c r="E993">
        <v>0.401444440483679</v>
      </c>
      <c r="F993">
        <f t="shared" si="45"/>
        <v>-0.13528686015977198</v>
      </c>
      <c r="G993" s="2">
        <f t="shared" si="46"/>
        <v>4.5591700086412841E-2</v>
      </c>
      <c r="M993">
        <v>0.99294186409633101</v>
      </c>
      <c r="N993">
        <v>0.99298313493193402</v>
      </c>
      <c r="O993" s="1">
        <v>8.0999304112652705E-10</v>
      </c>
      <c r="P993" s="2">
        <f t="shared" si="47"/>
        <v>2.1028351910308452</v>
      </c>
    </row>
    <row r="994" spans="2:16" x14ac:dyDescent="0.25">
      <c r="B994">
        <v>993</v>
      </c>
      <c r="C994">
        <v>-0.31217442223590502</v>
      </c>
      <c r="D994">
        <v>-0.17020672747198201</v>
      </c>
      <c r="E994">
        <v>0.38981147959328299</v>
      </c>
      <c r="F994">
        <f t="shared" si="45"/>
        <v>-0.14196769476392301</v>
      </c>
      <c r="G994" s="2">
        <f t="shared" si="46"/>
        <v>5.1704034928913137E-2</v>
      </c>
      <c r="M994">
        <v>0.54246165483682296</v>
      </c>
      <c r="N994">
        <v>0.54247062488411302</v>
      </c>
      <c r="O994" s="1">
        <v>4.2928566206823699E-10</v>
      </c>
      <c r="P994" s="2">
        <f t="shared" si="47"/>
        <v>0.18743171621018026</v>
      </c>
    </row>
    <row r="995" spans="2:16" x14ac:dyDescent="0.25">
      <c r="B995">
        <v>994</v>
      </c>
      <c r="C995">
        <v>-0.29622574817726199</v>
      </c>
      <c r="D995">
        <v>-0.15372939467324701</v>
      </c>
      <c r="E995">
        <v>0.35099877553271502</v>
      </c>
      <c r="F995">
        <f t="shared" si="45"/>
        <v>-0.14249635350401499</v>
      </c>
      <c r="G995" s="2">
        <f t="shared" si="46"/>
        <v>5.7849805120042785E-2</v>
      </c>
      <c r="M995">
        <v>0.99298568492128203</v>
      </c>
      <c r="N995">
        <v>0.99300158620533097</v>
      </c>
      <c r="O995" s="1">
        <v>1.1503507312425599E-9</v>
      </c>
      <c r="P995" s="2">
        <f t="shared" si="47"/>
        <v>0.21980325437949141</v>
      </c>
    </row>
    <row r="996" spans="2:16" x14ac:dyDescent="0.25">
      <c r="B996">
        <v>995</v>
      </c>
      <c r="C996">
        <v>-0.336005553840034</v>
      </c>
      <c r="D996">
        <v>-0.14367059812094499</v>
      </c>
      <c r="E996">
        <v>0.45159892884539099</v>
      </c>
      <c r="F996">
        <f t="shared" si="45"/>
        <v>-0.19233495571908901</v>
      </c>
      <c r="G996" s="2">
        <f t="shared" si="46"/>
        <v>8.1915019785462631E-2</v>
      </c>
      <c r="M996">
        <v>0.54244387969180197</v>
      </c>
      <c r="N996">
        <v>0.54246762347743105</v>
      </c>
      <c r="O996" s="1">
        <v>3.8694081383255701E-10</v>
      </c>
      <c r="P996" s="2">
        <f t="shared" si="47"/>
        <v>1.4569860191687543</v>
      </c>
    </row>
    <row r="997" spans="2:16" x14ac:dyDescent="0.25">
      <c r="B997">
        <v>996</v>
      </c>
      <c r="C997">
        <v>-0.34235046228364302</v>
      </c>
      <c r="D997">
        <v>-0.13215318455362399</v>
      </c>
      <c r="E997">
        <v>0.468815356103297</v>
      </c>
      <c r="F997">
        <f t="shared" si="45"/>
        <v>-0.21019727773001903</v>
      </c>
      <c r="G997" s="2">
        <f t="shared" si="46"/>
        <v>9.4243703816253979E-2</v>
      </c>
      <c r="M997">
        <v>0.99295928839187098</v>
      </c>
      <c r="N997">
        <v>0.99300528764520701</v>
      </c>
      <c r="O997" s="1">
        <v>1.32731554612814E-9</v>
      </c>
      <c r="P997" s="2">
        <f t="shared" si="47"/>
        <v>1.5941433923871884</v>
      </c>
    </row>
    <row r="998" spans="2:16" x14ac:dyDescent="0.25">
      <c r="B998">
        <v>997</v>
      </c>
      <c r="C998">
        <v>-0.30009391382665102</v>
      </c>
      <c r="D998">
        <v>-0.121842181249431</v>
      </c>
      <c r="E998">
        <v>0.360225428463189</v>
      </c>
      <c r="F998">
        <f t="shared" si="45"/>
        <v>-0.17825173257722002</v>
      </c>
      <c r="G998" s="2">
        <f t="shared" si="46"/>
        <v>8.8204989587590085E-2</v>
      </c>
      <c r="M998">
        <v>0.54245968884629503</v>
      </c>
      <c r="N998">
        <v>0.54249763109327498</v>
      </c>
      <c r="O998" s="1">
        <v>7.6365317894458903E-10</v>
      </c>
      <c r="P998" s="2">
        <f t="shared" si="47"/>
        <v>1.8851674367114075</v>
      </c>
    </row>
    <row r="999" spans="2:16" x14ac:dyDescent="0.25">
      <c r="B999">
        <v>998</v>
      </c>
      <c r="C999">
        <v>-0.295627480660065</v>
      </c>
      <c r="D999">
        <v>-0.10247605931314099</v>
      </c>
      <c r="E999">
        <v>0.34958242928566802</v>
      </c>
      <c r="F999">
        <f t="shared" si="45"/>
        <v>-0.19315142134692401</v>
      </c>
      <c r="G999" s="2">
        <f t="shared" si="46"/>
        <v>0.10672009930410561</v>
      </c>
      <c r="M999">
        <v>0.99292648872320899</v>
      </c>
      <c r="N999">
        <v>0.99296828274370597</v>
      </c>
      <c r="O999" s="1">
        <v>9.5630398019920995E-10</v>
      </c>
      <c r="P999" s="2">
        <f t="shared" si="47"/>
        <v>1.8265532565679137</v>
      </c>
    </row>
    <row r="1000" spans="2:16" x14ac:dyDescent="0.25">
      <c r="B1000">
        <v>999</v>
      </c>
      <c r="C1000">
        <v>-0.33577024346580697</v>
      </c>
      <c r="D1000">
        <v>-8.7356973104851701E-2</v>
      </c>
      <c r="E1000">
        <v>0.45096662558834899</v>
      </c>
      <c r="F1000">
        <f t="shared" si="45"/>
        <v>-0.24841327036095529</v>
      </c>
      <c r="G1000" s="2">
        <f t="shared" si="46"/>
        <v>0.13683751610425018</v>
      </c>
      <c r="M1000">
        <v>0.54245275797063996</v>
      </c>
      <c r="N1000">
        <v>0.54245327696828205</v>
      </c>
      <c r="O1000" s="1">
        <v>4.7054823881537997E-10</v>
      </c>
      <c r="P1000" s="2">
        <f t="shared" si="47"/>
        <v>5.7243557678139179E-4</v>
      </c>
    </row>
    <row r="1001" spans="2:16" x14ac:dyDescent="0.25">
      <c r="B1001">
        <v>1000</v>
      </c>
      <c r="C1001">
        <v>-0.31337193723215201</v>
      </c>
      <c r="D1001">
        <v>-7.9295389341371897E-2</v>
      </c>
      <c r="E1001">
        <v>0.39280788417852802</v>
      </c>
      <c r="F1001">
        <f t="shared" si="45"/>
        <v>-0.23407654789078011</v>
      </c>
      <c r="G1001" s="2">
        <f t="shared" si="46"/>
        <v>0.13948760317540426</v>
      </c>
      <c r="M1001">
        <v>0.99302191781243399</v>
      </c>
      <c r="N1001">
        <v>0.99302298073642903</v>
      </c>
      <c r="O1001" s="1">
        <v>1.60359125116967E-9</v>
      </c>
      <c r="P1001" s="2">
        <f t="shared" si="47"/>
        <v>7.0454825593158012E-4</v>
      </c>
    </row>
    <row r="1002" spans="2:16" x14ac:dyDescent="0.25">
      <c r="B1002">
        <v>1001</v>
      </c>
      <c r="C1002">
        <v>-0.29991620632702798</v>
      </c>
      <c r="D1002">
        <v>-7.3567429142170501E-2</v>
      </c>
      <c r="E1002">
        <v>0.35979892327038498</v>
      </c>
      <c r="F1002">
        <f t="shared" si="45"/>
        <v>-0.22634877718485746</v>
      </c>
      <c r="G1002" s="2">
        <f t="shared" si="46"/>
        <v>0.1423955593512953</v>
      </c>
      <c r="M1002">
        <v>0.54242426866475502</v>
      </c>
      <c r="N1002">
        <v>0.54246530968565798</v>
      </c>
      <c r="O1002" s="1">
        <v>6.8982693415773604E-10</v>
      </c>
      <c r="P1002" s="2">
        <f t="shared" si="47"/>
        <v>2.4417217034504781</v>
      </c>
    </row>
    <row r="1003" spans="2:16" x14ac:dyDescent="0.25">
      <c r="B1003">
        <v>1002</v>
      </c>
      <c r="C1003">
        <v>-0.28636114123976603</v>
      </c>
      <c r="D1003">
        <v>-6.9122631706331594E-2</v>
      </c>
      <c r="E1003">
        <v>0.32801081284856398</v>
      </c>
      <c r="F1003">
        <f t="shared" si="45"/>
        <v>-0.21723850953343443</v>
      </c>
      <c r="G1003" s="2">
        <f t="shared" si="46"/>
        <v>0.14387504367453868</v>
      </c>
      <c r="M1003">
        <v>0.992937598836792</v>
      </c>
      <c r="N1003">
        <v>0.99300814111768299</v>
      </c>
      <c r="O1003" s="1">
        <v>1.86017854002504E-9</v>
      </c>
      <c r="P1003" s="2">
        <f t="shared" si="47"/>
        <v>2.6751267613459775</v>
      </c>
    </row>
    <row r="1004" spans="2:16" x14ac:dyDescent="0.25">
      <c r="B1004">
        <v>1003</v>
      </c>
      <c r="C1004">
        <v>-0.29767986438521798</v>
      </c>
      <c r="D1004">
        <v>-6.2576569200937598E-2</v>
      </c>
      <c r="E1004">
        <v>0.35445320664160601</v>
      </c>
      <c r="F1004">
        <f t="shared" si="45"/>
        <v>-0.23510329518428039</v>
      </c>
      <c r="G1004" s="2">
        <f t="shared" si="46"/>
        <v>0.1559403565006959</v>
      </c>
      <c r="M1004">
        <v>0.54243390260132096</v>
      </c>
      <c r="N1004">
        <v>0.54248700891067603</v>
      </c>
      <c r="O1004" s="1">
        <v>8.8264841111260703E-10</v>
      </c>
      <c r="P1004" s="2">
        <f t="shared" si="47"/>
        <v>3.1952474595869651</v>
      </c>
    </row>
    <row r="1005" spans="2:16" x14ac:dyDescent="0.25">
      <c r="B1005">
        <v>1004</v>
      </c>
      <c r="C1005">
        <v>-0.31495070748056198</v>
      </c>
      <c r="D1005">
        <v>-6.3010359636244906E-2</v>
      </c>
      <c r="E1005">
        <v>0.39677579257002499</v>
      </c>
      <c r="F1005">
        <f t="shared" si="45"/>
        <v>-0.25194034784431707</v>
      </c>
      <c r="G1005" s="2">
        <f t="shared" si="46"/>
        <v>0.15997432318332092</v>
      </c>
      <c r="M1005">
        <v>0.99288761370524103</v>
      </c>
      <c r="N1005">
        <v>0.99298138145398696</v>
      </c>
      <c r="O1005" s="1">
        <v>2.4813763915435602E-9</v>
      </c>
      <c r="P1005" s="2">
        <f t="shared" si="47"/>
        <v>3.5433522841767617</v>
      </c>
    </row>
    <row r="1006" spans="2:16" x14ac:dyDescent="0.25">
      <c r="B1006">
        <v>1005</v>
      </c>
      <c r="C1006">
        <v>-0.30723219056523599</v>
      </c>
      <c r="D1006">
        <v>-5.51633558081462E-2</v>
      </c>
      <c r="E1006">
        <v>0.37756647567805401</v>
      </c>
      <c r="F1006">
        <f t="shared" si="45"/>
        <v>-0.2520688347570898</v>
      </c>
      <c r="G1006" s="2">
        <f t="shared" si="46"/>
        <v>0.16828479631749843</v>
      </c>
      <c r="M1006">
        <v>4.0692976435271797</v>
      </c>
      <c r="N1006">
        <v>4.0695428431546201</v>
      </c>
      <c r="O1006" s="1">
        <v>1.50745984248505E-7</v>
      </c>
      <c r="P1006" s="2">
        <f t="shared" si="47"/>
        <v>0.39883554840042451</v>
      </c>
    </row>
    <row r="1007" spans="2:16" x14ac:dyDescent="0.25">
      <c r="B1007">
        <v>1006</v>
      </c>
      <c r="C1007">
        <v>-0.31120287191825102</v>
      </c>
      <c r="D1007">
        <v>-5.8482718568269802E-2</v>
      </c>
      <c r="E1007">
        <v>0.38738890996066899</v>
      </c>
      <c r="F1007">
        <f t="shared" si="45"/>
        <v>-0.25272015334998121</v>
      </c>
      <c r="G1007" s="2">
        <f t="shared" si="46"/>
        <v>0.16486655726856608</v>
      </c>
      <c r="M1007">
        <v>1.90295079236336</v>
      </c>
      <c r="N1007">
        <v>1.9031188675149799</v>
      </c>
      <c r="O1007" s="1">
        <v>3.16771594474803E-8</v>
      </c>
      <c r="P1007" s="2">
        <f t="shared" si="47"/>
        <v>0.89178629286243261</v>
      </c>
    </row>
    <row r="1008" spans="2:16" x14ac:dyDescent="0.25">
      <c r="B1008">
        <v>1007</v>
      </c>
      <c r="C1008">
        <v>-0.31695587149604099</v>
      </c>
      <c r="D1008">
        <v>-5.0832456574256397E-2</v>
      </c>
      <c r="E1008">
        <v>0.40184409790325898</v>
      </c>
      <c r="F1008">
        <f t="shared" si="45"/>
        <v>-0.2661234149217846</v>
      </c>
      <c r="G1008" s="2">
        <f t="shared" si="46"/>
        <v>0.1762416627223479</v>
      </c>
      <c r="M1008">
        <v>4.0794823212416098</v>
      </c>
      <c r="N1008">
        <v>4.0797357086395998</v>
      </c>
      <c r="O1008" s="1">
        <v>1.2582764377007501E-7</v>
      </c>
      <c r="P1008" s="2">
        <f t="shared" si="47"/>
        <v>0.51026286065921</v>
      </c>
    </row>
    <row r="1009" spans="1:16" x14ac:dyDescent="0.25">
      <c r="B1009">
        <v>1008</v>
      </c>
      <c r="C1009">
        <v>-0.29110980356310601</v>
      </c>
      <c r="D1009">
        <v>-4.5993198074305797E-2</v>
      </c>
      <c r="E1009">
        <v>0.33897967092219999</v>
      </c>
      <c r="F1009">
        <f t="shared" si="45"/>
        <v>-0.24511660548880021</v>
      </c>
      <c r="G1009" s="2">
        <f t="shared" si="46"/>
        <v>0.17724411060668507</v>
      </c>
      <c r="M1009">
        <v>4.0701981630132398</v>
      </c>
      <c r="N1009">
        <v>4.0705853638434801</v>
      </c>
      <c r="O1009" s="1">
        <v>1.6887999543996299E-7</v>
      </c>
      <c r="P1009" s="2">
        <f t="shared" si="47"/>
        <v>0.8877575022917199</v>
      </c>
    </row>
    <row r="1010" spans="1:16" x14ac:dyDescent="0.25">
      <c r="B1010">
        <v>1009</v>
      </c>
      <c r="C1010">
        <v>-0.29848411418279502</v>
      </c>
      <c r="D1010">
        <v>-5.1412912421516598E-2</v>
      </c>
      <c r="E1010">
        <v>0.35637106567795102</v>
      </c>
      <c r="F1010">
        <f t="shared" si="45"/>
        <v>-0.24707120176127842</v>
      </c>
      <c r="G1010" s="2">
        <f t="shared" si="46"/>
        <v>0.17129386928097962</v>
      </c>
      <c r="M1010">
        <v>1.90321279853976</v>
      </c>
      <c r="N1010">
        <v>1.9034154075280201</v>
      </c>
      <c r="O1010" s="1">
        <v>4.3025784716003298E-8</v>
      </c>
      <c r="P1010" s="2">
        <f t="shared" si="47"/>
        <v>0.95408840058886413</v>
      </c>
    </row>
    <row r="1011" spans="1:16" x14ac:dyDescent="0.25">
      <c r="B1011">
        <v>1010</v>
      </c>
      <c r="C1011">
        <v>-0.300294775008698</v>
      </c>
      <c r="D1011">
        <v>-2.8825195089694299E-2</v>
      </c>
      <c r="E1011">
        <v>0.36070780759009802</v>
      </c>
      <c r="F1011">
        <f t="shared" si="45"/>
        <v>-0.27146957991900372</v>
      </c>
      <c r="G1011" s="2">
        <f t="shared" si="46"/>
        <v>0.20430867109243966</v>
      </c>
      <c r="M1011">
        <v>4.0796514048952703</v>
      </c>
      <c r="N1011">
        <v>4.0800928454602801</v>
      </c>
      <c r="O1011" s="1">
        <v>1.42615859086692E-7</v>
      </c>
      <c r="P1011" s="2">
        <f t="shared" si="47"/>
        <v>1.3663962316957048</v>
      </c>
    </row>
    <row r="1012" spans="1:16" x14ac:dyDescent="0.25">
      <c r="B1012">
        <v>1011</v>
      </c>
      <c r="C1012">
        <v>-0.29166197401907701</v>
      </c>
      <c r="D1012">
        <v>-2.7448949806886801E-2</v>
      </c>
      <c r="E1012">
        <v>0.34026682835481997</v>
      </c>
      <c r="F1012">
        <f t="shared" si="45"/>
        <v>-0.26421302421219023</v>
      </c>
      <c r="G1012" s="2">
        <f t="shared" si="46"/>
        <v>0.20515817689568375</v>
      </c>
      <c r="M1012">
        <v>4.0709676266672696</v>
      </c>
      <c r="N1012">
        <v>4.0708536707242899</v>
      </c>
      <c r="O1012" s="1">
        <v>5.6130184292099E-8</v>
      </c>
      <c r="P1012" s="2">
        <f t="shared" si="47"/>
        <v>0.23135425447407679</v>
      </c>
    </row>
    <row r="1013" spans="1:16" x14ac:dyDescent="0.25">
      <c r="B1013">
        <v>1012</v>
      </c>
      <c r="C1013">
        <v>-0.31069463541139503</v>
      </c>
      <c r="D1013">
        <v>-2.7178527799215799E-2</v>
      </c>
      <c r="E1013">
        <v>0.38612462589367802</v>
      </c>
      <c r="F1013">
        <f t="shared" si="45"/>
        <v>-0.28351610761217921</v>
      </c>
      <c r="G1013" s="2">
        <f t="shared" si="46"/>
        <v>0.20817471325357614</v>
      </c>
      <c r="M1013">
        <v>1.90352805027786</v>
      </c>
      <c r="N1013">
        <v>1.9034917213204601</v>
      </c>
      <c r="O1013" s="1">
        <v>1.5869542499471101E-8</v>
      </c>
      <c r="P1013" s="2">
        <f t="shared" si="47"/>
        <v>8.3165166595607257E-2</v>
      </c>
    </row>
    <row r="1014" spans="1:16" x14ac:dyDescent="0.25">
      <c r="B1014">
        <v>1013</v>
      </c>
      <c r="C1014">
        <v>-0.314699745877976</v>
      </c>
      <c r="D1014">
        <v>-1.3788305170866299E-2</v>
      </c>
      <c r="E1014">
        <v>0.39614372022265099</v>
      </c>
      <c r="F1014">
        <f t="shared" si="45"/>
        <v>-0.30091144070710968</v>
      </c>
      <c r="G1014" s="2">
        <f t="shared" si="46"/>
        <v>0.2285728399216739</v>
      </c>
      <c r="M1014">
        <v>4.08045140833815</v>
      </c>
      <c r="N1014">
        <v>4.08018474973733</v>
      </c>
      <c r="O1014" s="1">
        <v>7.5427360191855001E-8</v>
      </c>
      <c r="P1014" s="2">
        <f t="shared" si="47"/>
        <v>0.94271905062571593</v>
      </c>
    </row>
    <row r="1015" spans="1:16" x14ac:dyDescent="0.25">
      <c r="B1015">
        <v>1014</v>
      </c>
      <c r="C1015">
        <v>-0.294691637283999</v>
      </c>
      <c r="D1015">
        <v>-1.7806216384311801E-2</v>
      </c>
      <c r="E1015">
        <v>0.34737264434049703</v>
      </c>
      <c r="F1015">
        <f t="shared" si="45"/>
        <v>-0.27688542089968721</v>
      </c>
      <c r="G1015" s="2">
        <f t="shared" si="46"/>
        <v>0.22070113336745326</v>
      </c>
      <c r="M1015">
        <v>4.0719236321364098</v>
      </c>
      <c r="N1015">
        <v>4.0715989877140499</v>
      </c>
      <c r="O1015" s="1">
        <v>8.3575590113666304E-8</v>
      </c>
      <c r="P1015" s="2">
        <f t="shared" si="47"/>
        <v>1.2610620017885521</v>
      </c>
    </row>
    <row r="1016" spans="1:16" x14ac:dyDescent="0.25">
      <c r="B1016" s="57">
        <v>1015</v>
      </c>
      <c r="C1016">
        <v>-0.13084511827576401</v>
      </c>
      <c r="D1016">
        <v>-6.7579282216126496E-2</v>
      </c>
      <c r="E1016">
        <v>6.8481779906394605E-2</v>
      </c>
      <c r="F1016">
        <f t="shared" si="45"/>
        <v>-6.3265836059637509E-2</v>
      </c>
      <c r="G1016" s="2">
        <f t="shared" si="46"/>
        <v>5.8447166790873431E-2</v>
      </c>
      <c r="M1016">
        <v>1.9038107216622799</v>
      </c>
      <c r="N1016">
        <v>1.9037036994561001</v>
      </c>
      <c r="O1016" s="1">
        <v>1.84874282936429E-8</v>
      </c>
      <c r="P1016" s="2">
        <f t="shared" si="47"/>
        <v>0.61954277434810279</v>
      </c>
    </row>
    <row r="1017" spans="1:16" x14ac:dyDescent="0.25">
      <c r="A1017" t="s">
        <v>126</v>
      </c>
      <c r="B1017">
        <v>1016</v>
      </c>
      <c r="C1017">
        <v>-0.138533052682251</v>
      </c>
      <c r="D1017">
        <v>-4.8993510484508701E-2</v>
      </c>
      <c r="E1017">
        <v>7.6765626741853499E-2</v>
      </c>
      <c r="F1017">
        <f t="shared" si="45"/>
        <v>-8.9539542197742295E-2</v>
      </c>
      <c r="G1017" s="2">
        <f t="shared" si="46"/>
        <v>0.10443905634929355</v>
      </c>
      <c r="M1017">
        <v>4.08083787675191</v>
      </c>
      <c r="N1017">
        <v>4.0804400253601703</v>
      </c>
      <c r="O1017" s="1">
        <v>9.9971681350317803E-8</v>
      </c>
      <c r="P1017" s="2">
        <f t="shared" si="47"/>
        <v>1.5833056698786621</v>
      </c>
    </row>
    <row r="1018" spans="1:16" x14ac:dyDescent="0.25">
      <c r="B1018">
        <v>1017</v>
      </c>
      <c r="C1018">
        <v>-1.38242627462503E-2</v>
      </c>
      <c r="D1018">
        <v>-4.3652941114069803E-2</v>
      </c>
      <c r="E1018" s="1">
        <v>7.6444096190945901E-4</v>
      </c>
      <c r="F1018">
        <f t="shared" si="45"/>
        <v>2.9828678367819501E-2</v>
      </c>
      <c r="G1018" s="2">
        <f t="shared" si="46"/>
        <v>1.1639225231316237</v>
      </c>
      <c r="M1018">
        <v>4.0724996556877597</v>
      </c>
      <c r="N1018">
        <v>4.0725820824374903</v>
      </c>
      <c r="O1018" s="1">
        <v>1.06255042535668E-7</v>
      </c>
      <c r="P1018" s="2">
        <f t="shared" si="47"/>
        <v>6.3942086031982329E-2</v>
      </c>
    </row>
    <row r="1019" spans="1:16" x14ac:dyDescent="0.25">
      <c r="B1019">
        <v>1018</v>
      </c>
      <c r="C1019">
        <v>-3.79514735610623E-2</v>
      </c>
      <c r="D1019">
        <v>-2.70458197742535E-2</v>
      </c>
      <c r="E1019">
        <v>5.7612573818240503E-3</v>
      </c>
      <c r="F1019">
        <f t="shared" si="45"/>
        <v>-1.09056537868088E-2</v>
      </c>
      <c r="G1019" s="2">
        <f t="shared" si="46"/>
        <v>2.0643633261890844E-2</v>
      </c>
      <c r="M1019">
        <v>1.9038577537296799</v>
      </c>
      <c r="N1019">
        <v>1.9039832815181299</v>
      </c>
      <c r="O1019" s="1">
        <v>3.98808152488101E-8</v>
      </c>
      <c r="P1019" s="2">
        <f t="shared" si="47"/>
        <v>0.3951079127855745</v>
      </c>
    </row>
    <row r="1020" spans="1:16" x14ac:dyDescent="0.25">
      <c r="B1020">
        <v>1019</v>
      </c>
      <c r="C1020">
        <v>-9.5706914083271602E-2</v>
      </c>
      <c r="D1020">
        <v>-6.4137177121084396E-2</v>
      </c>
      <c r="E1020">
        <v>3.6639253613370899E-2</v>
      </c>
      <c r="F1020">
        <f t="shared" si="45"/>
        <v>-3.1569736962187206E-2</v>
      </c>
      <c r="G1020" s="2">
        <f t="shared" si="46"/>
        <v>2.7201653788547112E-2</v>
      </c>
      <c r="M1020">
        <v>4.0807037989324497</v>
      </c>
      <c r="N1020">
        <v>4.0807766942691996</v>
      </c>
      <c r="O1020" s="1">
        <v>1.37777658476783E-7</v>
      </c>
      <c r="P1020" s="2">
        <f t="shared" si="47"/>
        <v>3.8567429426738971E-2</v>
      </c>
    </row>
    <row r="1021" spans="1:16" x14ac:dyDescent="0.25">
      <c r="B1021">
        <v>1020</v>
      </c>
      <c r="C1021">
        <v>-4.8420308499718602E-2</v>
      </c>
      <c r="D1021">
        <v>-5.4874055226489603E-2</v>
      </c>
      <c r="E1021">
        <v>9.3781051008316896E-3</v>
      </c>
      <c r="F1021">
        <f t="shared" si="45"/>
        <v>6.4537467267710008E-3</v>
      </c>
      <c r="G1021" s="2">
        <f t="shared" si="46"/>
        <v>4.4412859917312758E-3</v>
      </c>
      <c r="M1021">
        <v>4.0730520392045504</v>
      </c>
      <c r="N1021">
        <v>4.0726394772832597</v>
      </c>
      <c r="O1021" s="1">
        <v>1.26974723486436E-7</v>
      </c>
      <c r="P1021" s="2">
        <f t="shared" si="47"/>
        <v>1.3404820599372791</v>
      </c>
    </row>
    <row r="1022" spans="1:16" x14ac:dyDescent="0.25">
      <c r="B1022">
        <v>1021</v>
      </c>
      <c r="C1022">
        <v>-6.5711103055455897E-2</v>
      </c>
      <c r="D1022">
        <v>-6.58456787723746E-2</v>
      </c>
      <c r="E1022">
        <v>1.7271796259058999E-2</v>
      </c>
      <c r="F1022">
        <f t="shared" si="45"/>
        <v>1.3457571691870285E-4</v>
      </c>
      <c r="G1022" s="2">
        <f t="shared" si="46"/>
        <v>1.0485663050062834E-6</v>
      </c>
      <c r="M1022">
        <v>1.9043665234271601</v>
      </c>
      <c r="N1022">
        <v>1.9039996032071</v>
      </c>
      <c r="O1022" s="1">
        <v>3.5401218802431399E-8</v>
      </c>
      <c r="P1022" s="2">
        <f t="shared" si="47"/>
        <v>3.8029890620501989</v>
      </c>
    </row>
    <row r="1023" spans="1:16" x14ac:dyDescent="0.25">
      <c r="B1023">
        <v>1022</v>
      </c>
      <c r="C1023">
        <v>-3.3525875197196603E-2</v>
      </c>
      <c r="D1023">
        <v>-4.3507295092533101E-2</v>
      </c>
      <c r="E1023">
        <v>4.4959372309519999E-3</v>
      </c>
      <c r="F1023">
        <f t="shared" si="45"/>
        <v>9.9814198953364977E-3</v>
      </c>
      <c r="G1023" s="2">
        <f t="shared" si="46"/>
        <v>2.2159727329183199E-2</v>
      </c>
      <c r="M1023">
        <v>4.0810638083802102</v>
      </c>
      <c r="N1023">
        <v>4.0807963479553999</v>
      </c>
      <c r="O1023" s="1">
        <v>9.8767139129631406E-8</v>
      </c>
      <c r="P1023" s="2">
        <f t="shared" si="47"/>
        <v>0.72428015502012388</v>
      </c>
    </row>
    <row r="1024" spans="1:16" x14ac:dyDescent="0.25">
      <c r="B1024">
        <v>1023</v>
      </c>
      <c r="C1024">
        <v>-0.118774346595326</v>
      </c>
      <c r="D1024">
        <v>-4.7018573785546101E-2</v>
      </c>
      <c r="E1024">
        <v>5.6429381636586902E-2</v>
      </c>
      <c r="F1024">
        <f t="shared" si="45"/>
        <v>-7.1755772809779905E-2</v>
      </c>
      <c r="G1024" s="2">
        <f t="shared" si="46"/>
        <v>9.1244858302512069E-2</v>
      </c>
      <c r="M1024">
        <v>4.0734595180636797</v>
      </c>
      <c r="N1024">
        <v>4.0735783026867098</v>
      </c>
      <c r="O1024" s="1">
        <v>5.9564518207786403E-8</v>
      </c>
      <c r="P1024" s="2">
        <f t="shared" si="47"/>
        <v>0.236882410753289</v>
      </c>
    </row>
    <row r="1025" spans="2:16" x14ac:dyDescent="0.25">
      <c r="B1025">
        <v>1024</v>
      </c>
      <c r="C1025">
        <v>-3.7069933900862502E-2</v>
      </c>
      <c r="D1025">
        <v>-3.9102751712643997E-2</v>
      </c>
      <c r="E1025">
        <v>5.49671999765725E-3</v>
      </c>
      <c r="F1025">
        <f t="shared" si="45"/>
        <v>2.0328178117814955E-3</v>
      </c>
      <c r="G1025" s="2">
        <f t="shared" si="46"/>
        <v>7.5178438371562495E-4</v>
      </c>
      <c r="M1025">
        <v>1.9043648277844401</v>
      </c>
      <c r="N1025">
        <v>1.9042665693774199</v>
      </c>
      <c r="O1025" s="1">
        <v>2.2341947758455501E-8</v>
      </c>
      <c r="P1025" s="2">
        <f t="shared" si="47"/>
        <v>0.43213396855630165</v>
      </c>
    </row>
    <row r="1026" spans="2:16" x14ac:dyDescent="0.25">
      <c r="B1026">
        <v>1025</v>
      </c>
      <c r="C1026">
        <v>-0.13150864748059801</v>
      </c>
      <c r="D1026">
        <v>-4.0333642366856E-2</v>
      </c>
      <c r="E1026">
        <v>6.9178097448705206E-2</v>
      </c>
      <c r="F1026">
        <f t="shared" si="45"/>
        <v>-9.1175005113742019E-2</v>
      </c>
      <c r="G1026" s="2">
        <f t="shared" si="46"/>
        <v>0.12016638017046931</v>
      </c>
      <c r="M1026">
        <v>4.0809175057445</v>
      </c>
      <c r="N1026">
        <v>4.08111780355497</v>
      </c>
      <c r="O1026" s="1">
        <v>8.6717637628903702E-8</v>
      </c>
      <c r="P1026" s="2">
        <f t="shared" si="47"/>
        <v>0.46264190280156048</v>
      </c>
    </row>
    <row r="1027" spans="2:16" x14ac:dyDescent="0.25">
      <c r="B1027">
        <v>1026</v>
      </c>
      <c r="C1027">
        <v>-0.105738912257451</v>
      </c>
      <c r="D1027">
        <v>-1.9197386735154202E-2</v>
      </c>
      <c r="E1027">
        <v>4.47228702615554E-2</v>
      </c>
      <c r="F1027">
        <f t="shared" ref="F1027:F1090" si="48">C1027-D1027</f>
        <v>-8.6541525522296797E-2</v>
      </c>
      <c r="G1027" s="2">
        <f t="shared" ref="G1027:G1090" si="49">F1027^2/E1027</f>
        <v>0.16746321503797587</v>
      </c>
      <c r="M1027">
        <v>4.0743316797656002</v>
      </c>
      <c r="N1027">
        <v>4.07455992412154</v>
      </c>
      <c r="O1027" s="1">
        <v>1.06806983752231E-7</v>
      </c>
      <c r="P1027" s="2">
        <f t="shared" ref="P1027:P1090" si="50">(M1027-N1027)^2/O1027</f>
        <v>0.48775355494762634</v>
      </c>
    </row>
    <row r="1028" spans="2:16" x14ac:dyDescent="0.25">
      <c r="B1028">
        <v>1027</v>
      </c>
      <c r="C1028">
        <v>-7.3787809370933405E-2</v>
      </c>
      <c r="D1028">
        <v>-1.7456666896389399E-2</v>
      </c>
      <c r="E1028">
        <v>2.1778563247044799E-2</v>
      </c>
      <c r="F1028">
        <f t="shared" si="48"/>
        <v>-5.6331142474544002E-2</v>
      </c>
      <c r="G1028" s="2">
        <f t="shared" si="49"/>
        <v>0.14570279850384329</v>
      </c>
      <c r="M1028">
        <v>1.90453360519495</v>
      </c>
      <c r="N1028">
        <v>1.90454567933495</v>
      </c>
      <c r="O1028" s="1">
        <v>3.3318254202877602E-8</v>
      </c>
      <c r="P1028" s="2">
        <f t="shared" si="50"/>
        <v>4.3755250756199113E-3</v>
      </c>
    </row>
    <row r="1029" spans="2:16" x14ac:dyDescent="0.25">
      <c r="B1029">
        <v>1028</v>
      </c>
      <c r="C1029">
        <v>-4.2703110581494702E-2</v>
      </c>
      <c r="D1029">
        <v>2.9164998784462701E-3</v>
      </c>
      <c r="E1029">
        <v>7.2942226133414501E-3</v>
      </c>
      <c r="F1029">
        <f t="shared" si="48"/>
        <v>-4.5619610459940972E-2</v>
      </c>
      <c r="G1029" s="2">
        <f t="shared" si="49"/>
        <v>0.28531468928714132</v>
      </c>
      <c r="M1029">
        <v>4.0811720759990902</v>
      </c>
      <c r="N1029">
        <v>4.08145386044907</v>
      </c>
      <c r="O1029" s="1">
        <v>1.01884218395937E-7</v>
      </c>
      <c r="P1029" s="2">
        <f t="shared" si="50"/>
        <v>0.77934028940449196</v>
      </c>
    </row>
    <row r="1030" spans="2:16" x14ac:dyDescent="0.25">
      <c r="B1030">
        <v>1029</v>
      </c>
      <c r="C1030">
        <v>-5.7139567301060401E-2</v>
      </c>
      <c r="D1030">
        <v>-2.4489604053977401E-2</v>
      </c>
      <c r="E1030">
        <v>1.30597206054096E-2</v>
      </c>
      <c r="F1030">
        <f t="shared" si="48"/>
        <v>-3.2649963247082997E-2</v>
      </c>
      <c r="G1030" s="2">
        <f t="shared" si="49"/>
        <v>8.162656248513489E-2</v>
      </c>
      <c r="M1030">
        <v>4.0756660446213804</v>
      </c>
      <c r="N1030">
        <v>4.0753469882632301</v>
      </c>
      <c r="O1030" s="1">
        <v>6.8059451220035505E-8</v>
      </c>
      <c r="P1030" s="2">
        <f t="shared" si="50"/>
        <v>1.4957064426958304</v>
      </c>
    </row>
    <row r="1031" spans="2:16" x14ac:dyDescent="0.25">
      <c r="B1031">
        <v>1030</v>
      </c>
      <c r="C1031">
        <v>-7.3853786458108403E-2</v>
      </c>
      <c r="D1031">
        <v>-5.5676698385194803E-3</v>
      </c>
      <c r="E1031">
        <v>2.1817527096799499E-2</v>
      </c>
      <c r="F1031">
        <f t="shared" si="48"/>
        <v>-6.8286116619588916E-2</v>
      </c>
      <c r="G1031" s="2">
        <f t="shared" si="49"/>
        <v>0.21372695916890283</v>
      </c>
      <c r="M1031">
        <v>1.90495177153972</v>
      </c>
      <c r="N1031">
        <v>1.90476945069411</v>
      </c>
      <c r="O1031" s="1">
        <v>2.7521231020322802E-8</v>
      </c>
      <c r="P1031" s="2">
        <f t="shared" si="50"/>
        <v>1.2078271760225179</v>
      </c>
    </row>
    <row r="1032" spans="2:16" x14ac:dyDescent="0.25">
      <c r="B1032">
        <v>1031</v>
      </c>
      <c r="C1032">
        <v>-6.1820582624844099E-2</v>
      </c>
      <c r="D1032">
        <v>-2.8596391236160802E-2</v>
      </c>
      <c r="E1032">
        <v>1.52871377443007E-2</v>
      </c>
      <c r="F1032">
        <f t="shared" si="48"/>
        <v>-3.3224191388683294E-2</v>
      </c>
      <c r="G1032" s="2">
        <f t="shared" si="49"/>
        <v>7.2207558530267682E-2</v>
      </c>
      <c r="M1032">
        <v>4.0822373138482</v>
      </c>
      <c r="N1032">
        <v>4.0817232723986798</v>
      </c>
      <c r="O1032" s="1">
        <v>7.6475404809423902E-8</v>
      </c>
      <c r="P1032" s="2">
        <f t="shared" si="50"/>
        <v>3.4552103710110691</v>
      </c>
    </row>
    <row r="1033" spans="2:16" x14ac:dyDescent="0.25">
      <c r="B1033">
        <v>1032</v>
      </c>
      <c r="C1033">
        <v>-8.8865298760092901E-2</v>
      </c>
      <c r="D1033">
        <v>-1.6338902262488599E-2</v>
      </c>
      <c r="E1033">
        <v>3.1588165294882301E-2</v>
      </c>
      <c r="F1033">
        <f t="shared" si="48"/>
        <v>-7.2526396497604298E-2</v>
      </c>
      <c r="G1033" s="2">
        <f t="shared" si="49"/>
        <v>0.16652053513788315</v>
      </c>
      <c r="M1033">
        <v>4.0758610743641697</v>
      </c>
      <c r="N1033">
        <v>4.0761764951672097</v>
      </c>
      <c r="O1033" s="1">
        <v>6.1724525423959805E-8</v>
      </c>
      <c r="P1033" s="2">
        <f t="shared" si="50"/>
        <v>1.6118436279106731</v>
      </c>
    </row>
    <row r="1034" spans="2:16" x14ac:dyDescent="0.25">
      <c r="B1034">
        <v>1033</v>
      </c>
      <c r="C1034">
        <v>1.0017166329582E-2</v>
      </c>
      <c r="D1034">
        <v>-2.08103628692386E-2</v>
      </c>
      <c r="E1034" s="1">
        <v>4.0137448509804498E-4</v>
      </c>
      <c r="F1034">
        <f t="shared" si="48"/>
        <v>3.0827529198820598E-2</v>
      </c>
      <c r="G1034" s="2">
        <f t="shared" si="49"/>
        <v>2.3677054516108442</v>
      </c>
      <c r="M1034">
        <v>1.90494661658168</v>
      </c>
      <c r="N1034">
        <v>1.90500527069502</v>
      </c>
      <c r="O1034" s="1">
        <v>9.8830609094938392E-9</v>
      </c>
      <c r="P1034" s="2">
        <f t="shared" si="50"/>
        <v>0.34810116452917123</v>
      </c>
    </row>
    <row r="1035" spans="2:16" x14ac:dyDescent="0.25">
      <c r="B1035">
        <v>1034</v>
      </c>
      <c r="C1035">
        <v>-0.322228107663037</v>
      </c>
      <c r="D1035">
        <v>-0.32291701353010599</v>
      </c>
      <c r="E1035">
        <v>0.41532381347240799</v>
      </c>
      <c r="F1035">
        <f t="shared" si="48"/>
        <v>6.889058670689896E-4</v>
      </c>
      <c r="G1035" s="2">
        <f t="shared" si="49"/>
        <v>1.1427018588559834E-6</v>
      </c>
      <c r="M1035">
        <v>4.0816946693417799</v>
      </c>
      <c r="N1035">
        <v>4.0820071754327198</v>
      </c>
      <c r="O1035" s="1">
        <v>5.6942777955894099E-8</v>
      </c>
      <c r="P1035" s="2">
        <f t="shared" si="50"/>
        <v>1.7150560682197296</v>
      </c>
    </row>
    <row r="1036" spans="2:16" x14ac:dyDescent="0.25">
      <c r="B1036">
        <v>1035</v>
      </c>
      <c r="C1036">
        <v>-0.34527634036793098</v>
      </c>
      <c r="D1036">
        <v>-0.31513899028708198</v>
      </c>
      <c r="E1036">
        <v>0.47686300487148597</v>
      </c>
      <c r="F1036">
        <f t="shared" si="48"/>
        <v>-3.0137350080849001E-2</v>
      </c>
      <c r="G1036" s="2">
        <f t="shared" si="49"/>
        <v>1.9046557619633846E-3</v>
      </c>
      <c r="M1036">
        <v>4.0762440625198204</v>
      </c>
      <c r="N1036">
        <v>4.0767801341421102</v>
      </c>
      <c r="O1036" s="1">
        <v>9.2618772642427702E-8</v>
      </c>
      <c r="P1036" s="2">
        <f t="shared" si="50"/>
        <v>3.1027487843508541</v>
      </c>
    </row>
    <row r="1037" spans="2:16" x14ac:dyDescent="0.25">
      <c r="B1037">
        <v>1036</v>
      </c>
      <c r="C1037">
        <v>-0.308856984915585</v>
      </c>
      <c r="D1037">
        <v>-0.30149599077869799</v>
      </c>
      <c r="E1037">
        <v>0.381570548524584</v>
      </c>
      <c r="F1037">
        <f t="shared" si="48"/>
        <v>-7.3609941368870113E-3</v>
      </c>
      <c r="G1037" s="2">
        <f t="shared" si="49"/>
        <v>1.4200318890647808E-4</v>
      </c>
      <c r="M1037">
        <v>1.90487674782774</v>
      </c>
      <c r="N1037">
        <v>1.9051768670257401</v>
      </c>
      <c r="O1037" s="1">
        <v>2.95964600454628E-8</v>
      </c>
      <c r="P1037" s="2">
        <f t="shared" si="50"/>
        <v>3.0433211563094931</v>
      </c>
    </row>
    <row r="1038" spans="2:16" x14ac:dyDescent="0.25">
      <c r="B1038">
        <v>1037</v>
      </c>
      <c r="C1038">
        <v>-0.29785168905975401</v>
      </c>
      <c r="D1038">
        <v>-0.290179935316138</v>
      </c>
      <c r="E1038">
        <v>0.35486251470299301</v>
      </c>
      <c r="F1038">
        <f t="shared" si="48"/>
        <v>-7.6717537436160055E-3</v>
      </c>
      <c r="G1038" s="2">
        <f t="shared" si="49"/>
        <v>1.658552342502176E-4</v>
      </c>
      <c r="M1038">
        <v>4.0815601353368001</v>
      </c>
      <c r="N1038">
        <v>4.0822137500918201</v>
      </c>
      <c r="O1038" s="1">
        <v>8.6195266313339904E-8</v>
      </c>
      <c r="P1038" s="2">
        <f t="shared" si="50"/>
        <v>4.9563307389394069</v>
      </c>
    </row>
    <row r="1039" spans="2:16" x14ac:dyDescent="0.25">
      <c r="B1039">
        <v>1038</v>
      </c>
      <c r="C1039">
        <v>-0.33535956705790398</v>
      </c>
      <c r="D1039">
        <v>-0.267570741075005</v>
      </c>
      <c r="E1039">
        <v>0.44986415686905901</v>
      </c>
      <c r="F1039">
        <f t="shared" si="48"/>
        <v>-6.7788825982898981E-2</v>
      </c>
      <c r="G1039" s="2">
        <f t="shared" si="49"/>
        <v>1.0214916787596642E-2</v>
      </c>
      <c r="M1039">
        <v>4.0772658981429899</v>
      </c>
      <c r="N1039">
        <v>4.0776565442685504</v>
      </c>
      <c r="O1039" s="1">
        <v>1.0474142362188001E-7</v>
      </c>
      <c r="P1039" s="2">
        <f t="shared" si="50"/>
        <v>1.45696315878174</v>
      </c>
    </row>
    <row r="1040" spans="2:16" x14ac:dyDescent="0.25">
      <c r="B1040">
        <v>1039</v>
      </c>
      <c r="C1040">
        <v>-0.34078575011328499</v>
      </c>
      <c r="D1040">
        <v>-0.253776557877123</v>
      </c>
      <c r="E1040">
        <v>0.464539709921097</v>
      </c>
      <c r="F1040">
        <f t="shared" si="48"/>
        <v>-8.7009192236161992E-2</v>
      </c>
      <c r="G1040" s="2">
        <f t="shared" si="49"/>
        <v>1.6296991133169809E-2</v>
      </c>
      <c r="M1040">
        <v>1.9051750216624601</v>
      </c>
      <c r="N1040">
        <v>1.9054259862429599</v>
      </c>
      <c r="O1040" s="1">
        <v>2.7387385624681401E-8</v>
      </c>
      <c r="P1040" s="2">
        <f t="shared" si="50"/>
        <v>2.299716428890171</v>
      </c>
    </row>
    <row r="1041" spans="2:16" x14ac:dyDescent="0.25">
      <c r="B1041">
        <v>1040</v>
      </c>
      <c r="C1041">
        <v>-0.294412537144778</v>
      </c>
      <c r="D1041">
        <v>-0.21876109366270599</v>
      </c>
      <c r="E1041">
        <v>0.34671496811210201</v>
      </c>
      <c r="F1041">
        <f t="shared" si="48"/>
        <v>-7.5651443482072006E-2</v>
      </c>
      <c r="G1041" s="2">
        <f t="shared" si="49"/>
        <v>1.6506760386158736E-2</v>
      </c>
      <c r="M1041">
        <v>4.0821667898406</v>
      </c>
      <c r="N1041">
        <v>4.0825136354535996</v>
      </c>
      <c r="O1041" s="1">
        <v>9.1954741146758403E-8</v>
      </c>
      <c r="P1041" s="2">
        <f t="shared" si="50"/>
        <v>1.3082727193484722</v>
      </c>
    </row>
    <row r="1042" spans="2:16" x14ac:dyDescent="0.25">
      <c r="B1042">
        <v>1041</v>
      </c>
      <c r="C1042">
        <v>-0.34127379306967898</v>
      </c>
      <c r="D1042">
        <v>-0.21809419485241999</v>
      </c>
      <c r="E1042">
        <v>0.46587120734466397</v>
      </c>
      <c r="F1042">
        <f t="shared" si="48"/>
        <v>-0.12317959821725899</v>
      </c>
      <c r="G1042" s="2">
        <f t="shared" si="49"/>
        <v>3.2569545354494953E-2</v>
      </c>
      <c r="M1042">
        <v>4.0776494974397801</v>
      </c>
      <c r="N1042">
        <v>4.0776665265376497</v>
      </c>
      <c r="O1042" s="1">
        <v>1.0283687471455E-7</v>
      </c>
      <c r="P1042" s="2">
        <f t="shared" si="50"/>
        <v>2.8199045824511965E-3</v>
      </c>
    </row>
    <row r="1043" spans="2:16" x14ac:dyDescent="0.25">
      <c r="B1043">
        <v>1042</v>
      </c>
      <c r="C1043">
        <v>-0.308689876780539</v>
      </c>
      <c r="D1043">
        <v>-0.19774350495337001</v>
      </c>
      <c r="E1043">
        <v>0.38115776010713798</v>
      </c>
      <c r="F1043">
        <f t="shared" si="48"/>
        <v>-0.11094637182716899</v>
      </c>
      <c r="G1043" s="2">
        <f t="shared" si="49"/>
        <v>3.2293970397329771E-2</v>
      </c>
      <c r="M1043">
        <v>1.9056369948838601</v>
      </c>
      <c r="N1043">
        <v>1.9054288235780299</v>
      </c>
      <c r="O1043" s="1">
        <v>1.8205149134361201E-8</v>
      </c>
      <c r="P1043" s="2">
        <f t="shared" si="50"/>
        <v>2.3803865736670504</v>
      </c>
    </row>
    <row r="1044" spans="2:16" x14ac:dyDescent="0.25">
      <c r="B1044">
        <v>1043</v>
      </c>
      <c r="C1044">
        <v>-0.32310747908804399</v>
      </c>
      <c r="D1044">
        <v>-0.18151455451387799</v>
      </c>
      <c r="E1044">
        <v>0.41759377217052401</v>
      </c>
      <c r="F1044">
        <f t="shared" si="48"/>
        <v>-0.141592924574166</v>
      </c>
      <c r="G1044" s="2">
        <f t="shared" si="49"/>
        <v>4.8009710933329369E-2</v>
      </c>
      <c r="M1044">
        <v>4.08242728664694</v>
      </c>
      <c r="N1044">
        <v>4.0825170508890301</v>
      </c>
      <c r="O1044" s="1">
        <v>9.5779988015306598E-8</v>
      </c>
      <c r="P1044" s="2">
        <f t="shared" si="50"/>
        <v>8.4126332911167639E-2</v>
      </c>
    </row>
    <row r="1045" spans="2:16" x14ac:dyDescent="0.25">
      <c r="B1045">
        <v>1044</v>
      </c>
      <c r="C1045">
        <v>-0.35722653460460202</v>
      </c>
      <c r="D1045">
        <v>-0.17338059215569401</v>
      </c>
      <c r="E1045">
        <v>0.51044318810245204</v>
      </c>
      <c r="F1045">
        <f t="shared" si="48"/>
        <v>-0.18384594244890801</v>
      </c>
      <c r="G1045" s="2">
        <f t="shared" si="49"/>
        <v>6.6215656007820534E-2</v>
      </c>
      <c r="M1045">
        <v>4.0779844388798399</v>
      </c>
      <c r="N1045">
        <v>4.0777633285608896</v>
      </c>
      <c r="O1045" s="1">
        <v>6.9810845336833804E-8</v>
      </c>
      <c r="P1045" s="2">
        <f t="shared" si="50"/>
        <v>0.70031773588156776</v>
      </c>
    </row>
    <row r="1046" spans="2:16" x14ac:dyDescent="0.25">
      <c r="B1046">
        <v>1045</v>
      </c>
      <c r="C1046">
        <v>-0.30802127935056201</v>
      </c>
      <c r="D1046">
        <v>-0.158944180640853</v>
      </c>
      <c r="E1046">
        <v>0.37950843413102803</v>
      </c>
      <c r="F1046">
        <f t="shared" si="48"/>
        <v>-0.14907709870970901</v>
      </c>
      <c r="G1046" s="2">
        <f t="shared" si="49"/>
        <v>5.8559914249577211E-2</v>
      </c>
      <c r="M1046">
        <v>1.9055767144786999</v>
      </c>
      <c r="N1046">
        <v>1.9054563382005201</v>
      </c>
      <c r="O1046" s="1">
        <v>1.8618074551443799E-8</v>
      </c>
      <c r="P1046" s="2">
        <f t="shared" si="50"/>
        <v>0.77830004968520616</v>
      </c>
    </row>
    <row r="1047" spans="2:16" x14ac:dyDescent="0.25">
      <c r="B1047">
        <v>1046</v>
      </c>
      <c r="C1047">
        <v>-0.36196342446289198</v>
      </c>
      <c r="D1047">
        <v>-0.145063795128271</v>
      </c>
      <c r="E1047">
        <v>0.52407008259561505</v>
      </c>
      <c r="F1047">
        <f t="shared" si="48"/>
        <v>-0.21689962933462098</v>
      </c>
      <c r="G1047" s="2">
        <f t="shared" si="49"/>
        <v>8.9769385370157384E-2</v>
      </c>
      <c r="M1047">
        <v>4.08295587218766</v>
      </c>
      <c r="N1047">
        <v>4.0825501714357699</v>
      </c>
      <c r="O1047" s="1">
        <v>8.7146817970170498E-8</v>
      </c>
      <c r="P1047" s="2">
        <f t="shared" si="50"/>
        <v>1.8886874348125695</v>
      </c>
    </row>
    <row r="1048" spans="2:16" x14ac:dyDescent="0.25">
      <c r="B1048">
        <v>1047</v>
      </c>
      <c r="C1048">
        <v>-0.293416393220229</v>
      </c>
      <c r="D1048">
        <v>-0.14596010720239699</v>
      </c>
      <c r="E1048">
        <v>0.344372719241472</v>
      </c>
      <c r="F1048">
        <f t="shared" si="48"/>
        <v>-0.14745628601783201</v>
      </c>
      <c r="G1048" s="2">
        <f t="shared" si="49"/>
        <v>6.3139020808806789E-2</v>
      </c>
      <c r="M1048">
        <v>4.0780837446062996</v>
      </c>
      <c r="N1048">
        <v>4.07805866123452</v>
      </c>
      <c r="O1048" s="1">
        <v>2.49007986306792E-8</v>
      </c>
      <c r="P1048" s="2">
        <f t="shared" si="50"/>
        <v>2.5267283558554513E-2</v>
      </c>
    </row>
    <row r="1049" spans="2:16" x14ac:dyDescent="0.25">
      <c r="B1049">
        <v>1048</v>
      </c>
      <c r="C1049">
        <v>-0.31743274205980099</v>
      </c>
      <c r="D1049">
        <v>-0.13359333421187999</v>
      </c>
      <c r="E1049">
        <v>0.40305418292641698</v>
      </c>
      <c r="F1049">
        <f t="shared" si="48"/>
        <v>-0.18383940784792099</v>
      </c>
      <c r="G1049" s="2">
        <f t="shared" si="49"/>
        <v>8.3852070787327176E-2</v>
      </c>
      <c r="M1049">
        <v>1.90576054467988</v>
      </c>
      <c r="N1049">
        <v>1.9055402808052799</v>
      </c>
      <c r="O1049" s="1">
        <v>9.1798611179600107E-9</v>
      </c>
      <c r="P1049" s="2">
        <f t="shared" si="50"/>
        <v>5.2850662804592927</v>
      </c>
    </row>
    <row r="1050" spans="2:16" x14ac:dyDescent="0.25">
      <c r="B1050">
        <v>1049</v>
      </c>
      <c r="C1050">
        <v>-0.27946306748361199</v>
      </c>
      <c r="D1050">
        <v>-0.13591508068202501</v>
      </c>
      <c r="E1050">
        <v>0.31239842434939902</v>
      </c>
      <c r="F1050">
        <f t="shared" si="48"/>
        <v>-0.14354798680158698</v>
      </c>
      <c r="G1050" s="2">
        <f t="shared" si="49"/>
        <v>6.5960718456575765E-2</v>
      </c>
      <c r="M1050">
        <v>4.0830462494235</v>
      </c>
      <c r="N1050">
        <v>4.0826512155019303</v>
      </c>
      <c r="O1050" s="1">
        <v>2.0711350430952799E-8</v>
      </c>
      <c r="P1050" s="2">
        <f t="shared" si="50"/>
        <v>7.5346028116794201</v>
      </c>
    </row>
    <row r="1051" spans="2:16" x14ac:dyDescent="0.25">
      <c r="B1051">
        <v>1050</v>
      </c>
      <c r="C1051">
        <v>-0.29341322535639103</v>
      </c>
      <c r="D1051">
        <v>-0.13385474641159101</v>
      </c>
      <c r="E1051">
        <v>0.344365283256162</v>
      </c>
      <c r="F1051">
        <f t="shared" si="48"/>
        <v>-0.15955847894480002</v>
      </c>
      <c r="G1051" s="2">
        <f t="shared" si="49"/>
        <v>7.3929950088029481E-2</v>
      </c>
      <c r="M1051">
        <v>4.0782551885198304</v>
      </c>
      <c r="N1051">
        <v>4.0783187030330197</v>
      </c>
      <c r="O1051" s="1">
        <v>4.7315997548518599E-8</v>
      </c>
      <c r="P1051" s="2">
        <f t="shared" si="50"/>
        <v>8.5258550906351496E-2</v>
      </c>
    </row>
    <row r="1052" spans="2:16" x14ac:dyDescent="0.25">
      <c r="B1052">
        <v>1051</v>
      </c>
      <c r="C1052">
        <v>-0.33260975198478399</v>
      </c>
      <c r="D1052">
        <v>-0.13337302144412699</v>
      </c>
      <c r="E1052">
        <v>0.44251698846151799</v>
      </c>
      <c r="F1052">
        <f t="shared" si="48"/>
        <v>-0.19923673054065699</v>
      </c>
      <c r="G1052" s="2">
        <f t="shared" si="49"/>
        <v>8.9703391805447785E-2</v>
      </c>
      <c r="M1052">
        <v>1.9055552200277299</v>
      </c>
      <c r="N1052">
        <v>1.90561419068935</v>
      </c>
      <c r="O1052" s="1">
        <v>1.6944113849479399E-8</v>
      </c>
      <c r="P1052" s="2">
        <f t="shared" si="50"/>
        <v>0.20523581007555872</v>
      </c>
    </row>
    <row r="1053" spans="2:16" x14ac:dyDescent="0.25">
      <c r="B1053">
        <v>1052</v>
      </c>
      <c r="C1053">
        <v>-0.30775249491246298</v>
      </c>
      <c r="D1053">
        <v>-0.134385385389727</v>
      </c>
      <c r="E1053">
        <v>0.37884639249938301</v>
      </c>
      <c r="F1053">
        <f t="shared" si="48"/>
        <v>-0.17336710952273598</v>
      </c>
      <c r="G1053" s="2">
        <f t="shared" si="49"/>
        <v>7.9335992791108034E-2</v>
      </c>
      <c r="M1053">
        <v>4.0826590301959502</v>
      </c>
      <c r="N1053">
        <v>4.0827401812863204</v>
      </c>
      <c r="O1053" s="1">
        <v>3.51183048293927E-8</v>
      </c>
      <c r="P1053" s="2">
        <f t="shared" si="50"/>
        <v>0.18752327312685765</v>
      </c>
    </row>
    <row r="1054" spans="2:16" x14ac:dyDescent="0.25">
      <c r="B1054">
        <v>1053</v>
      </c>
      <c r="C1054">
        <v>-0.29944071633313202</v>
      </c>
      <c r="D1054">
        <v>-0.14061098494447399</v>
      </c>
      <c r="E1054">
        <v>0.35865897039239703</v>
      </c>
      <c r="F1054">
        <f t="shared" si="48"/>
        <v>-0.15882973138865802</v>
      </c>
      <c r="G1054" s="2">
        <f t="shared" si="49"/>
        <v>7.0336686533710155E-2</v>
      </c>
      <c r="M1054">
        <v>4.0783208354832698</v>
      </c>
      <c r="N1054">
        <v>4.0784884563740302</v>
      </c>
      <c r="O1054" s="1">
        <v>5.4237357149799301E-8</v>
      </c>
      <c r="P1054" s="2">
        <f t="shared" si="50"/>
        <v>0.518033408997148</v>
      </c>
    </row>
    <row r="1055" spans="2:16" x14ac:dyDescent="0.25">
      <c r="B1055">
        <v>1054</v>
      </c>
      <c r="C1055">
        <v>-0.30549448912767702</v>
      </c>
      <c r="D1055">
        <v>-0.12636350948533401</v>
      </c>
      <c r="E1055">
        <v>0.37330753154952101</v>
      </c>
      <c r="F1055">
        <f t="shared" si="48"/>
        <v>-0.17913097964234301</v>
      </c>
      <c r="G1055" s="2">
        <f t="shared" si="49"/>
        <v>8.5955693779965675E-2</v>
      </c>
      <c r="M1055">
        <v>1.90558145980751</v>
      </c>
      <c r="N1055">
        <v>1.9056624375129601</v>
      </c>
      <c r="O1055" s="1">
        <v>1.9161077069527899E-8</v>
      </c>
      <c r="P1055" s="2">
        <f t="shared" si="50"/>
        <v>0.3422244353047092</v>
      </c>
    </row>
    <row r="1056" spans="2:16" x14ac:dyDescent="0.25">
      <c r="B1056">
        <v>1055</v>
      </c>
      <c r="C1056">
        <v>-0.29250757909278102</v>
      </c>
      <c r="D1056">
        <v>-0.13355932417076399</v>
      </c>
      <c r="E1056">
        <v>0.34224273530687899</v>
      </c>
      <c r="F1056">
        <f t="shared" si="48"/>
        <v>-0.15894825492201703</v>
      </c>
      <c r="G1056" s="2">
        <f t="shared" si="49"/>
        <v>7.3820552305078252E-2</v>
      </c>
      <c r="M1056">
        <v>4.0824129907951798</v>
      </c>
      <c r="N1056">
        <v>4.0827982554705597</v>
      </c>
      <c r="O1056" s="1">
        <v>6.2928292624059696E-8</v>
      </c>
      <c r="P1056" s="2">
        <f t="shared" si="50"/>
        <v>2.3586985107369918</v>
      </c>
    </row>
    <row r="1057" spans="2:16" x14ac:dyDescent="0.25">
      <c r="B1057">
        <v>1056</v>
      </c>
      <c r="C1057">
        <v>-0.28471407089508</v>
      </c>
      <c r="D1057">
        <v>-0.127520851646864</v>
      </c>
      <c r="E1057">
        <v>0.32424840866259502</v>
      </c>
      <c r="F1057">
        <f t="shared" si="48"/>
        <v>-0.157193219248216</v>
      </c>
      <c r="G1057" s="2">
        <f t="shared" si="49"/>
        <v>7.620610469465719E-2</v>
      </c>
      <c r="M1057">
        <v>4.0794500203855204</v>
      </c>
      <c r="N1057">
        <v>4.0797117804564103</v>
      </c>
      <c r="O1057" s="1">
        <v>5.5615483683312897E-8</v>
      </c>
      <c r="P1057" s="2">
        <f t="shared" si="50"/>
        <v>1.2320010575187619</v>
      </c>
    </row>
    <row r="1058" spans="2:16" x14ac:dyDescent="0.25">
      <c r="B1058">
        <v>1057</v>
      </c>
      <c r="C1058">
        <v>-0.31138144738121898</v>
      </c>
      <c r="D1058">
        <v>-0.130270490682632</v>
      </c>
      <c r="E1058">
        <v>0.38783362309289199</v>
      </c>
      <c r="F1058">
        <f t="shared" si="48"/>
        <v>-0.18111095669858698</v>
      </c>
      <c r="G1058" s="2">
        <f t="shared" si="49"/>
        <v>8.4575386668888863E-2</v>
      </c>
      <c r="M1058">
        <v>1.90565041438932</v>
      </c>
      <c r="N1058">
        <v>1.9060101040320701</v>
      </c>
      <c r="O1058" s="1">
        <v>1.81153686724642E-8</v>
      </c>
      <c r="P1058" s="2">
        <f t="shared" si="50"/>
        <v>7.141816511760533</v>
      </c>
    </row>
    <row r="1059" spans="2:16" x14ac:dyDescent="0.25">
      <c r="B1059">
        <v>1058</v>
      </c>
      <c r="C1059">
        <v>-0.30349489078235298</v>
      </c>
      <c r="D1059">
        <v>-0.133000046225806</v>
      </c>
      <c r="E1059">
        <v>0.36843659492396902</v>
      </c>
      <c r="F1059">
        <f t="shared" si="48"/>
        <v>-0.17049484455654698</v>
      </c>
      <c r="G1059" s="2">
        <f t="shared" si="49"/>
        <v>7.8896864266047528E-2</v>
      </c>
      <c r="M1059">
        <v>4.08260146891703</v>
      </c>
      <c r="N1059">
        <v>4.0832167188851702</v>
      </c>
      <c r="O1059" s="1">
        <v>6.96183111793419E-8</v>
      </c>
      <c r="P1059" s="2">
        <f t="shared" si="50"/>
        <v>5.4372551830712021</v>
      </c>
    </row>
    <row r="1060" spans="2:16" x14ac:dyDescent="0.25">
      <c r="B1060">
        <v>1059</v>
      </c>
      <c r="C1060">
        <v>-0.26024017052843501</v>
      </c>
      <c r="D1060">
        <v>-0.25341439310719799</v>
      </c>
      <c r="E1060">
        <v>0.27089978542667598</v>
      </c>
      <c r="F1060">
        <f t="shared" si="48"/>
        <v>-6.8257774212370226E-3</v>
      </c>
      <c r="G1060" s="2">
        <f t="shared" si="49"/>
        <v>1.7198698526426081E-4</v>
      </c>
      <c r="M1060">
        <v>4.0805585782193701</v>
      </c>
      <c r="N1060">
        <v>4.0807014781341602</v>
      </c>
      <c r="O1060" s="1">
        <v>1.3787213570473699E-7</v>
      </c>
      <c r="P1060" s="2">
        <f t="shared" si="50"/>
        <v>0.14811104174632833</v>
      </c>
    </row>
    <row r="1061" spans="2:16" x14ac:dyDescent="0.25">
      <c r="B1061">
        <v>1060</v>
      </c>
      <c r="C1061">
        <v>-0.22964052812394001</v>
      </c>
      <c r="D1061">
        <v>-0.24235269067599</v>
      </c>
      <c r="E1061">
        <v>0.21093908862816799</v>
      </c>
      <c r="F1061">
        <f t="shared" si="48"/>
        <v>1.2712162552049988E-2</v>
      </c>
      <c r="G1061" s="2">
        <f t="shared" si="49"/>
        <v>7.6609355715289058E-4</v>
      </c>
      <c r="M1061">
        <v>1.90620907122582</v>
      </c>
      <c r="N1061">
        <v>1.90629134446177</v>
      </c>
      <c r="O1061" s="1">
        <v>2.49951257153171E-8</v>
      </c>
      <c r="P1061" s="2">
        <f t="shared" si="50"/>
        <v>0.2708082140005772</v>
      </c>
    </row>
    <row r="1062" spans="2:16" x14ac:dyDescent="0.25">
      <c r="B1062">
        <v>1061</v>
      </c>
      <c r="C1062">
        <v>-0.25857907376179001</v>
      </c>
      <c r="D1062">
        <v>-0.217649523306742</v>
      </c>
      <c r="E1062">
        <v>0.26745254955002101</v>
      </c>
      <c r="F1062">
        <f t="shared" si="48"/>
        <v>-4.0929550455048008E-2</v>
      </c>
      <c r="G1062" s="2">
        <f t="shared" si="49"/>
        <v>6.2636460309345703E-3</v>
      </c>
      <c r="M1062">
        <v>4.0834638094557301</v>
      </c>
      <c r="N1062">
        <v>4.0835552050968298</v>
      </c>
      <c r="O1062" s="1">
        <v>1.2741785360545201E-7</v>
      </c>
      <c r="P1062" s="2">
        <f t="shared" si="50"/>
        <v>6.5557243162287532E-2</v>
      </c>
    </row>
    <row r="1063" spans="2:16" x14ac:dyDescent="0.25">
      <c r="B1063">
        <v>1062</v>
      </c>
      <c r="C1063">
        <v>-0.26419836268487001</v>
      </c>
      <c r="D1063">
        <v>-0.20508665490540601</v>
      </c>
      <c r="E1063">
        <v>0.27920309938146498</v>
      </c>
      <c r="F1063">
        <f t="shared" si="48"/>
        <v>-5.9111707779464007E-2</v>
      </c>
      <c r="G1063" s="2">
        <f t="shared" si="49"/>
        <v>1.2514882550894451E-2</v>
      </c>
      <c r="M1063">
        <v>4.08095703650174</v>
      </c>
      <c r="N1063">
        <v>4.0812015510939901</v>
      </c>
      <c r="O1063" s="1">
        <v>1.03582003287594E-7</v>
      </c>
      <c r="P1063" s="2">
        <f t="shared" si="50"/>
        <v>0.57719858590890727</v>
      </c>
    </row>
    <row r="1064" spans="2:16" x14ac:dyDescent="0.25">
      <c r="B1064">
        <v>1063</v>
      </c>
      <c r="C1064">
        <v>-0.25589749415628099</v>
      </c>
      <c r="D1064">
        <v>-0.188233375046437</v>
      </c>
      <c r="E1064">
        <v>0.26193411006185602</v>
      </c>
      <c r="F1064">
        <f t="shared" si="48"/>
        <v>-6.766411910984399E-2</v>
      </c>
      <c r="G1064" s="2">
        <f t="shared" si="49"/>
        <v>1.7479331018896135E-2</v>
      </c>
      <c r="M1064">
        <v>1.90630116427124</v>
      </c>
      <c r="N1064">
        <v>1.9064334390434701</v>
      </c>
      <c r="O1064" s="1">
        <v>2.6544633096060699E-8</v>
      </c>
      <c r="P1064" s="2">
        <f t="shared" si="50"/>
        <v>0.65913946918036859</v>
      </c>
    </row>
    <row r="1065" spans="2:16" x14ac:dyDescent="0.25">
      <c r="B1065">
        <v>1064</v>
      </c>
      <c r="C1065">
        <v>-0.23661236614464001</v>
      </c>
      <c r="D1065">
        <v>-0.17123731275489201</v>
      </c>
      <c r="E1065">
        <v>0.223941647250261</v>
      </c>
      <c r="F1065">
        <f t="shared" si="48"/>
        <v>-6.5375053389748E-2</v>
      </c>
      <c r="G1065" s="2">
        <f t="shared" si="49"/>
        <v>1.9084871698457243E-2</v>
      </c>
      <c r="M1065">
        <v>4.0834077838253702</v>
      </c>
      <c r="N1065">
        <v>4.0837262143525397</v>
      </c>
      <c r="O1065" s="1">
        <v>9.9117863850188602E-8</v>
      </c>
      <c r="P1065" s="2">
        <f t="shared" si="50"/>
        <v>1.0230042970529545</v>
      </c>
    </row>
    <row r="1066" spans="2:16" x14ac:dyDescent="0.25">
      <c r="B1066">
        <v>1065</v>
      </c>
      <c r="C1066">
        <v>-0.23875500510581399</v>
      </c>
      <c r="D1066">
        <v>-0.15713143668246399</v>
      </c>
      <c r="E1066">
        <v>0.22801580985230799</v>
      </c>
      <c r="F1066">
        <f t="shared" si="48"/>
        <v>-8.1623568423350001E-2</v>
      </c>
      <c r="G1066" s="2">
        <f t="shared" si="49"/>
        <v>2.9219056899943564E-2</v>
      </c>
      <c r="M1066">
        <v>4.0814986700387497</v>
      </c>
      <c r="N1066">
        <v>4.0820561916753304</v>
      </c>
      <c r="O1066" s="1">
        <v>1.13251142352572E-7</v>
      </c>
      <c r="P1066" s="2">
        <f t="shared" si="50"/>
        <v>2.7446113902144247</v>
      </c>
    </row>
    <row r="1067" spans="2:16" x14ac:dyDescent="0.25">
      <c r="B1067">
        <v>1066</v>
      </c>
      <c r="C1067">
        <v>-0.24484014141664801</v>
      </c>
      <c r="D1067">
        <v>-0.14925326185902399</v>
      </c>
      <c r="E1067">
        <v>0.23978677939569701</v>
      </c>
      <c r="F1067">
        <f t="shared" si="48"/>
        <v>-9.5586879557624016E-2</v>
      </c>
      <c r="G1067" s="2">
        <f t="shared" si="49"/>
        <v>3.8104067149115232E-2</v>
      </c>
      <c r="M1067">
        <v>1.9063504646615601</v>
      </c>
      <c r="N1067">
        <v>1.90667626741216</v>
      </c>
      <c r="O1067" s="1">
        <v>2.5576032010052799E-8</v>
      </c>
      <c r="P1067" s="2">
        <f t="shared" si="50"/>
        <v>4.1502697625941325</v>
      </c>
    </row>
    <row r="1068" spans="2:16" x14ac:dyDescent="0.25">
      <c r="B1068">
        <v>1067</v>
      </c>
      <c r="C1068">
        <v>-0.23489171561394401</v>
      </c>
      <c r="D1068">
        <v>-0.12869841330388199</v>
      </c>
      <c r="E1068">
        <v>0.220696472256248</v>
      </c>
      <c r="F1068">
        <f t="shared" si="48"/>
        <v>-0.10619330231006202</v>
      </c>
      <c r="G1068" s="2">
        <f t="shared" si="49"/>
        <v>5.1097406950948519E-2</v>
      </c>
      <c r="M1068">
        <v>4.0835036785644796</v>
      </c>
      <c r="N1068">
        <v>4.0840184426786204</v>
      </c>
      <c r="O1068" s="1">
        <v>6.8067238407237599E-8</v>
      </c>
      <c r="P1068" s="2">
        <f t="shared" si="50"/>
        <v>3.8929461427795915</v>
      </c>
    </row>
    <row r="1069" spans="2:16" x14ac:dyDescent="0.25">
      <c r="B1069">
        <v>1068</v>
      </c>
      <c r="C1069">
        <v>-0.24557694351206</v>
      </c>
      <c r="D1069">
        <v>-0.122143685306428</v>
      </c>
      <c r="E1069">
        <v>0.24123214073890201</v>
      </c>
      <c r="F1069">
        <f t="shared" si="48"/>
        <v>-0.123433258205632</v>
      </c>
      <c r="G1069" s="2">
        <f t="shared" si="49"/>
        <v>6.3158123061838101E-2</v>
      </c>
      <c r="M1069">
        <v>4.0823477745701</v>
      </c>
      <c r="N1069">
        <v>4.0824641558929597</v>
      </c>
      <c r="O1069" s="1">
        <v>6.4749152818950101E-8</v>
      </c>
      <c r="P1069" s="2">
        <f t="shared" si="50"/>
        <v>0.20918593867097526</v>
      </c>
    </row>
    <row r="1070" spans="2:16" x14ac:dyDescent="0.25">
      <c r="B1070">
        <v>1069</v>
      </c>
      <c r="C1070">
        <v>-0.267400016681137</v>
      </c>
      <c r="D1070">
        <v>-0.11723516860487</v>
      </c>
      <c r="E1070">
        <v>0.28601107568428802</v>
      </c>
      <c r="F1070">
        <f t="shared" si="48"/>
        <v>-0.15016484807626701</v>
      </c>
      <c r="G1070" s="2">
        <f t="shared" si="49"/>
        <v>7.8841288029906545E-2</v>
      </c>
      <c r="M1070">
        <v>1.9065930734960901</v>
      </c>
      <c r="N1070">
        <v>1.9067921749480701</v>
      </c>
      <c r="O1070" s="1">
        <v>2.0689167721241799E-8</v>
      </c>
      <c r="P1070" s="2">
        <f t="shared" si="50"/>
        <v>1.9160455710279409</v>
      </c>
    </row>
    <row r="1071" spans="2:16" x14ac:dyDescent="0.25">
      <c r="B1071">
        <v>1070</v>
      </c>
      <c r="C1071">
        <v>-0.26529696999767699</v>
      </c>
      <c r="D1071">
        <v>-0.107095817722062</v>
      </c>
      <c r="E1071">
        <v>0.28152992915979402</v>
      </c>
      <c r="F1071">
        <f t="shared" si="48"/>
        <v>-0.15820115227561499</v>
      </c>
      <c r="G1071" s="2">
        <f t="shared" si="49"/>
        <v>8.8898557450092147E-2</v>
      </c>
      <c r="M1071">
        <v>4.0840969231294597</v>
      </c>
      <c r="N1071">
        <v>4.0841579241945798</v>
      </c>
      <c r="O1071" s="1">
        <v>4.8909253451790099E-8</v>
      </c>
      <c r="P1071" s="2">
        <f t="shared" si="50"/>
        <v>7.6082329685368849E-2</v>
      </c>
    </row>
    <row r="1072" spans="2:16" x14ac:dyDescent="0.25">
      <c r="B1072">
        <v>1071</v>
      </c>
      <c r="C1072">
        <v>-0.26636723074816099</v>
      </c>
      <c r="D1072">
        <v>-0.102474813693425</v>
      </c>
      <c r="E1072">
        <v>0.28380600646577703</v>
      </c>
      <c r="F1072">
        <f t="shared" si="48"/>
        <v>-0.16389241705473601</v>
      </c>
      <c r="G1072" s="2">
        <f t="shared" si="49"/>
        <v>9.4644664862942374E-2</v>
      </c>
      <c r="M1072">
        <v>4.0834053028641799</v>
      </c>
      <c r="N1072">
        <v>4.0830507886587499</v>
      </c>
      <c r="O1072" s="1">
        <v>1.4242157342134801E-7</v>
      </c>
      <c r="P1072" s="2">
        <f t="shared" si="50"/>
        <v>0.88245283935903074</v>
      </c>
    </row>
    <row r="1073" spans="2:16" x14ac:dyDescent="0.25">
      <c r="B1073">
        <v>1072</v>
      </c>
      <c r="C1073">
        <v>-0.24071562513164299</v>
      </c>
      <c r="D1073">
        <v>-0.102188491161692</v>
      </c>
      <c r="E1073">
        <v>0.23177604873007099</v>
      </c>
      <c r="F1073">
        <f t="shared" si="48"/>
        <v>-0.13852713396995098</v>
      </c>
      <c r="G1073" s="2">
        <f t="shared" si="49"/>
        <v>8.2794434330345182E-2</v>
      </c>
      <c r="M1073">
        <v>1.9069769271913599</v>
      </c>
      <c r="N1073">
        <v>1.9069588364125201</v>
      </c>
      <c r="O1073" s="1">
        <v>2.9468935833135701E-8</v>
      </c>
      <c r="P1073" s="2">
        <f t="shared" si="50"/>
        <v>1.1105805818221711E-2</v>
      </c>
    </row>
    <row r="1074" spans="2:16" x14ac:dyDescent="0.25">
      <c r="B1074">
        <v>1073</v>
      </c>
      <c r="C1074">
        <v>-0.23598048165552199</v>
      </c>
      <c r="D1074">
        <v>-0.105378154605044</v>
      </c>
      <c r="E1074">
        <v>0.22274715088948799</v>
      </c>
      <c r="F1074">
        <f t="shared" si="48"/>
        <v>-0.13060232705047797</v>
      </c>
      <c r="G1074" s="2">
        <f t="shared" si="49"/>
        <v>7.6575470271503132E-2</v>
      </c>
      <c r="M1074">
        <v>4.0847983780203103</v>
      </c>
      <c r="N1074">
        <v>4.0843584757706299</v>
      </c>
      <c r="O1074" s="1">
        <v>1.2925868208358999E-7</v>
      </c>
      <c r="P1074" s="2">
        <f t="shared" si="50"/>
        <v>1.4971063154482407</v>
      </c>
    </row>
    <row r="1075" spans="2:16" x14ac:dyDescent="0.25">
      <c r="B1075">
        <v>1074</v>
      </c>
      <c r="C1075">
        <v>-0.249692068970782</v>
      </c>
      <c r="D1075">
        <v>-9.8513573582000802E-2</v>
      </c>
      <c r="E1075">
        <v>0.24938451722763999</v>
      </c>
      <c r="F1075">
        <f t="shared" si="48"/>
        <v>-0.1511784953887812</v>
      </c>
      <c r="G1075" s="2">
        <f t="shared" si="49"/>
        <v>9.1645374468670757E-2</v>
      </c>
      <c r="M1075">
        <v>4.0838990600741401</v>
      </c>
      <c r="N1075">
        <v>4.0835886465481597</v>
      </c>
      <c r="O1075" s="1">
        <v>8.4511280579011306E-8</v>
      </c>
      <c r="P1075" s="2">
        <f t="shared" si="50"/>
        <v>1.1401620760140558</v>
      </c>
    </row>
    <row r="1076" spans="2:16" x14ac:dyDescent="0.25">
      <c r="B1076">
        <v>1075</v>
      </c>
      <c r="C1076">
        <v>-0.255978612842237</v>
      </c>
      <c r="D1076">
        <v>-9.7341446410380394E-2</v>
      </c>
      <c r="E1076">
        <v>0.26210020093054298</v>
      </c>
      <c r="F1076">
        <f t="shared" si="48"/>
        <v>-0.1586371664318566</v>
      </c>
      <c r="G1076" s="2">
        <f t="shared" si="49"/>
        <v>9.6015762232084439E-2</v>
      </c>
      <c r="M1076">
        <v>1.9072061848450199</v>
      </c>
      <c r="N1076">
        <v>1.90711163276747</v>
      </c>
      <c r="O1076" s="1">
        <v>1.56863527306151E-8</v>
      </c>
      <c r="P1076" s="2">
        <f t="shared" si="50"/>
        <v>0.5699282377834578</v>
      </c>
    </row>
    <row r="1077" spans="2:16" x14ac:dyDescent="0.25">
      <c r="B1077">
        <v>1076</v>
      </c>
      <c r="C1077">
        <v>-0.231782771771195</v>
      </c>
      <c r="D1077">
        <v>-9.8611749528430701E-2</v>
      </c>
      <c r="E1077">
        <v>0.21489301315975201</v>
      </c>
      <c r="F1077">
        <f t="shared" si="48"/>
        <v>-0.13317102224276428</v>
      </c>
      <c r="G1077" s="2">
        <f t="shared" si="49"/>
        <v>8.2527211585045487E-2</v>
      </c>
      <c r="M1077">
        <v>4.0848974483108398</v>
      </c>
      <c r="N1077">
        <v>4.0845423360603199</v>
      </c>
      <c r="O1077" s="1">
        <v>7.6287147059959203E-8</v>
      </c>
      <c r="P1077" s="2">
        <f t="shared" si="50"/>
        <v>1.6530269557750685</v>
      </c>
    </row>
    <row r="1078" spans="2:16" x14ac:dyDescent="0.25">
      <c r="B1078">
        <v>1077</v>
      </c>
      <c r="C1078">
        <v>-0.33812549941760001</v>
      </c>
      <c r="D1078">
        <v>-0.334575098046208</v>
      </c>
      <c r="E1078">
        <v>0.457315413425607</v>
      </c>
      <c r="F1078">
        <f t="shared" si="48"/>
        <v>-3.5504013713920091E-3</v>
      </c>
      <c r="G1078" s="2">
        <f t="shared" si="49"/>
        <v>2.7563798481139129E-5</v>
      </c>
      <c r="M1078">
        <v>4.0839019451210703</v>
      </c>
      <c r="N1078">
        <v>4.0838837060072599</v>
      </c>
      <c r="O1078" s="1">
        <v>5.8207008585015199E-8</v>
      </c>
      <c r="P1078" s="2">
        <f t="shared" si="50"/>
        <v>5.715209915007945E-3</v>
      </c>
    </row>
    <row r="1079" spans="2:16" x14ac:dyDescent="0.25">
      <c r="B1079">
        <v>1078</v>
      </c>
      <c r="C1079">
        <v>-0.33006822120451901</v>
      </c>
      <c r="D1079">
        <v>-0.31559379737759302</v>
      </c>
      <c r="E1079">
        <v>0.43578012259645998</v>
      </c>
      <c r="F1079">
        <f t="shared" si="48"/>
        <v>-1.4474423826925986E-2</v>
      </c>
      <c r="G1079" s="2">
        <f t="shared" si="49"/>
        <v>4.8076755743972209E-4</v>
      </c>
      <c r="M1079">
        <v>1.90706311975295</v>
      </c>
      <c r="N1079">
        <v>1.90719545083475</v>
      </c>
      <c r="O1079" s="1">
        <v>9.5228016265970495E-9</v>
      </c>
      <c r="P1079" s="2">
        <f t="shared" si="50"/>
        <v>1.8389037068091409</v>
      </c>
    </row>
    <row r="1080" spans="2:16" x14ac:dyDescent="0.25">
      <c r="B1080">
        <v>1079</v>
      </c>
      <c r="C1080">
        <v>-0.349677671490561</v>
      </c>
      <c r="D1080">
        <v>-0.30158398747962301</v>
      </c>
      <c r="E1080">
        <v>0.48909789575624202</v>
      </c>
      <c r="F1080">
        <f t="shared" si="48"/>
        <v>-4.8093684010937998E-2</v>
      </c>
      <c r="G1080" s="2">
        <f t="shared" si="49"/>
        <v>4.729119593057325E-3</v>
      </c>
      <c r="M1080">
        <v>4.0845342613175699</v>
      </c>
      <c r="N1080">
        <v>4.08464319183817</v>
      </c>
      <c r="O1080" s="1">
        <v>7.0050750545375096E-8</v>
      </c>
      <c r="P1080" s="2">
        <f t="shared" si="50"/>
        <v>0.16938945301561523</v>
      </c>
    </row>
    <row r="1081" spans="2:16" x14ac:dyDescent="0.25">
      <c r="B1081">
        <v>1080</v>
      </c>
      <c r="C1081">
        <v>-0.32213047632292302</v>
      </c>
      <c r="D1081">
        <v>-0.294355719876436</v>
      </c>
      <c r="E1081">
        <v>0.41507217510413402</v>
      </c>
      <c r="F1081">
        <f t="shared" si="48"/>
        <v>-2.7774756446487026E-2</v>
      </c>
      <c r="G1081" s="2">
        <f t="shared" si="49"/>
        <v>1.8585613344670314E-3</v>
      </c>
      <c r="M1081">
        <v>4.08555218281768</v>
      </c>
      <c r="N1081">
        <v>4.0852515559820297</v>
      </c>
      <c r="O1081" s="1">
        <v>1.51380559884766E-7</v>
      </c>
      <c r="P1081" s="2">
        <f t="shared" si="50"/>
        <v>0.59701519390517443</v>
      </c>
    </row>
    <row r="1082" spans="2:16" x14ac:dyDescent="0.25">
      <c r="B1082">
        <v>1081</v>
      </c>
      <c r="C1082">
        <v>-0.320952712139703</v>
      </c>
      <c r="D1082">
        <v>-0.281350042411878</v>
      </c>
      <c r="E1082">
        <v>0.41204257371932501</v>
      </c>
      <c r="F1082">
        <f t="shared" si="48"/>
        <v>-3.9602669727825002E-2</v>
      </c>
      <c r="G1082" s="2">
        <f t="shared" si="49"/>
        <v>3.8063334946537085E-3</v>
      </c>
      <c r="M1082">
        <v>1.90742716659917</v>
      </c>
      <c r="N1082">
        <v>1.9075839874337599</v>
      </c>
      <c r="O1082" s="1">
        <v>4.1832543596441901E-8</v>
      </c>
      <c r="P1082" s="2">
        <f t="shared" si="50"/>
        <v>0.58788617777390584</v>
      </c>
    </row>
    <row r="1083" spans="2:16" x14ac:dyDescent="0.25">
      <c r="B1083">
        <v>1082</v>
      </c>
      <c r="C1083">
        <v>-0.32959345901840698</v>
      </c>
      <c r="D1083">
        <v>-0.263200931295347</v>
      </c>
      <c r="E1083">
        <v>0.434527392910874</v>
      </c>
      <c r="F1083">
        <f t="shared" si="48"/>
        <v>-6.639252772305998E-2</v>
      </c>
      <c r="G1083" s="2">
        <f t="shared" si="49"/>
        <v>1.0144280451293451E-2</v>
      </c>
      <c r="M1083">
        <v>4.0855603590289302</v>
      </c>
      <c r="N1083">
        <v>4.0851106809616198</v>
      </c>
      <c r="O1083" s="1">
        <v>1.00154958509443E-7</v>
      </c>
      <c r="P1083" s="2">
        <f t="shared" si="50"/>
        <v>2.0189750685283441</v>
      </c>
    </row>
    <row r="1084" spans="2:16" x14ac:dyDescent="0.25">
      <c r="B1084">
        <v>1083</v>
      </c>
      <c r="C1084">
        <v>-0.32496937715784802</v>
      </c>
      <c r="D1084">
        <v>-0.24976222406668799</v>
      </c>
      <c r="E1084">
        <v>0.42242038436143697</v>
      </c>
      <c r="F1084">
        <f t="shared" si="48"/>
        <v>-7.5207153091160023E-2</v>
      </c>
      <c r="G1084" s="2">
        <f t="shared" si="49"/>
        <v>1.3389779673221495E-2</v>
      </c>
      <c r="M1084">
        <v>4.0860875803376304</v>
      </c>
      <c r="N1084">
        <v>4.0855545818339101</v>
      </c>
      <c r="O1084" s="1">
        <v>1.5052270369057801E-7</v>
      </c>
      <c r="P1084" s="2">
        <f t="shared" si="50"/>
        <v>1.8873392385517882</v>
      </c>
    </row>
    <row r="1085" spans="2:16" x14ac:dyDescent="0.25">
      <c r="B1085">
        <v>1084</v>
      </c>
      <c r="C1085">
        <v>-0.34418964566180099</v>
      </c>
      <c r="D1085">
        <v>-0.24021140660332799</v>
      </c>
      <c r="E1085">
        <v>0.473866048723184</v>
      </c>
      <c r="F1085">
        <f t="shared" si="48"/>
        <v>-0.103978239058473</v>
      </c>
      <c r="G1085" s="2">
        <f t="shared" si="49"/>
        <v>2.2815464891042758E-2</v>
      </c>
      <c r="M1085">
        <v>1.9077159497596901</v>
      </c>
      <c r="N1085">
        <v>1.9076700547685399</v>
      </c>
      <c r="O1085" s="1">
        <v>2.1758386410646098E-8</v>
      </c>
      <c r="P1085" s="2">
        <f t="shared" si="50"/>
        <v>9.6806361139077216E-2</v>
      </c>
    </row>
    <row r="1086" spans="2:16" x14ac:dyDescent="0.25">
      <c r="B1086">
        <v>1085</v>
      </c>
      <c r="C1086">
        <v>-0.306727712723804</v>
      </c>
      <c r="D1086">
        <v>-0.21860842758572599</v>
      </c>
      <c r="E1086">
        <v>0.37632755901110498</v>
      </c>
      <c r="F1086">
        <f t="shared" si="48"/>
        <v>-8.8119285138078013E-2</v>
      </c>
      <c r="G1086" s="2">
        <f t="shared" si="49"/>
        <v>2.0633642759649073E-2</v>
      </c>
      <c r="M1086">
        <v>4.0857948432834599</v>
      </c>
      <c r="N1086">
        <v>4.0852142319520297</v>
      </c>
      <c r="O1086" s="1">
        <v>1.6619606841202199E-7</v>
      </c>
      <c r="P1086" s="2">
        <f t="shared" si="50"/>
        <v>2.0283844341574642</v>
      </c>
    </row>
    <row r="1087" spans="2:16" x14ac:dyDescent="0.25">
      <c r="B1087">
        <v>1086</v>
      </c>
      <c r="C1087">
        <v>-0.31573811510355898</v>
      </c>
      <c r="D1087">
        <v>-0.209836938241661</v>
      </c>
      <c r="E1087">
        <v>0.398762229316593</v>
      </c>
      <c r="F1087">
        <f t="shared" si="48"/>
        <v>-0.10590117686189798</v>
      </c>
      <c r="G1087" s="2">
        <f t="shared" si="49"/>
        <v>2.812467790631926E-2</v>
      </c>
      <c r="M1087">
        <v>4.0870788460085103</v>
      </c>
      <c r="N1087">
        <v>4.0859461985894097</v>
      </c>
      <c r="O1087" s="1">
        <v>1.6525840311759101E-7</v>
      </c>
      <c r="P1087" s="2">
        <f t="shared" si="50"/>
        <v>7.762934602984104</v>
      </c>
    </row>
    <row r="1088" spans="2:16" x14ac:dyDescent="0.25">
      <c r="B1088">
        <v>1087</v>
      </c>
      <c r="C1088">
        <v>-0.32215767184050098</v>
      </c>
      <c r="D1088">
        <v>-0.18698320266078</v>
      </c>
      <c r="E1088">
        <v>0.415142262102768</v>
      </c>
      <c r="F1088">
        <f t="shared" si="48"/>
        <v>-0.13517446917972098</v>
      </c>
      <c r="G1088" s="2">
        <f t="shared" si="49"/>
        <v>4.4014158003253569E-2</v>
      </c>
      <c r="M1088">
        <v>1.90787922381407</v>
      </c>
      <c r="N1088">
        <v>1.9077812805527099</v>
      </c>
      <c r="O1088" s="1">
        <v>4.7149706240054697E-8</v>
      </c>
      <c r="P1088" s="2">
        <f t="shared" si="50"/>
        <v>0.20345582636339535</v>
      </c>
    </row>
    <row r="1089" spans="2:16" x14ac:dyDescent="0.25">
      <c r="B1089">
        <v>1088</v>
      </c>
      <c r="C1089">
        <v>-0.32471401747372602</v>
      </c>
      <c r="D1089">
        <v>-0.173783136086893</v>
      </c>
      <c r="E1089">
        <v>0.42175677257570898</v>
      </c>
      <c r="F1089">
        <f t="shared" si="48"/>
        <v>-0.15093088138683303</v>
      </c>
      <c r="G1089" s="2">
        <f t="shared" si="49"/>
        <v>5.4012484060625317E-2</v>
      </c>
      <c r="M1089">
        <v>4.0864861188928803</v>
      </c>
      <c r="N1089">
        <v>4.0853480490287897</v>
      </c>
      <c r="O1089" s="1">
        <v>1.28109262698048E-7</v>
      </c>
      <c r="P1089" s="2">
        <f t="shared" si="50"/>
        <v>10.110143390677113</v>
      </c>
    </row>
    <row r="1090" spans="2:16" x14ac:dyDescent="0.25">
      <c r="B1090">
        <v>1089</v>
      </c>
      <c r="C1090">
        <v>-0.32785883235393298</v>
      </c>
      <c r="D1090">
        <v>-0.154210963611048</v>
      </c>
      <c r="E1090">
        <v>0.42996565580993601</v>
      </c>
      <c r="F1090">
        <f t="shared" si="48"/>
        <v>-0.17364786874288499</v>
      </c>
      <c r="G1090" s="2">
        <f t="shared" si="49"/>
        <v>7.0130211358731029E-2</v>
      </c>
      <c r="M1090">
        <v>4.0861610967593904</v>
      </c>
      <c r="N1090">
        <v>4.08534061765637</v>
      </c>
      <c r="O1090" s="1">
        <v>1.3581477194344901E-7</v>
      </c>
      <c r="P1090" s="2">
        <f t="shared" si="50"/>
        <v>4.9566475638856202</v>
      </c>
    </row>
    <row r="1091" spans="2:16" x14ac:dyDescent="0.25">
      <c r="B1091">
        <v>1090</v>
      </c>
      <c r="C1091">
        <v>-0.32505315305211402</v>
      </c>
      <c r="D1091">
        <v>-0.14212212276884501</v>
      </c>
      <c r="E1091">
        <v>0.42263820923648399</v>
      </c>
      <c r="F1091">
        <f t="shared" ref="F1091:F1154" si="51">C1091-D1091</f>
        <v>-0.18293103028326901</v>
      </c>
      <c r="G1091" s="2">
        <f t="shared" ref="G1091:G1154" si="52">F1091^2/E1091</f>
        <v>7.9178269047070218E-2</v>
      </c>
      <c r="M1091">
        <v>1.9079534837991901</v>
      </c>
      <c r="N1091">
        <v>1.9076092835579199</v>
      </c>
      <c r="O1091" s="1">
        <v>3.5265947211333998E-8</v>
      </c>
      <c r="P1091" s="2">
        <f t="shared" ref="P1091:P1154" si="53">(M1091-N1091)^2/O1091</f>
        <v>3.3594392171136978</v>
      </c>
    </row>
    <row r="1092" spans="2:16" x14ac:dyDescent="0.25">
      <c r="B1092">
        <v>1091</v>
      </c>
      <c r="C1092">
        <v>-0.31433403842492103</v>
      </c>
      <c r="D1092">
        <v>-0.13230719098735599</v>
      </c>
      <c r="E1092">
        <v>0.39522355085007899</v>
      </c>
      <c r="F1092">
        <f t="shared" si="51"/>
        <v>-0.18202684743756503</v>
      </c>
      <c r="G1092" s="2">
        <f t="shared" si="52"/>
        <v>8.3835523254603014E-2</v>
      </c>
      <c r="M1092">
        <v>4.08624030208754</v>
      </c>
      <c r="N1092">
        <v>4.0851411159344098</v>
      </c>
      <c r="O1092" s="1">
        <v>1.5041990080700201E-7</v>
      </c>
      <c r="P1092" s="2">
        <f t="shared" si="53"/>
        <v>8.0322496740865859</v>
      </c>
    </row>
    <row r="1093" spans="2:16" x14ac:dyDescent="0.25">
      <c r="B1093">
        <v>1092</v>
      </c>
      <c r="C1093">
        <v>-0.31309193938097002</v>
      </c>
      <c r="D1093">
        <v>-0.114818238490728</v>
      </c>
      <c r="E1093">
        <v>0.39210625002134802</v>
      </c>
      <c r="F1093">
        <f t="shared" si="51"/>
        <v>-0.19827370089024202</v>
      </c>
      <c r="G1093" s="2">
        <f t="shared" si="52"/>
        <v>0.1002597139488922</v>
      </c>
      <c r="M1093">
        <v>0.43394629033696702</v>
      </c>
      <c r="N1093">
        <v>0.43391656436544901</v>
      </c>
      <c r="O1093" s="1">
        <v>4.9922638767445097E-10</v>
      </c>
      <c r="P1093" s="2">
        <f t="shared" si="53"/>
        <v>1.7700053613070479</v>
      </c>
    </row>
    <row r="1094" spans="2:16" x14ac:dyDescent="0.25">
      <c r="B1094">
        <v>1093</v>
      </c>
      <c r="C1094">
        <v>-0.343439338533366</v>
      </c>
      <c r="D1094">
        <v>-0.11045305848221799</v>
      </c>
      <c r="E1094">
        <v>0.47180231700894398</v>
      </c>
      <c r="F1094">
        <f t="shared" si="51"/>
        <v>-0.23298628005114802</v>
      </c>
      <c r="G1094" s="2">
        <f t="shared" si="52"/>
        <v>0.11505370943535009</v>
      </c>
      <c r="M1094">
        <v>0.99383378963061397</v>
      </c>
      <c r="N1094">
        <v>0.99377057891953502</v>
      </c>
      <c r="O1094" s="1">
        <v>1.8767164179300999E-9</v>
      </c>
      <c r="P1094" s="2">
        <f t="shared" si="53"/>
        <v>2.129034497131884</v>
      </c>
    </row>
    <row r="1095" spans="2:16" x14ac:dyDescent="0.25">
      <c r="B1095">
        <v>1094</v>
      </c>
      <c r="C1095">
        <v>-0.313293206930225</v>
      </c>
      <c r="D1095">
        <v>-9.3821837896592306E-2</v>
      </c>
      <c r="E1095">
        <v>0.39261053403449903</v>
      </c>
      <c r="F1095">
        <f t="shared" si="51"/>
        <v>-0.21947136903363268</v>
      </c>
      <c r="G1095" s="2">
        <f t="shared" si="52"/>
        <v>0.12268565830499201</v>
      </c>
      <c r="M1095">
        <v>0.43390592638800601</v>
      </c>
      <c r="N1095">
        <v>0.43391018913967899</v>
      </c>
      <c r="O1095" s="1">
        <v>6.4943005799921404E-10</v>
      </c>
      <c r="P1095" s="2">
        <f t="shared" si="53"/>
        <v>2.7979998156329584E-2</v>
      </c>
    </row>
    <row r="1096" spans="2:16" x14ac:dyDescent="0.25">
      <c r="B1096">
        <v>1095</v>
      </c>
      <c r="C1096">
        <v>-0.332211038374985</v>
      </c>
      <c r="D1096">
        <v>-8.5715085918441403E-2</v>
      </c>
      <c r="E1096">
        <v>0.44145669607274302</v>
      </c>
      <c r="F1096">
        <f t="shared" si="51"/>
        <v>-0.2464959524565436</v>
      </c>
      <c r="G1096" s="2">
        <f t="shared" si="52"/>
        <v>0.13763582049607548</v>
      </c>
      <c r="M1096">
        <v>0.99377232305386198</v>
      </c>
      <c r="N1096">
        <v>0.99378041565385999</v>
      </c>
      <c r="O1096" s="1">
        <v>2.1014525292632301E-9</v>
      </c>
      <c r="P1096" s="2">
        <f t="shared" si="53"/>
        <v>3.1164241787924461E-2</v>
      </c>
    </row>
    <row r="1097" spans="2:16" x14ac:dyDescent="0.25">
      <c r="B1097">
        <v>1096</v>
      </c>
      <c r="C1097">
        <v>-0.31162477329561999</v>
      </c>
      <c r="D1097">
        <v>-0.29950747919079501</v>
      </c>
      <c r="E1097">
        <v>0.388439997326186</v>
      </c>
      <c r="F1097">
        <f t="shared" si="51"/>
        <v>-1.2117294104824983E-2</v>
      </c>
      <c r="G1097" s="2">
        <f t="shared" si="52"/>
        <v>3.7799613179260023E-4</v>
      </c>
      <c r="M1097">
        <v>0.43391041448154899</v>
      </c>
      <c r="N1097">
        <v>0.43391075697063902</v>
      </c>
      <c r="O1097" s="1">
        <v>7.1687566859591101E-10</v>
      </c>
      <c r="P1097" s="2">
        <f t="shared" si="53"/>
        <v>1.6362499374711979E-4</v>
      </c>
    </row>
    <row r="1098" spans="2:16" x14ac:dyDescent="0.25">
      <c r="B1098">
        <v>1097</v>
      </c>
      <c r="C1098">
        <v>-0.28949324487178302</v>
      </c>
      <c r="D1098">
        <v>-0.279599673618178</v>
      </c>
      <c r="E1098">
        <v>0.33522535530557701</v>
      </c>
      <c r="F1098">
        <f t="shared" si="51"/>
        <v>-9.8935712536050158E-3</v>
      </c>
      <c r="G1098" s="2">
        <f t="shared" si="52"/>
        <v>2.9199089687274345E-4</v>
      </c>
      <c r="M1098">
        <v>0.99377875934847903</v>
      </c>
      <c r="N1098">
        <v>0.99377953950216602</v>
      </c>
      <c r="O1098" s="1">
        <v>2.8131443943055499E-9</v>
      </c>
      <c r="P1098" s="2">
        <f t="shared" si="53"/>
        <v>2.1635568247020277E-4</v>
      </c>
    </row>
    <row r="1099" spans="2:16" x14ac:dyDescent="0.25">
      <c r="B1099">
        <v>1098</v>
      </c>
      <c r="C1099">
        <v>-0.32041042098760802</v>
      </c>
      <c r="D1099">
        <v>-0.26036126047513602</v>
      </c>
      <c r="E1099">
        <v>0.41065135150982501</v>
      </c>
      <c r="F1099">
        <f t="shared" si="51"/>
        <v>-6.0049160512472E-2</v>
      </c>
      <c r="G1099" s="2">
        <f t="shared" si="52"/>
        <v>8.7809322068342285E-3</v>
      </c>
      <c r="M1099">
        <v>0.43394209258724298</v>
      </c>
      <c r="N1099">
        <v>0.43395174683821403</v>
      </c>
      <c r="O1099" s="1">
        <v>6.1216952021875101E-10</v>
      </c>
      <c r="P1099" s="2">
        <f t="shared" si="53"/>
        <v>0.15225286253824402</v>
      </c>
    </row>
    <row r="1100" spans="2:16" x14ac:dyDescent="0.25">
      <c r="B1100">
        <v>1099</v>
      </c>
      <c r="C1100">
        <v>-0.29501223623843098</v>
      </c>
      <c r="D1100">
        <v>-0.25682083892595298</v>
      </c>
      <c r="E1100">
        <v>0.34812887812159898</v>
      </c>
      <c r="F1100">
        <f t="shared" si="51"/>
        <v>-3.8191397312478004E-2</v>
      </c>
      <c r="G1100" s="2">
        <f t="shared" si="52"/>
        <v>4.189778327352893E-3</v>
      </c>
      <c r="M1100">
        <v>0.99369830800086201</v>
      </c>
      <c r="N1100">
        <v>0.99371629803377604</v>
      </c>
      <c r="O1100" s="1">
        <v>1.9345118707312198E-9</v>
      </c>
      <c r="P1100" s="2">
        <f t="shared" si="53"/>
        <v>0.16729868094605332</v>
      </c>
    </row>
    <row r="1101" spans="2:16" x14ac:dyDescent="0.25">
      <c r="B1101">
        <v>1100</v>
      </c>
      <c r="C1101">
        <v>-0.305177622594971</v>
      </c>
      <c r="D1101">
        <v>-0.22757042541390099</v>
      </c>
      <c r="E1101">
        <v>0.37253352533087403</v>
      </c>
      <c r="F1101">
        <f t="shared" si="51"/>
        <v>-7.7607197181070009E-2</v>
      </c>
      <c r="G1101" s="2">
        <f t="shared" si="52"/>
        <v>1.6167342386036607E-2</v>
      </c>
      <c r="M1101">
        <v>0.43391063534705498</v>
      </c>
      <c r="N1101">
        <v>0.433933912788946</v>
      </c>
      <c r="O1101" s="1">
        <v>3.9577416208287701E-10</v>
      </c>
      <c r="P1101" s="2">
        <f t="shared" si="53"/>
        <v>1.3690618360174214</v>
      </c>
    </row>
    <row r="1102" spans="2:16" x14ac:dyDescent="0.25">
      <c r="B1102">
        <v>1101</v>
      </c>
      <c r="C1102">
        <v>-0.30574437999579701</v>
      </c>
      <c r="D1102">
        <v>-0.21449343768788201</v>
      </c>
      <c r="E1102">
        <v>0.373918503596056</v>
      </c>
      <c r="F1102">
        <f t="shared" si="51"/>
        <v>-9.1250942307915001E-2</v>
      </c>
      <c r="G1102" s="2">
        <f t="shared" si="52"/>
        <v>2.226884840413728E-2</v>
      </c>
      <c r="M1102">
        <v>0.99369200237876099</v>
      </c>
      <c r="N1102">
        <v>0.99374381217723995</v>
      </c>
      <c r="O1102" s="1">
        <v>1.6136422227083299E-9</v>
      </c>
      <c r="P1102" s="2">
        <f t="shared" si="53"/>
        <v>1.6634760671579074</v>
      </c>
    </row>
    <row r="1103" spans="2:16" x14ac:dyDescent="0.25">
      <c r="B1103">
        <v>1102</v>
      </c>
      <c r="C1103">
        <v>-0.30762733529016401</v>
      </c>
      <c r="D1103">
        <v>-0.20056606154932199</v>
      </c>
      <c r="E1103">
        <v>0.37853830967090901</v>
      </c>
      <c r="F1103">
        <f t="shared" si="51"/>
        <v>-0.10706127374084201</v>
      </c>
      <c r="G1103" s="2">
        <f t="shared" si="52"/>
        <v>3.0279937438766402E-2</v>
      </c>
      <c r="M1103">
        <v>0.43384626056062803</v>
      </c>
      <c r="N1103">
        <v>0.43388328811351301</v>
      </c>
      <c r="O1103" s="1">
        <v>6.4565966019122199E-10</v>
      </c>
      <c r="P1103" s="2">
        <f t="shared" si="53"/>
        <v>2.1234711678349951</v>
      </c>
    </row>
    <row r="1104" spans="2:16" x14ac:dyDescent="0.25">
      <c r="B1104">
        <v>1103</v>
      </c>
      <c r="C1104">
        <v>-0.30912106569550002</v>
      </c>
      <c r="D1104">
        <v>-0.193582444757079</v>
      </c>
      <c r="E1104">
        <v>0.38222333302688499</v>
      </c>
      <c r="F1104">
        <f t="shared" si="51"/>
        <v>-0.11553862093842102</v>
      </c>
      <c r="G1104" s="2">
        <f t="shared" si="52"/>
        <v>3.4925060232817287E-2</v>
      </c>
      <c r="M1104">
        <v>0.99376076695311499</v>
      </c>
      <c r="N1104">
        <v>0.99382192559256899</v>
      </c>
      <c r="O1104" s="1">
        <v>1.68885600656324E-9</v>
      </c>
      <c r="P1104" s="2">
        <f t="shared" si="53"/>
        <v>2.2147413191698515</v>
      </c>
    </row>
    <row r="1105" spans="2:16" x14ac:dyDescent="0.25">
      <c r="B1105">
        <v>1104</v>
      </c>
      <c r="C1105">
        <v>-0.308425492473548</v>
      </c>
      <c r="D1105">
        <v>-0.17216536643307301</v>
      </c>
      <c r="E1105">
        <v>0.38050513763020199</v>
      </c>
      <c r="F1105">
        <f t="shared" si="51"/>
        <v>-0.13626012604047499</v>
      </c>
      <c r="G1105" s="2">
        <f t="shared" si="52"/>
        <v>4.8795193842061858E-2</v>
      </c>
      <c r="M1105">
        <v>0.43389791096686903</v>
      </c>
      <c r="N1105">
        <v>0.43394232564720497</v>
      </c>
      <c r="O1105" s="1">
        <v>5.2563074198598296E-10</v>
      </c>
      <c r="P1105" s="2">
        <f t="shared" si="53"/>
        <v>3.7529460736848423</v>
      </c>
    </row>
    <row r="1106" spans="2:16" x14ac:dyDescent="0.25">
      <c r="B1106">
        <v>1105</v>
      </c>
      <c r="C1106">
        <v>-0.29654938257988001</v>
      </c>
      <c r="D1106">
        <v>-0.15924158262984101</v>
      </c>
      <c r="E1106">
        <v>0.35176614523403099</v>
      </c>
      <c r="F1106">
        <f t="shared" si="51"/>
        <v>-0.137307799950039</v>
      </c>
      <c r="G1106" s="2">
        <f t="shared" si="52"/>
        <v>5.3596493530031687E-2</v>
      </c>
      <c r="M1106">
        <v>0.99362676301525199</v>
      </c>
      <c r="N1106">
        <v>0.99373083269113804</v>
      </c>
      <c r="O1106" s="1">
        <v>2.17022155851424E-9</v>
      </c>
      <c r="P1106" s="2">
        <f t="shared" si="53"/>
        <v>4.9905031108634681</v>
      </c>
    </row>
    <row r="1107" spans="2:16" x14ac:dyDescent="0.25">
      <c r="B1107">
        <v>1106</v>
      </c>
      <c r="C1107">
        <v>-0.28871948204058201</v>
      </c>
      <c r="D1107">
        <v>-0.14482932499610099</v>
      </c>
      <c r="E1107">
        <v>0.33343575723912899</v>
      </c>
      <c r="F1107">
        <f t="shared" si="51"/>
        <v>-0.14389015704448102</v>
      </c>
      <c r="G1107" s="2">
        <f t="shared" si="52"/>
        <v>6.2094052136816638E-2</v>
      </c>
      <c r="M1107">
        <v>0.43389532700785199</v>
      </c>
      <c r="N1107">
        <v>0.43392178602347597</v>
      </c>
      <c r="O1107" s="1">
        <v>6.5311498479724698E-10</v>
      </c>
      <c r="P1107" s="2">
        <f t="shared" si="53"/>
        <v>1.0719085062906526</v>
      </c>
    </row>
    <row r="1108" spans="2:16" x14ac:dyDescent="0.25">
      <c r="B1108">
        <v>1107</v>
      </c>
      <c r="C1108">
        <v>-0.30424218156161198</v>
      </c>
      <c r="D1108">
        <v>-0.13371052550277901</v>
      </c>
      <c r="E1108">
        <v>0.37025322016547701</v>
      </c>
      <c r="F1108">
        <f t="shared" si="51"/>
        <v>-0.17053165605883297</v>
      </c>
      <c r="G1108" s="2">
        <f t="shared" si="52"/>
        <v>7.8543667237170642E-2</v>
      </c>
      <c r="M1108">
        <v>0.99370588126165005</v>
      </c>
      <c r="N1108">
        <v>0.99376252227717898</v>
      </c>
      <c r="O1108" s="1">
        <v>2.69457000326336E-9</v>
      </c>
      <c r="P1108" s="2">
        <f t="shared" si="53"/>
        <v>1.1906184052608342</v>
      </c>
    </row>
    <row r="1109" spans="2:16" x14ac:dyDescent="0.25">
      <c r="B1109">
        <v>1108</v>
      </c>
      <c r="C1109">
        <v>-0.27743367918836997</v>
      </c>
      <c r="D1109">
        <v>-0.114994095484289</v>
      </c>
      <c r="E1109">
        <v>0.30787778539198202</v>
      </c>
      <c r="F1109">
        <f t="shared" si="51"/>
        <v>-0.16243958370408096</v>
      </c>
      <c r="G1109" s="2">
        <f t="shared" si="52"/>
        <v>8.5704846552538252E-2</v>
      </c>
      <c r="M1109">
        <v>0.43390937418525999</v>
      </c>
      <c r="N1109">
        <v>0.43395873915931599</v>
      </c>
      <c r="O1109" s="1">
        <v>2.1096829453558298E-9</v>
      </c>
      <c r="P1109" s="2">
        <f t="shared" si="53"/>
        <v>1.1551027934855898</v>
      </c>
    </row>
    <row r="1110" spans="2:16" x14ac:dyDescent="0.25">
      <c r="B1110">
        <v>1109</v>
      </c>
      <c r="C1110">
        <v>-0.27950193017416403</v>
      </c>
      <c r="D1110">
        <v>-0.108270956366704</v>
      </c>
      <c r="E1110">
        <v>0.31248531588433198</v>
      </c>
      <c r="F1110">
        <f t="shared" si="51"/>
        <v>-0.17123097380746002</v>
      </c>
      <c r="G1110" s="2">
        <f t="shared" si="52"/>
        <v>9.3828557377409777E-2</v>
      </c>
      <c r="M1110">
        <v>0.99364231662978397</v>
      </c>
      <c r="N1110">
        <v>0.99370551088654302</v>
      </c>
      <c r="O1110" s="1">
        <v>3.6330423442719302E-9</v>
      </c>
      <c r="P1110" s="2">
        <f t="shared" si="53"/>
        <v>1.0992203527781013</v>
      </c>
    </row>
    <row r="1111" spans="2:16" x14ac:dyDescent="0.25">
      <c r="B1111">
        <v>1110</v>
      </c>
      <c r="C1111">
        <v>-0.29243076403875001</v>
      </c>
      <c r="D1111">
        <v>-8.4463153760595405E-2</v>
      </c>
      <c r="E1111">
        <v>0.34206300702514902</v>
      </c>
      <c r="F1111">
        <f t="shared" si="51"/>
        <v>-0.20796761027815461</v>
      </c>
      <c r="G1111" s="2">
        <f t="shared" si="52"/>
        <v>0.12644023480044583</v>
      </c>
      <c r="M1111">
        <v>3.4937633731518898</v>
      </c>
      <c r="N1111">
        <v>3.4961066200944502</v>
      </c>
      <c r="O1111" s="1">
        <v>6.2037149578716599E-7</v>
      </c>
      <c r="P1111" s="2">
        <f t="shared" si="53"/>
        <v>8.8508357832455076</v>
      </c>
    </row>
    <row r="1112" spans="2:16" x14ac:dyDescent="0.25">
      <c r="B1112">
        <v>1111</v>
      </c>
      <c r="C1112">
        <v>-0.27925121683686599</v>
      </c>
      <c r="D1112">
        <v>-7.4034658687444799E-2</v>
      </c>
      <c r="E1112">
        <v>0.31192496841948197</v>
      </c>
      <c r="F1112">
        <f t="shared" si="51"/>
        <v>-0.20521655814942119</v>
      </c>
      <c r="G1112" s="2">
        <f t="shared" si="52"/>
        <v>0.13501271139686186</v>
      </c>
      <c r="M1112">
        <v>1.6340961472456901</v>
      </c>
      <c r="N1112">
        <v>1.63547679295953</v>
      </c>
      <c r="O1112" s="1">
        <v>2.0190234963294201E-7</v>
      </c>
      <c r="P1112" s="2">
        <f t="shared" si="53"/>
        <v>9.4411114611092657</v>
      </c>
    </row>
    <row r="1113" spans="2:16" x14ac:dyDescent="0.25">
      <c r="B1113">
        <v>1112</v>
      </c>
      <c r="C1113">
        <v>-0.28087946941330599</v>
      </c>
      <c r="D1113">
        <v>-7.0011193058816201E-2</v>
      </c>
      <c r="E1113">
        <v>0.31557310535159999</v>
      </c>
      <c r="F1113">
        <f t="shared" si="51"/>
        <v>-0.21086827635448979</v>
      </c>
      <c r="G1113" s="2">
        <f t="shared" si="52"/>
        <v>0.14090373741821796</v>
      </c>
      <c r="M1113">
        <v>3.5037727713077902</v>
      </c>
      <c r="N1113">
        <v>3.50624097392171</v>
      </c>
      <c r="O1113" s="1">
        <v>5.1123660982672597E-7</v>
      </c>
      <c r="P1113" s="2">
        <f t="shared" si="53"/>
        <v>11.916251743835806</v>
      </c>
    </row>
    <row r="1114" spans="2:16" x14ac:dyDescent="0.25">
      <c r="B1114">
        <v>1113</v>
      </c>
      <c r="C1114">
        <v>-0.29338651764805701</v>
      </c>
      <c r="D1114">
        <v>-6.7736386724887299E-2</v>
      </c>
      <c r="E1114">
        <v>0.34430259495061499</v>
      </c>
      <c r="F1114">
        <f t="shared" si="51"/>
        <v>-0.22565013092316971</v>
      </c>
      <c r="G1114" s="2">
        <f t="shared" si="52"/>
        <v>0.14788730126459559</v>
      </c>
      <c r="M1114">
        <v>3.49701869702435</v>
      </c>
      <c r="N1114">
        <v>3.4969947477401599</v>
      </c>
      <c r="O1114" s="1">
        <v>2.9772457184807401E-7</v>
      </c>
      <c r="P1114" s="2">
        <f t="shared" si="53"/>
        <v>1.9265061316719578E-3</v>
      </c>
    </row>
    <row r="1115" spans="2:16" x14ac:dyDescent="0.25">
      <c r="B1115">
        <v>1114</v>
      </c>
      <c r="C1115">
        <v>-0.283855344670017</v>
      </c>
      <c r="D1115">
        <v>-5.9974353462846297E-2</v>
      </c>
      <c r="E1115">
        <v>0.32229542679093698</v>
      </c>
      <c r="F1115">
        <f t="shared" si="51"/>
        <v>-0.2238809912071707</v>
      </c>
      <c r="G1115" s="2">
        <f t="shared" si="52"/>
        <v>0.1555178698096088</v>
      </c>
      <c r="M1115">
        <v>1.63542952965042</v>
      </c>
      <c r="N1115">
        <v>1.63571959292652</v>
      </c>
      <c r="O1115" s="1">
        <v>6.2947123874633301E-8</v>
      </c>
      <c r="P1115" s="2">
        <f t="shared" si="53"/>
        <v>1.3366250745539321</v>
      </c>
    </row>
    <row r="1116" spans="2:16" x14ac:dyDescent="0.25">
      <c r="B1116">
        <v>1115</v>
      </c>
      <c r="C1116">
        <v>-0.301582220166907</v>
      </c>
      <c r="D1116">
        <v>-6.6685215522126001E-2</v>
      </c>
      <c r="E1116">
        <v>0.36380734208320298</v>
      </c>
      <c r="F1116">
        <f t="shared" si="51"/>
        <v>-0.234897004644781</v>
      </c>
      <c r="G1116" s="2">
        <f t="shared" si="52"/>
        <v>0.15166434650588043</v>
      </c>
      <c r="M1116">
        <v>3.5064122694547799</v>
      </c>
      <c r="N1116">
        <v>3.5065317284791102</v>
      </c>
      <c r="O1116" s="1">
        <v>2.9367261343907198E-7</v>
      </c>
      <c r="P1116" s="2">
        <f t="shared" si="53"/>
        <v>4.859308577273528E-2</v>
      </c>
    </row>
    <row r="1117" spans="2:16" x14ac:dyDescent="0.25">
      <c r="B1117">
        <v>1116</v>
      </c>
      <c r="C1117">
        <v>-0.22647000631974101</v>
      </c>
      <c r="D1117">
        <v>-0.231512282553231</v>
      </c>
      <c r="E1117">
        <v>0.205154655049854</v>
      </c>
      <c r="F1117">
        <f t="shared" si="51"/>
        <v>5.0422762334899895E-3</v>
      </c>
      <c r="G1117" s="2">
        <f t="shared" si="52"/>
        <v>1.2392869958831622E-4</v>
      </c>
      <c r="M1117">
        <v>3.49916144219155</v>
      </c>
      <c r="N1117">
        <v>3.4990711689944902</v>
      </c>
      <c r="O1117" s="1">
        <v>3.2437191079824298E-7</v>
      </c>
      <c r="P1117" s="2">
        <f t="shared" si="53"/>
        <v>2.5123168301906106E-2</v>
      </c>
    </row>
    <row r="1118" spans="2:16" x14ac:dyDescent="0.25">
      <c r="B1118">
        <v>1117</v>
      </c>
      <c r="C1118">
        <v>-0.24767783086261899</v>
      </c>
      <c r="D1118">
        <v>-0.21415960205288601</v>
      </c>
      <c r="E1118">
        <v>0.24537723160324901</v>
      </c>
      <c r="F1118">
        <f t="shared" si="51"/>
        <v>-3.3518228809732986E-2</v>
      </c>
      <c r="G1118" s="2">
        <f t="shared" si="52"/>
        <v>4.5785489354536286E-3</v>
      </c>
      <c r="M1118">
        <v>1.6361684053237699</v>
      </c>
      <c r="N1118">
        <v>1.63628715348901</v>
      </c>
      <c r="O1118" s="1">
        <v>9.1067336040395496E-8</v>
      </c>
      <c r="P1118" s="2">
        <f t="shared" si="53"/>
        <v>0.15484285981114293</v>
      </c>
    </row>
    <row r="1119" spans="2:16" x14ac:dyDescent="0.25">
      <c r="B1119">
        <v>1118</v>
      </c>
      <c r="C1119">
        <v>-0.274554333515591</v>
      </c>
      <c r="D1119">
        <v>-0.21880213605226501</v>
      </c>
      <c r="E1119">
        <v>0.30152032820876201</v>
      </c>
      <c r="F1119">
        <f t="shared" si="51"/>
        <v>-5.5752197463325992E-2</v>
      </c>
      <c r="G1119" s="2">
        <f t="shared" si="52"/>
        <v>1.0308782629865045E-2</v>
      </c>
      <c r="M1119">
        <v>3.50731838523902</v>
      </c>
      <c r="N1119">
        <v>3.50721131168127</v>
      </c>
      <c r="O1119" s="1">
        <v>2.1492421997380601E-7</v>
      </c>
      <c r="P1119" s="2">
        <f t="shared" si="53"/>
        <v>5.3343205203366648E-2</v>
      </c>
    </row>
    <row r="1120" spans="2:16" x14ac:dyDescent="0.25">
      <c r="B1120">
        <v>1119</v>
      </c>
      <c r="C1120">
        <v>-0.30084003679896398</v>
      </c>
      <c r="D1120">
        <v>-0.233569728684901</v>
      </c>
      <c r="E1120">
        <v>0.36201891096480798</v>
      </c>
      <c r="F1120">
        <f t="shared" si="51"/>
        <v>-6.7270308114062982E-2</v>
      </c>
      <c r="G1120" s="2">
        <f t="shared" si="52"/>
        <v>1.2500160120643183E-2</v>
      </c>
      <c r="M1120">
        <v>3.5002236214447202</v>
      </c>
      <c r="N1120">
        <v>3.4990559938477599</v>
      </c>
      <c r="O1120" s="1">
        <v>5.5499275130829802E-7</v>
      </c>
      <c r="P1120" s="2">
        <f t="shared" si="53"/>
        <v>2.4565261473586109</v>
      </c>
    </row>
    <row r="1121" spans="2:16" x14ac:dyDescent="0.25">
      <c r="B1121">
        <v>1120</v>
      </c>
      <c r="C1121">
        <v>-0.31033525986468702</v>
      </c>
      <c r="D1121">
        <v>-0.216291773970367</v>
      </c>
      <c r="E1121">
        <v>0.38523189406113101</v>
      </c>
      <c r="F1121">
        <f t="shared" si="51"/>
        <v>-9.4043485894320017E-2</v>
      </c>
      <c r="G1121" s="2">
        <f t="shared" si="52"/>
        <v>2.2958060782349757E-2</v>
      </c>
      <c r="M1121">
        <v>1.63627361860972</v>
      </c>
      <c r="N1121">
        <v>1.6362830060837501</v>
      </c>
      <c r="O1121" s="1">
        <v>1.5601561353463199E-7</v>
      </c>
      <c r="P1121" s="2">
        <f t="shared" si="53"/>
        <v>5.6484518869402375E-4</v>
      </c>
    </row>
    <row r="1122" spans="2:16" x14ac:dyDescent="0.25">
      <c r="B1122">
        <v>1121</v>
      </c>
      <c r="C1122">
        <v>-0.25788502117801299</v>
      </c>
      <c r="D1122">
        <v>-0.22661471490823501</v>
      </c>
      <c r="E1122">
        <v>0.26601873659193798</v>
      </c>
      <c r="F1122">
        <f t="shared" si="51"/>
        <v>-3.1270306269777975E-2</v>
      </c>
      <c r="G1122" s="2">
        <f t="shared" si="52"/>
        <v>3.6758014368952919E-3</v>
      </c>
      <c r="M1122">
        <v>3.5087047957111301</v>
      </c>
      <c r="N1122">
        <v>3.5072063460565901</v>
      </c>
      <c r="O1122" s="1">
        <v>5.4396531578852496E-7</v>
      </c>
      <c r="P1122" s="2">
        <f t="shared" si="53"/>
        <v>4.1277473067126564</v>
      </c>
    </row>
    <row r="1123" spans="2:16" x14ac:dyDescent="0.25">
      <c r="B1123">
        <v>1122</v>
      </c>
      <c r="C1123">
        <v>-0.25017322078467003</v>
      </c>
      <c r="D1123">
        <v>-0.240809375615397</v>
      </c>
      <c r="E1123">
        <v>0.25034656159110102</v>
      </c>
      <c r="F1123">
        <f t="shared" si="51"/>
        <v>-9.3638451692730218E-3</v>
      </c>
      <c r="G1123" s="2">
        <f t="shared" si="52"/>
        <v>3.5024086529029637E-4</v>
      </c>
      <c r="M1123">
        <v>3.5012507201454102</v>
      </c>
      <c r="N1123">
        <v>3.5008613352272802</v>
      </c>
      <c r="O1123" s="1">
        <v>3.02700016636631E-7</v>
      </c>
      <c r="P1123" s="2">
        <f t="shared" si="53"/>
        <v>0.50089397467434971</v>
      </c>
    </row>
    <row r="1124" spans="2:16" x14ac:dyDescent="0.25">
      <c r="B1124">
        <v>1123</v>
      </c>
      <c r="C1124">
        <v>-0.18094791512703601</v>
      </c>
      <c r="D1124">
        <v>-0.22087464682928401</v>
      </c>
      <c r="E1124">
        <v>0.13096859195528399</v>
      </c>
      <c r="F1124">
        <f t="shared" si="51"/>
        <v>3.9926731702248003E-2</v>
      </c>
      <c r="G1124" s="2">
        <f t="shared" si="52"/>
        <v>1.2171955738575681E-2</v>
      </c>
      <c r="M1124">
        <v>1.63745774454204</v>
      </c>
      <c r="N1124">
        <v>1.6367763579244401</v>
      </c>
      <c r="O1124" s="1">
        <v>5.7242648672536297E-8</v>
      </c>
      <c r="P1124" s="2">
        <f t="shared" si="53"/>
        <v>8.1108707128526145</v>
      </c>
    </row>
    <row r="1125" spans="2:16" x14ac:dyDescent="0.25">
      <c r="B1125">
        <v>1124</v>
      </c>
      <c r="C1125">
        <v>-0.281270697747381</v>
      </c>
      <c r="D1125">
        <v>-0.23082295923434601</v>
      </c>
      <c r="E1125">
        <v>0.316452821645194</v>
      </c>
      <c r="F1125">
        <f t="shared" si="51"/>
        <v>-5.0447738513034995E-2</v>
      </c>
      <c r="G1125" s="2">
        <f t="shared" si="52"/>
        <v>8.0421919066753396E-3</v>
      </c>
      <c r="M1125">
        <v>3.5085603728467598</v>
      </c>
      <c r="N1125">
        <v>3.50779698967572</v>
      </c>
      <c r="O1125" s="1">
        <v>3.9110152822164601E-7</v>
      </c>
      <c r="P1125" s="2">
        <f t="shared" si="53"/>
        <v>1.4900321880015905</v>
      </c>
    </row>
    <row r="1126" spans="2:16" x14ac:dyDescent="0.25">
      <c r="B1126">
        <v>1125</v>
      </c>
      <c r="C1126">
        <v>-0.25557200590451601</v>
      </c>
      <c r="D1126">
        <v>-0.240524398879504</v>
      </c>
      <c r="E1126">
        <v>0.26126820080823199</v>
      </c>
      <c r="F1126">
        <f t="shared" si="51"/>
        <v>-1.5047607025012011E-2</v>
      </c>
      <c r="G1126" s="2">
        <f t="shared" si="52"/>
        <v>8.6665915131933075E-4</v>
      </c>
      <c r="M1126">
        <v>3.4998853229389999</v>
      </c>
      <c r="N1126">
        <v>3.5000235639890098</v>
      </c>
      <c r="O1126" s="1">
        <v>4.3129823706743199E-7</v>
      </c>
      <c r="P1126" s="2">
        <f t="shared" si="53"/>
        <v>4.4309450550474763E-2</v>
      </c>
    </row>
    <row r="1127" spans="2:16" x14ac:dyDescent="0.25">
      <c r="B1127">
        <v>1126</v>
      </c>
      <c r="C1127">
        <v>-0.19149147065951799</v>
      </c>
      <c r="D1127">
        <v>-0.225089858140573</v>
      </c>
      <c r="E1127">
        <v>0.14667593334138099</v>
      </c>
      <c r="F1127">
        <f t="shared" si="51"/>
        <v>3.3598387481055009E-2</v>
      </c>
      <c r="G1127" s="2">
        <f t="shared" si="52"/>
        <v>7.6962294741276171E-3</v>
      </c>
      <c r="M1127">
        <v>1.6360917480994399</v>
      </c>
      <c r="N1127">
        <v>1.6365474304508001</v>
      </c>
      <c r="O1127" s="1">
        <v>1.0828557611201799E-7</v>
      </c>
      <c r="P1127" s="2">
        <f t="shared" si="53"/>
        <v>1.9175813879988528</v>
      </c>
    </row>
    <row r="1128" spans="2:16" x14ac:dyDescent="0.25">
      <c r="B1128">
        <v>1127</v>
      </c>
      <c r="C1128">
        <v>-0.20541417277814999</v>
      </c>
      <c r="D1128">
        <v>-0.23370294934803201</v>
      </c>
      <c r="E1128">
        <v>0.16877992951252599</v>
      </c>
      <c r="F1128">
        <f t="shared" si="51"/>
        <v>2.8288776569882018E-2</v>
      </c>
      <c r="G1128" s="2">
        <f t="shared" si="52"/>
        <v>4.7414102028127403E-3</v>
      </c>
      <c r="M1128">
        <v>3.5071667860343601</v>
      </c>
      <c r="N1128">
        <v>3.5075229261806702</v>
      </c>
      <c r="O1128" s="1">
        <v>3.3132764541204301E-7</v>
      </c>
      <c r="P1128" s="2">
        <f t="shared" si="53"/>
        <v>0.38281080848557081</v>
      </c>
    </row>
    <row r="1129" spans="2:16" x14ac:dyDescent="0.25">
      <c r="B1129">
        <v>1128</v>
      </c>
      <c r="C1129">
        <v>-0.25313131911085202</v>
      </c>
      <c r="D1129">
        <v>-0.238111367433921</v>
      </c>
      <c r="E1129">
        <v>0.25630185885920098</v>
      </c>
      <c r="F1129">
        <f t="shared" si="51"/>
        <v>-1.5019951676931015E-2</v>
      </c>
      <c r="G1129" s="2">
        <f t="shared" si="52"/>
        <v>8.8020800700191267E-4</v>
      </c>
      <c r="M1129">
        <v>3.50125329192843</v>
      </c>
      <c r="N1129">
        <v>3.50143077166017</v>
      </c>
      <c r="O1129" s="1">
        <v>2.1002110382463901E-7</v>
      </c>
      <c r="P1129" s="2">
        <f t="shared" si="53"/>
        <v>0.14998042865633546</v>
      </c>
    </row>
    <row r="1130" spans="2:16" x14ac:dyDescent="0.25">
      <c r="B1130">
        <v>1129</v>
      </c>
      <c r="C1130">
        <v>-0.24413375561213599</v>
      </c>
      <c r="D1130">
        <v>-0.22742535701945099</v>
      </c>
      <c r="E1130">
        <v>0.238405162517145</v>
      </c>
      <c r="F1130">
        <f t="shared" si="51"/>
        <v>-1.6708398592684998E-2</v>
      </c>
      <c r="G1130" s="2">
        <f t="shared" si="52"/>
        <v>1.1709921907079564E-3</v>
      </c>
      <c r="M1130">
        <v>1.6366781196537501</v>
      </c>
      <c r="N1130">
        <v>1.63693194784027</v>
      </c>
      <c r="O1130" s="1">
        <v>1.06045673311321E-7</v>
      </c>
      <c r="P1130" s="2">
        <f t="shared" si="53"/>
        <v>0.60755659575868837</v>
      </c>
    </row>
    <row r="1131" spans="2:16" x14ac:dyDescent="0.25">
      <c r="B1131">
        <v>1130</v>
      </c>
      <c r="C1131">
        <v>-0.27376673947595997</v>
      </c>
      <c r="D1131">
        <v>-0.23171405561304201</v>
      </c>
      <c r="E1131">
        <v>0.29979291057319202</v>
      </c>
      <c r="F1131">
        <f t="shared" si="51"/>
        <v>-4.2052683862917967E-2</v>
      </c>
      <c r="G1131" s="2">
        <f t="shared" si="52"/>
        <v>5.898832686514692E-3</v>
      </c>
      <c r="M1131">
        <v>3.5078505977468599</v>
      </c>
      <c r="N1131">
        <v>3.5079832465044398</v>
      </c>
      <c r="O1131" s="1">
        <v>2.6714731557370702E-7</v>
      </c>
      <c r="P1131" s="2">
        <f t="shared" si="53"/>
        <v>6.5865130816321213E-2</v>
      </c>
    </row>
    <row r="1132" spans="2:16" x14ac:dyDescent="0.25">
      <c r="B1132">
        <v>1131</v>
      </c>
      <c r="C1132">
        <v>-0.30824338183108901</v>
      </c>
      <c r="D1132">
        <v>-0.24161579251909801</v>
      </c>
      <c r="E1132">
        <v>0.38005592977066599</v>
      </c>
      <c r="F1132">
        <f t="shared" si="51"/>
        <v>-6.6627589311991003E-2</v>
      </c>
      <c r="G1132" s="2">
        <f t="shared" si="52"/>
        <v>1.1680479923589324E-2</v>
      </c>
      <c r="M1132">
        <v>3.5021224688423298</v>
      </c>
      <c r="N1132">
        <v>3.5019048576975198</v>
      </c>
      <c r="O1132" s="1">
        <v>3.3222549079365299E-7</v>
      </c>
      <c r="P1132" s="2">
        <f t="shared" si="53"/>
        <v>0.14253755854915007</v>
      </c>
    </row>
    <row r="1133" spans="2:16" x14ac:dyDescent="0.25">
      <c r="B1133">
        <v>1132</v>
      </c>
      <c r="C1133">
        <v>-0.229352260962847</v>
      </c>
      <c r="D1133">
        <v>-0.226493203987467</v>
      </c>
      <c r="E1133">
        <v>0.21040983843507899</v>
      </c>
      <c r="F1133">
        <f t="shared" si="51"/>
        <v>-2.8590569753799977E-3</v>
      </c>
      <c r="G1133" s="2">
        <f t="shared" si="52"/>
        <v>3.8848976118534185E-5</v>
      </c>
      <c r="M1133">
        <v>1.6372377465410699</v>
      </c>
      <c r="N1133">
        <v>1.6370614766774201</v>
      </c>
      <c r="O1133" s="1">
        <v>1.2907121768154301E-7</v>
      </c>
      <c r="P1133" s="2">
        <f t="shared" si="53"/>
        <v>0.24072806772296385</v>
      </c>
    </row>
    <row r="1134" spans="2:16" x14ac:dyDescent="0.25">
      <c r="B1134">
        <v>1133</v>
      </c>
      <c r="C1134">
        <v>-0.18420066424513301</v>
      </c>
      <c r="D1134">
        <v>-0.238121121079826</v>
      </c>
      <c r="E1134">
        <v>0.13571953883339199</v>
      </c>
      <c r="F1134">
        <f t="shared" si="51"/>
        <v>5.3920456834692987E-2</v>
      </c>
      <c r="G1134" s="2">
        <f t="shared" si="52"/>
        <v>2.1422233602127878E-2</v>
      </c>
      <c r="M1134">
        <v>3.50839795766636</v>
      </c>
      <c r="N1134">
        <v>3.5081382996316499</v>
      </c>
      <c r="O1134" s="1">
        <v>3.1669471838535301E-7</v>
      </c>
      <c r="P1134" s="2">
        <f t="shared" si="53"/>
        <v>0.21289365144212366</v>
      </c>
    </row>
    <row r="1135" spans="2:16" x14ac:dyDescent="0.25">
      <c r="B1135">
        <v>1134</v>
      </c>
      <c r="C1135">
        <v>-0.30362848409210302</v>
      </c>
      <c r="D1135">
        <v>-0.24439243167013699</v>
      </c>
      <c r="E1135">
        <v>0.36876102540827399</v>
      </c>
      <c r="F1135">
        <f t="shared" si="51"/>
        <v>-5.9236052421966029E-2</v>
      </c>
      <c r="G1135" s="2">
        <f t="shared" si="52"/>
        <v>9.5154033771682241E-3</v>
      </c>
      <c r="M1135">
        <v>3.5038231088652698</v>
      </c>
      <c r="N1135">
        <v>3.5032426887604502</v>
      </c>
      <c r="O1135" s="1">
        <v>2.6835462604293E-7</v>
      </c>
      <c r="P1135" s="2">
        <f t="shared" si="53"/>
        <v>1.2553817426084879</v>
      </c>
    </row>
    <row r="1136" spans="2:16" x14ac:dyDescent="0.25">
      <c r="B1136">
        <v>1135</v>
      </c>
      <c r="C1136">
        <v>-0.202639068368512</v>
      </c>
      <c r="D1136">
        <v>-0.23010879408653501</v>
      </c>
      <c r="E1136">
        <v>0.164250368117034</v>
      </c>
      <c r="F1136">
        <f t="shared" si="51"/>
        <v>2.7469725718023003E-2</v>
      </c>
      <c r="G1136" s="2">
        <f t="shared" si="52"/>
        <v>4.5941195729055908E-3</v>
      </c>
      <c r="M1136">
        <v>1.6382663388304799</v>
      </c>
      <c r="N1136">
        <v>1.6374269569089099</v>
      </c>
      <c r="O1136" s="1">
        <v>6.5069049345942805E-8</v>
      </c>
      <c r="P1136" s="2">
        <f t="shared" si="53"/>
        <v>10.827913076040788</v>
      </c>
    </row>
    <row r="1137" spans="2:16" x14ac:dyDescent="0.25">
      <c r="B1137">
        <v>1136</v>
      </c>
      <c r="C1137">
        <v>-0.20537804805282101</v>
      </c>
      <c r="D1137">
        <v>-0.242710348129488</v>
      </c>
      <c r="E1137">
        <v>0.168720570487947</v>
      </c>
      <c r="F1137">
        <f t="shared" si="51"/>
        <v>3.7332300076666991E-2</v>
      </c>
      <c r="G1137" s="2">
        <f t="shared" si="52"/>
        <v>8.2604072815998016E-3</v>
      </c>
      <c r="M1137">
        <v>3.5089899176333699</v>
      </c>
      <c r="N1137">
        <v>3.50857577033366</v>
      </c>
      <c r="O1137" s="1">
        <v>2.4562530197111E-7</v>
      </c>
      <c r="P1137" s="2">
        <f t="shared" si="53"/>
        <v>0.69829119590120592</v>
      </c>
    </row>
    <row r="1138" spans="2:16" x14ac:dyDescent="0.25">
      <c r="B1138">
        <v>1137</v>
      </c>
      <c r="C1138">
        <v>-0.214152180973082</v>
      </c>
      <c r="D1138">
        <v>-0.24520302877156699</v>
      </c>
      <c r="E1138">
        <v>0.18344462646211099</v>
      </c>
      <c r="F1138">
        <f t="shared" si="51"/>
        <v>3.1050847798484993E-2</v>
      </c>
      <c r="G1138" s="2">
        <f t="shared" si="52"/>
        <v>5.2558375112929179E-3</v>
      </c>
      <c r="M1138">
        <v>3.50277372349563</v>
      </c>
      <c r="N1138">
        <v>3.5024340240401899</v>
      </c>
      <c r="O1138" s="1">
        <v>2.8530248576523599E-7</v>
      </c>
      <c r="P1138" s="2">
        <f t="shared" si="53"/>
        <v>0.40446797971909643</v>
      </c>
    </row>
    <row r="1139" spans="2:16" x14ac:dyDescent="0.25">
      <c r="B1139">
        <v>1138</v>
      </c>
      <c r="C1139">
        <v>-0.26916727063204898</v>
      </c>
      <c r="D1139">
        <v>-0.22973297313067501</v>
      </c>
      <c r="E1139">
        <v>0.28980407831802601</v>
      </c>
      <c r="F1139">
        <f t="shared" si="51"/>
        <v>-3.9434297501373977E-2</v>
      </c>
      <c r="G1139" s="2">
        <f t="shared" si="52"/>
        <v>5.3659142012500239E-3</v>
      </c>
      <c r="M1139">
        <v>1.6374082392949201</v>
      </c>
      <c r="N1139">
        <v>1.6372060458392299</v>
      </c>
      <c r="O1139" s="1">
        <v>8.2579019103398401E-8</v>
      </c>
      <c r="P1139" s="2">
        <f t="shared" si="53"/>
        <v>0.49506756035383903</v>
      </c>
    </row>
    <row r="1140" spans="2:16" x14ac:dyDescent="0.25">
      <c r="B1140">
        <v>1139</v>
      </c>
      <c r="C1140">
        <v>-0.21496256475517</v>
      </c>
      <c r="D1140">
        <v>-0.24090205818654001</v>
      </c>
      <c r="E1140">
        <v>0.184835616984482</v>
      </c>
      <c r="F1140">
        <f t="shared" si="51"/>
        <v>2.5939493431370003E-2</v>
      </c>
      <c r="G1140" s="2">
        <f t="shared" si="52"/>
        <v>3.6403012063014766E-3</v>
      </c>
      <c r="M1140">
        <v>3.5087620124776899</v>
      </c>
      <c r="N1140">
        <v>3.5083113504580998</v>
      </c>
      <c r="O1140" s="1">
        <v>3.1683707520318801E-7</v>
      </c>
      <c r="P1140" s="2">
        <f t="shared" si="53"/>
        <v>0.64101164856032045</v>
      </c>
    </row>
    <row r="1141" spans="2:16" x14ac:dyDescent="0.25">
      <c r="B1141">
        <v>1140</v>
      </c>
      <c r="C1141">
        <v>-0.17363383607159899</v>
      </c>
      <c r="D1141">
        <v>-0.24735872135654799</v>
      </c>
      <c r="E1141">
        <v>0.120594836115755</v>
      </c>
      <c r="F1141">
        <f t="shared" si="51"/>
        <v>7.3724885284948999E-2</v>
      </c>
      <c r="G1141" s="2">
        <f t="shared" si="52"/>
        <v>4.5071239244951315E-2</v>
      </c>
      <c r="M1141">
        <v>3.5033922633793102</v>
      </c>
      <c r="N1141">
        <v>3.5036451538176099</v>
      </c>
      <c r="O1141" s="1">
        <v>2.4397034639775801E-7</v>
      </c>
      <c r="P1141" s="2">
        <f t="shared" si="53"/>
        <v>0.26213666836024929</v>
      </c>
    </row>
    <row r="1142" spans="2:16" x14ac:dyDescent="0.25">
      <c r="B1142">
        <v>1141</v>
      </c>
      <c r="C1142">
        <v>-0.25368548914218803</v>
      </c>
      <c r="D1142">
        <v>-0.22351426510109901</v>
      </c>
      <c r="E1142">
        <v>0.25742530960524501</v>
      </c>
      <c r="F1142">
        <f t="shared" si="51"/>
        <v>-3.0171224041089018E-2</v>
      </c>
      <c r="G1142" s="2">
        <f t="shared" si="52"/>
        <v>3.5361820542568773E-3</v>
      </c>
      <c r="M1142">
        <v>1.6372038625937599</v>
      </c>
      <c r="N1142">
        <v>1.6375368944359701</v>
      </c>
      <c r="O1142" s="1">
        <v>1.06927671479824E-7</v>
      </c>
      <c r="P1142" s="2">
        <f t="shared" si="53"/>
        <v>1.0372451432910217</v>
      </c>
    </row>
    <row r="1143" spans="2:16" x14ac:dyDescent="0.25">
      <c r="B1143">
        <v>1142</v>
      </c>
      <c r="C1143">
        <v>-0.249463998499801</v>
      </c>
      <c r="D1143">
        <v>-0.22928700558331999</v>
      </c>
      <c r="E1143">
        <v>0.24892914619003501</v>
      </c>
      <c r="F1143">
        <f t="shared" si="51"/>
        <v>-2.0176992916481007E-2</v>
      </c>
      <c r="G1143" s="2">
        <f t="shared" si="52"/>
        <v>1.6354494818414398E-3</v>
      </c>
      <c r="M1143">
        <v>3.50857954367999</v>
      </c>
      <c r="N1143">
        <v>3.5087073543730098</v>
      </c>
      <c r="O1143" s="1">
        <v>2.37020247508746E-7</v>
      </c>
      <c r="P1143" s="2">
        <f t="shared" si="53"/>
        <v>6.8920581350765814E-2</v>
      </c>
    </row>
    <row r="1144" spans="2:16" x14ac:dyDescent="0.25">
      <c r="B1144">
        <v>1143</v>
      </c>
      <c r="C1144">
        <v>-0.16432584522848301</v>
      </c>
      <c r="D1144">
        <v>-0.22856877029499101</v>
      </c>
      <c r="E1144">
        <v>0.10801193364022101</v>
      </c>
      <c r="F1144">
        <f t="shared" si="51"/>
        <v>6.4242925066508E-2</v>
      </c>
      <c r="G1144" s="2">
        <f t="shared" si="52"/>
        <v>3.8210161433163262E-2</v>
      </c>
      <c r="M1144">
        <v>3.5048022657678199</v>
      </c>
      <c r="N1144">
        <v>3.50557305466572</v>
      </c>
      <c r="O1144" s="1">
        <v>2.34492264348678E-7</v>
      </c>
      <c r="P1144" s="2">
        <f t="shared" si="53"/>
        <v>2.533625263827727</v>
      </c>
    </row>
    <row r="1145" spans="2:16" x14ac:dyDescent="0.25">
      <c r="B1145">
        <v>1144</v>
      </c>
      <c r="C1145">
        <v>-0.211246425369883</v>
      </c>
      <c r="D1145">
        <v>-0.22860614554063499</v>
      </c>
      <c r="E1145">
        <v>0.17850020892621499</v>
      </c>
      <c r="F1145">
        <f t="shared" si="51"/>
        <v>1.7359720170751991E-2</v>
      </c>
      <c r="G1145" s="2">
        <f t="shared" si="52"/>
        <v>1.6882886928798158E-3</v>
      </c>
      <c r="M1145">
        <v>1.63790488799081</v>
      </c>
      <c r="N1145">
        <v>1.63806344789197</v>
      </c>
      <c r="O1145" s="1">
        <v>5.5298186272549298E-8</v>
      </c>
      <c r="P1145" s="2">
        <f t="shared" si="53"/>
        <v>0.45464858706123334</v>
      </c>
    </row>
    <row r="1146" spans="2:16" x14ac:dyDescent="0.25">
      <c r="B1146">
        <v>1145</v>
      </c>
      <c r="C1146">
        <v>-0.20284298026588299</v>
      </c>
      <c r="D1146">
        <v>-0.224640234947206</v>
      </c>
      <c r="E1146">
        <v>0.16458109857258099</v>
      </c>
      <c r="F1146">
        <f t="shared" si="51"/>
        <v>2.1797254681323014E-2</v>
      </c>
      <c r="G1146" s="2">
        <f t="shared" si="52"/>
        <v>2.8868461552583932E-3</v>
      </c>
      <c r="M1146">
        <v>3.5079228286973301</v>
      </c>
      <c r="N1146">
        <v>3.5093375312528901</v>
      </c>
      <c r="O1146" s="1">
        <v>2.37142195200258E-7</v>
      </c>
      <c r="P1146" s="2">
        <f t="shared" si="53"/>
        <v>8.4395917774895928</v>
      </c>
    </row>
    <row r="1147" spans="2:16" x14ac:dyDescent="0.25">
      <c r="B1147">
        <v>1146</v>
      </c>
      <c r="C1147">
        <v>-0.19209482942636999</v>
      </c>
      <c r="D1147">
        <v>-0.23181106425256601</v>
      </c>
      <c r="E1147">
        <v>0.14760169396938499</v>
      </c>
      <c r="F1147">
        <f t="shared" si="51"/>
        <v>3.9716234826196017E-2</v>
      </c>
      <c r="G1147" s="2">
        <f t="shared" si="52"/>
        <v>1.0686729036434498E-2</v>
      </c>
      <c r="M1147">
        <v>3.50589553106161</v>
      </c>
      <c r="N1147">
        <v>3.5061307287299801</v>
      </c>
      <c r="O1147" s="1">
        <v>2.94499414297377E-7</v>
      </c>
      <c r="P1147" s="2">
        <f t="shared" si="53"/>
        <v>0.18783719260940168</v>
      </c>
    </row>
    <row r="1148" spans="2:16" x14ac:dyDescent="0.25">
      <c r="B1148">
        <v>1147</v>
      </c>
      <c r="C1148">
        <v>-0.19772069739888401</v>
      </c>
      <c r="D1148">
        <v>-0.23284818733926299</v>
      </c>
      <c r="E1148">
        <v>0.156373896719603</v>
      </c>
      <c r="F1148">
        <f t="shared" si="51"/>
        <v>3.5127489940378981E-2</v>
      </c>
      <c r="G1148" s="2">
        <f t="shared" si="52"/>
        <v>7.890962464944062E-3</v>
      </c>
      <c r="M1148">
        <v>1.6381047505347499</v>
      </c>
      <c r="N1148">
        <v>1.6382157388885901</v>
      </c>
      <c r="O1148" s="1">
        <v>1.1713130109140999E-7</v>
      </c>
      <c r="P1148" s="2">
        <f t="shared" si="53"/>
        <v>0.10516757325639824</v>
      </c>
    </row>
    <row r="1149" spans="2:16" x14ac:dyDescent="0.25">
      <c r="B1149">
        <v>1148</v>
      </c>
      <c r="C1149">
        <v>-0.184459613893517</v>
      </c>
      <c r="D1149">
        <v>-0.22838681105877301</v>
      </c>
      <c r="E1149">
        <v>0.136101396630981</v>
      </c>
      <c r="F1149">
        <f t="shared" si="51"/>
        <v>4.3927197165256004E-2</v>
      </c>
      <c r="G1149" s="2">
        <f t="shared" si="52"/>
        <v>1.4177655031910505E-2</v>
      </c>
      <c r="M1149">
        <v>3.5092528060141999</v>
      </c>
      <c r="N1149">
        <v>3.5095197757825498</v>
      </c>
      <c r="O1149" s="1">
        <v>2.7057893869931997E-7</v>
      </c>
      <c r="P1149" s="2">
        <f t="shared" si="53"/>
        <v>0.26340873962856753</v>
      </c>
    </row>
    <row r="1150" spans="2:16" x14ac:dyDescent="0.25">
      <c r="B1150">
        <v>1149</v>
      </c>
      <c r="C1150">
        <v>-0.192542072489225</v>
      </c>
      <c r="D1150">
        <v>-0.23000394065333499</v>
      </c>
      <c r="E1150">
        <v>0.148289798713784</v>
      </c>
      <c r="F1150">
        <f t="shared" si="51"/>
        <v>3.7461868164109985E-2</v>
      </c>
      <c r="G1150" s="2">
        <f t="shared" si="52"/>
        <v>9.4638443002668087E-3</v>
      </c>
      <c r="M1150">
        <v>3.5057105398616102</v>
      </c>
      <c r="N1150">
        <v>3.5058235836864702</v>
      </c>
      <c r="O1150" s="1">
        <v>2.6461563701713902E-7</v>
      </c>
      <c r="P1150" s="2">
        <f t="shared" si="53"/>
        <v>4.8292332543254365E-2</v>
      </c>
    </row>
    <row r="1151" spans="2:16" x14ac:dyDescent="0.25">
      <c r="B1151">
        <v>1150</v>
      </c>
      <c r="C1151">
        <v>-0.204700745754022</v>
      </c>
      <c r="D1151">
        <v>-0.226729504998923</v>
      </c>
      <c r="E1151">
        <v>0.16760958124901201</v>
      </c>
      <c r="F1151">
        <f t="shared" si="51"/>
        <v>2.2028759244900997E-2</v>
      </c>
      <c r="G1151" s="2">
        <f t="shared" si="52"/>
        <v>2.8952177450337229E-3</v>
      </c>
      <c r="M1151">
        <v>1.6388113508536499</v>
      </c>
      <c r="N1151">
        <v>1.63813186421475</v>
      </c>
      <c r="O1151" s="1">
        <v>6.8999391125197899E-8</v>
      </c>
      <c r="P1151" s="2">
        <f t="shared" si="53"/>
        <v>6.6913937197762925</v>
      </c>
    </row>
    <row r="1152" spans="2:16" x14ac:dyDescent="0.25">
      <c r="B1152">
        <v>1151</v>
      </c>
      <c r="C1152">
        <v>-0.224011252346417</v>
      </c>
      <c r="D1152">
        <v>-0.236241694846825</v>
      </c>
      <c r="E1152">
        <v>0.20072416471123999</v>
      </c>
      <c r="F1152">
        <f t="shared" si="51"/>
        <v>1.2230442500408001E-2</v>
      </c>
      <c r="G1152" s="2">
        <f t="shared" si="52"/>
        <v>7.4522030753485088E-4</v>
      </c>
      <c r="M1152">
        <v>3.5093984883844498</v>
      </c>
      <c r="N1152">
        <v>3.5094194050454401</v>
      </c>
      <c r="O1152" s="1">
        <v>2.42301622266144E-7</v>
      </c>
      <c r="P1152" s="2">
        <f t="shared" si="53"/>
        <v>1.8056284679138558E-3</v>
      </c>
    </row>
    <row r="1153" spans="2:16" x14ac:dyDescent="0.25">
      <c r="B1153">
        <v>1152</v>
      </c>
      <c r="C1153">
        <v>-0.23011739423497299</v>
      </c>
      <c r="D1153">
        <v>-0.23187095627794199</v>
      </c>
      <c r="E1153">
        <v>0.211816060517975</v>
      </c>
      <c r="F1153">
        <f t="shared" si="51"/>
        <v>1.7535620429690035E-3</v>
      </c>
      <c r="G1153" s="2">
        <f t="shared" si="52"/>
        <v>1.4517217585021974E-5</v>
      </c>
      <c r="M1153">
        <v>3.5081763444439198</v>
      </c>
      <c r="N1153">
        <v>3.50680073393247</v>
      </c>
      <c r="O1153" s="1">
        <v>3.94044222379908E-7</v>
      </c>
      <c r="P1153" s="2">
        <f t="shared" si="53"/>
        <v>4.8022637352276796</v>
      </c>
    </row>
    <row r="1154" spans="2:16" x14ac:dyDescent="0.25">
      <c r="B1154">
        <v>1153</v>
      </c>
      <c r="C1154">
        <v>-0.213628068539986</v>
      </c>
      <c r="D1154">
        <v>-0.22778931251967</v>
      </c>
      <c r="E1154">
        <v>0.18254780667250001</v>
      </c>
      <c r="F1154">
        <f t="shared" si="51"/>
        <v>1.4161243979683991E-2</v>
      </c>
      <c r="G1154" s="2">
        <f t="shared" si="52"/>
        <v>1.0985660945897666E-3</v>
      </c>
      <c r="M1154">
        <v>1.639116490823</v>
      </c>
      <c r="N1154">
        <v>1.63839869223583</v>
      </c>
      <c r="O1154" s="1">
        <v>1.08524850679367E-7</v>
      </c>
      <c r="P1154" s="2">
        <f t="shared" si="53"/>
        <v>4.7476205543514638</v>
      </c>
    </row>
    <row r="1155" spans="2:16" x14ac:dyDescent="0.25">
      <c r="B1155">
        <v>1154</v>
      </c>
      <c r="C1155">
        <v>-0.22219826732533801</v>
      </c>
      <c r="D1155">
        <v>-0.232450635248347</v>
      </c>
      <c r="E1155">
        <v>0.19748828000953</v>
      </c>
      <c r="F1155">
        <f t="shared" ref="F1155:F1218" si="54">C1155-D1155</f>
        <v>1.0252367923008987E-2</v>
      </c>
      <c r="G1155" s="2">
        <f t="shared" ref="G1155:G1218" si="55">F1155^2/E1155</f>
        <v>5.3223942212505659E-4</v>
      </c>
      <c r="M1155">
        <v>3.5113170818839201</v>
      </c>
      <c r="N1155">
        <v>3.5097387036351799</v>
      </c>
      <c r="O1155" s="1">
        <v>3.7385071721749899E-7</v>
      </c>
      <c r="P1155" s="2">
        <f t="shared" ref="P1155:P1218" si="56">(M1155-N1155)^2/O1155</f>
        <v>6.6638307253714899</v>
      </c>
    </row>
    <row r="1156" spans="2:16" x14ac:dyDescent="0.25">
      <c r="B1156">
        <v>1155</v>
      </c>
      <c r="C1156">
        <v>-0.17773131986310101</v>
      </c>
      <c r="D1156">
        <v>-0.23650110857203499</v>
      </c>
      <c r="E1156">
        <v>0.12635368824111901</v>
      </c>
      <c r="F1156">
        <f t="shared" si="54"/>
        <v>5.8769788708933984E-2</v>
      </c>
      <c r="G1156" s="2">
        <f t="shared" si="55"/>
        <v>2.7335079117767717E-2</v>
      </c>
      <c r="M1156">
        <v>3.50925472251767</v>
      </c>
      <c r="N1156">
        <v>3.5088272516060801</v>
      </c>
      <c r="O1156" s="1">
        <v>3.48860621445221E-7</v>
      </c>
      <c r="P1156" s="2">
        <f t="shared" si="56"/>
        <v>0.52379480234398734</v>
      </c>
    </row>
    <row r="1157" spans="2:16" x14ac:dyDescent="0.25">
      <c r="B1157">
        <v>1156</v>
      </c>
      <c r="C1157">
        <v>-0.23395087129140399</v>
      </c>
      <c r="D1157">
        <v>-0.23297824169336001</v>
      </c>
      <c r="E1157">
        <v>0.21893204071202799</v>
      </c>
      <c r="F1157">
        <f t="shared" si="54"/>
        <v>-9.7262959804397808E-4</v>
      </c>
      <c r="G1157" s="2">
        <f t="shared" si="55"/>
        <v>4.3210136438435773E-6</v>
      </c>
      <c r="M1157">
        <v>1.6394189397366601</v>
      </c>
      <c r="N1157">
        <v>1.63895196998129</v>
      </c>
      <c r="O1157" s="1">
        <v>1.06360737707409E-7</v>
      </c>
      <c r="P1157" s="2">
        <f t="shared" si="56"/>
        <v>2.050199698974124</v>
      </c>
    </row>
    <row r="1158" spans="2:16" x14ac:dyDescent="0.25">
      <c r="B1158">
        <v>1157</v>
      </c>
      <c r="C1158">
        <v>-0.188897690124505</v>
      </c>
      <c r="D1158">
        <v>-0.23984104461904801</v>
      </c>
      <c r="E1158">
        <v>0.14272934933749401</v>
      </c>
      <c r="F1158">
        <f t="shared" si="54"/>
        <v>5.0943354494543014E-2</v>
      </c>
      <c r="G1158" s="2">
        <f t="shared" si="55"/>
        <v>1.8182843116730497E-2</v>
      </c>
      <c r="M1158">
        <v>3.5111552803823698</v>
      </c>
      <c r="N1158">
        <v>3.5104007079068502</v>
      </c>
      <c r="O1158" s="1">
        <v>3.8875471178803401E-7</v>
      </c>
      <c r="P1158" s="2">
        <f t="shared" si="56"/>
        <v>1.4646243596455581</v>
      </c>
    </row>
    <row r="1159" spans="2:16" x14ac:dyDescent="0.25">
      <c r="B1159">
        <v>1158</v>
      </c>
      <c r="C1159">
        <v>-0.22877490088034</v>
      </c>
      <c r="D1159">
        <v>-0.23865807412130099</v>
      </c>
      <c r="E1159">
        <v>0.20935182109123801</v>
      </c>
      <c r="F1159">
        <f t="shared" si="54"/>
        <v>9.8831732409609963E-3</v>
      </c>
      <c r="G1159" s="2">
        <f t="shared" si="55"/>
        <v>4.665692077657096E-4</v>
      </c>
      <c r="M1159">
        <v>3.5058835583145398</v>
      </c>
      <c r="N1159">
        <v>3.5060650382973</v>
      </c>
      <c r="O1159" s="1">
        <v>2.13129652962851E-7</v>
      </c>
      <c r="P1159" s="2">
        <f t="shared" si="56"/>
        <v>0.15453027621820342</v>
      </c>
    </row>
    <row r="1160" spans="2:16" x14ac:dyDescent="0.25">
      <c r="B1160">
        <v>1159</v>
      </c>
      <c r="C1160">
        <v>-0.210352377625352</v>
      </c>
      <c r="D1160">
        <v>-0.23650077308364501</v>
      </c>
      <c r="E1160">
        <v>0.17699249109055501</v>
      </c>
      <c r="F1160">
        <f t="shared" si="54"/>
        <v>2.6148395458293006E-2</v>
      </c>
      <c r="G1160" s="2">
        <f t="shared" si="55"/>
        <v>3.8630937438665449E-3</v>
      </c>
      <c r="M1160">
        <v>1.6376390259085001</v>
      </c>
      <c r="N1160">
        <v>1.63819780050772</v>
      </c>
      <c r="O1160" s="1">
        <v>9.5088834789111503E-8</v>
      </c>
      <c r="P1160" s="2">
        <f t="shared" si="56"/>
        <v>3.2835511490477591</v>
      </c>
    </row>
    <row r="1161" spans="2:16" x14ac:dyDescent="0.25">
      <c r="B1161">
        <v>1160</v>
      </c>
      <c r="C1161">
        <v>-0.193766829284681</v>
      </c>
      <c r="D1161">
        <v>-0.235661147809794</v>
      </c>
      <c r="E1161">
        <v>0.150182336524155</v>
      </c>
      <c r="F1161">
        <f t="shared" si="54"/>
        <v>4.1894318525112995E-2</v>
      </c>
      <c r="G1161" s="2">
        <f t="shared" si="55"/>
        <v>1.1686686765599322E-2</v>
      </c>
      <c r="M1161">
        <v>3.5091140164580401</v>
      </c>
      <c r="N1161">
        <v>3.5094983095587899</v>
      </c>
      <c r="O1161" s="1">
        <v>3.0263481792477502E-7</v>
      </c>
      <c r="P1161" s="2">
        <f t="shared" si="56"/>
        <v>0.48798478739690121</v>
      </c>
    </row>
    <row r="1162" spans="2:16" x14ac:dyDescent="0.25">
      <c r="B1162">
        <v>1161</v>
      </c>
      <c r="C1162">
        <v>-0.195711220882651</v>
      </c>
      <c r="D1162">
        <v>-0.23951526380410401</v>
      </c>
      <c r="E1162">
        <v>0.153211527917511</v>
      </c>
      <c r="F1162">
        <f t="shared" si="54"/>
        <v>4.3804042921453012E-2</v>
      </c>
      <c r="G1162" s="2">
        <f t="shared" si="55"/>
        <v>1.252382377713494E-2</v>
      </c>
      <c r="M1162">
        <v>3.5080454829099699</v>
      </c>
      <c r="N1162">
        <v>3.5077358501962501</v>
      </c>
      <c r="O1162" s="1">
        <v>3.7396445187040602E-7</v>
      </c>
      <c r="P1162" s="2">
        <f t="shared" si="56"/>
        <v>0.25636772940836339</v>
      </c>
    </row>
    <row r="1163" spans="2:16" x14ac:dyDescent="0.25">
      <c r="B1163">
        <v>1162</v>
      </c>
      <c r="C1163">
        <v>-0.221296515591624</v>
      </c>
      <c r="D1163">
        <v>-0.23843455658232501</v>
      </c>
      <c r="E1163">
        <v>0.195888591251976</v>
      </c>
      <c r="F1163">
        <f t="shared" si="54"/>
        <v>1.7138040990701014E-2</v>
      </c>
      <c r="G1163" s="2">
        <f t="shared" si="55"/>
        <v>1.4993851715495729E-3</v>
      </c>
      <c r="M1163">
        <v>1.63911736746933</v>
      </c>
      <c r="N1163">
        <v>1.63865401320978</v>
      </c>
      <c r="O1163" s="1">
        <v>1.2149384849600899E-7</v>
      </c>
      <c r="P1163" s="2">
        <f t="shared" si="56"/>
        <v>1.7671443657511561</v>
      </c>
    </row>
    <row r="1164" spans="2:16" x14ac:dyDescent="0.25">
      <c r="B1164">
        <v>1163</v>
      </c>
      <c r="C1164">
        <v>-0.18406943947380899</v>
      </c>
      <c r="D1164">
        <v>-0.23967751401738299</v>
      </c>
      <c r="E1164">
        <v>0.13552623419281001</v>
      </c>
      <c r="F1164">
        <f t="shared" si="54"/>
        <v>5.5608074543573999E-2</v>
      </c>
      <c r="G1164" s="2">
        <f t="shared" si="55"/>
        <v>2.2816674372021579E-2</v>
      </c>
      <c r="M1164">
        <v>3.5105298875242501</v>
      </c>
      <c r="N1164">
        <v>3.5100442108777301</v>
      </c>
      <c r="O1164" s="1">
        <v>3.4136755413241599E-7</v>
      </c>
      <c r="P1164" s="2">
        <f t="shared" si="56"/>
        <v>0.69099069937797786</v>
      </c>
    </row>
    <row r="1165" spans="2:16" x14ac:dyDescent="0.25">
      <c r="B1165">
        <v>1164</v>
      </c>
      <c r="C1165">
        <v>-0.234316631945931</v>
      </c>
      <c r="D1165">
        <v>-0.237527735539622</v>
      </c>
      <c r="E1165">
        <v>0.21961713602593999</v>
      </c>
      <c r="F1165">
        <f t="shared" si="54"/>
        <v>3.211103593691006E-3</v>
      </c>
      <c r="G1165" s="2">
        <f t="shared" si="55"/>
        <v>4.6950736522660931E-5</v>
      </c>
      <c r="M1165">
        <v>3.5085312773936499</v>
      </c>
      <c r="N1165">
        <v>3.5083829314463202</v>
      </c>
      <c r="O1165" s="1">
        <v>3.3878824752649898E-7</v>
      </c>
      <c r="P1165" s="2">
        <f t="shared" si="56"/>
        <v>6.4956562837757442E-2</v>
      </c>
    </row>
    <row r="1166" spans="2:16" x14ac:dyDescent="0.25">
      <c r="B1166">
        <v>1165</v>
      </c>
      <c r="C1166">
        <v>-0.28689521756571501</v>
      </c>
      <c r="D1166">
        <v>-0.23635967318537801</v>
      </c>
      <c r="E1166">
        <v>0.329235463448316</v>
      </c>
      <c r="F1166">
        <f t="shared" si="54"/>
        <v>-5.0535544380337E-2</v>
      </c>
      <c r="G1166" s="2">
        <f t="shared" si="55"/>
        <v>7.7568838395135932E-3</v>
      </c>
      <c r="M1166">
        <v>1.6387344842598199</v>
      </c>
      <c r="N1166">
        <v>1.63883067352197</v>
      </c>
      <c r="O1166" s="1">
        <v>6.44407210365755E-8</v>
      </c>
      <c r="P1166" s="2">
        <f t="shared" si="56"/>
        <v>0.14357961866564461</v>
      </c>
    </row>
    <row r="1167" spans="2:16" x14ac:dyDescent="0.25">
      <c r="B1167">
        <v>1166</v>
      </c>
      <c r="C1167">
        <v>-0.18709803723360999</v>
      </c>
      <c r="D1167">
        <v>-0.23867748954534199</v>
      </c>
      <c r="E1167">
        <v>0.140022702146678</v>
      </c>
      <c r="F1167">
        <f t="shared" si="54"/>
        <v>5.1579452311731999E-2</v>
      </c>
      <c r="G1167" s="2">
        <f t="shared" si="55"/>
        <v>1.9000061132882183E-2</v>
      </c>
      <c r="M1167">
        <v>3.5104425966550399</v>
      </c>
      <c r="N1167">
        <v>3.5102555835037599</v>
      </c>
      <c r="O1167" s="1">
        <v>4.1078055831852302E-7</v>
      </c>
      <c r="P1167" s="2">
        <f t="shared" si="56"/>
        <v>8.5140150972183748E-2</v>
      </c>
    </row>
    <row r="1168" spans="2:16" x14ac:dyDescent="0.25">
      <c r="B1168">
        <v>1167</v>
      </c>
      <c r="C1168">
        <v>-0.263059612625553</v>
      </c>
      <c r="D1168">
        <v>-0.24231866512908301</v>
      </c>
      <c r="E1168">
        <v>0.27680143917882499</v>
      </c>
      <c r="F1168">
        <f t="shared" si="54"/>
        <v>-2.0740947496469986E-2</v>
      </c>
      <c r="G1168" s="2">
        <f t="shared" si="55"/>
        <v>1.5541353553924491E-3</v>
      </c>
      <c r="M1168">
        <v>3.50903236175178</v>
      </c>
      <c r="N1168">
        <v>3.5092796137939</v>
      </c>
      <c r="O1168" s="1">
        <v>2.4090178207353199E-7</v>
      </c>
      <c r="P1168" s="2">
        <f t="shared" si="56"/>
        <v>0.25376969736913457</v>
      </c>
    </row>
    <row r="1169" spans="2:16" x14ac:dyDescent="0.25">
      <c r="B1169">
        <v>1168</v>
      </c>
      <c r="C1169">
        <v>-0.20153464136433399</v>
      </c>
      <c r="D1169">
        <v>-0.24051397467432301</v>
      </c>
      <c r="E1169">
        <v>0.162464846679403</v>
      </c>
      <c r="F1169">
        <f t="shared" si="54"/>
        <v>3.8979333309989012E-2</v>
      </c>
      <c r="G1169" s="2">
        <f t="shared" si="55"/>
        <v>9.3521057406927913E-3</v>
      </c>
      <c r="M1169">
        <v>1.6387343952111399</v>
      </c>
      <c r="N1169">
        <v>1.63907545530389</v>
      </c>
      <c r="O1169" s="1">
        <v>7.4405778128471102E-8</v>
      </c>
      <c r="P1169" s="2">
        <f t="shared" si="56"/>
        <v>1.5633461512332685</v>
      </c>
    </row>
    <row r="1170" spans="2:16" x14ac:dyDescent="0.25">
      <c r="B1170">
        <v>1169</v>
      </c>
      <c r="C1170">
        <v>-0.27056619979018898</v>
      </c>
      <c r="D1170">
        <v>-0.24595897954589499</v>
      </c>
      <c r="E1170">
        <v>0.29282427387561799</v>
      </c>
      <c r="F1170">
        <f t="shared" si="54"/>
        <v>-2.4607220244293987E-2</v>
      </c>
      <c r="G1170" s="2">
        <f t="shared" si="55"/>
        <v>2.0678452647965744E-3</v>
      </c>
      <c r="M1170">
        <v>3.5101971801085399</v>
      </c>
      <c r="N1170">
        <v>3.51054844629201</v>
      </c>
      <c r="O1170" s="1">
        <v>2.07833595676856E-7</v>
      </c>
      <c r="P1170" s="2">
        <f t="shared" si="56"/>
        <v>0.59368617113052069</v>
      </c>
    </row>
    <row r="1171" spans="2:16" x14ac:dyDescent="0.25">
      <c r="B1171">
        <v>1170</v>
      </c>
      <c r="C1171">
        <v>-0.27082292689107301</v>
      </c>
      <c r="D1171">
        <v>-0.24917932426814299</v>
      </c>
      <c r="E1171">
        <v>0.29338023091938997</v>
      </c>
      <c r="F1171">
        <f t="shared" si="54"/>
        <v>-2.1643602622930025E-2</v>
      </c>
      <c r="G1171" s="2">
        <f t="shared" si="55"/>
        <v>1.5967181327497656E-3</v>
      </c>
      <c r="M1171">
        <v>3.5091446253196801</v>
      </c>
      <c r="N1171">
        <v>3.5100759525875298</v>
      </c>
      <c r="O1171" s="1">
        <v>1.6300230904062E-7</v>
      </c>
      <c r="P1171" s="2">
        <f t="shared" si="56"/>
        <v>5.3212159075874448</v>
      </c>
    </row>
    <row r="1172" spans="2:16" x14ac:dyDescent="0.25">
      <c r="B1172">
        <v>1171</v>
      </c>
      <c r="C1172">
        <v>-0.223425110940426</v>
      </c>
      <c r="D1172">
        <v>-0.24264961823301701</v>
      </c>
      <c r="E1172">
        <v>0.19967512079496699</v>
      </c>
      <c r="F1172">
        <f t="shared" si="54"/>
        <v>1.9224507292591009E-2</v>
      </c>
      <c r="G1172" s="2">
        <f t="shared" si="55"/>
        <v>1.850915022219436E-3</v>
      </c>
      <c r="M1172">
        <v>1.63866624063842</v>
      </c>
      <c r="N1172">
        <v>1.63929282290343</v>
      </c>
      <c r="O1172" s="1">
        <v>4.4653626509800402E-8</v>
      </c>
      <c r="P1172" s="2">
        <f t="shared" si="56"/>
        <v>8.7922385148022659</v>
      </c>
    </row>
    <row r="1173" spans="2:16" x14ac:dyDescent="0.25">
      <c r="B1173">
        <v>1172</v>
      </c>
      <c r="C1173">
        <v>-0.26099676652196901</v>
      </c>
      <c r="D1173">
        <v>-0.24985761784503599</v>
      </c>
      <c r="E1173">
        <v>0.27247724853969302</v>
      </c>
      <c r="F1173">
        <f t="shared" si="54"/>
        <v>-1.1139148676933025E-2</v>
      </c>
      <c r="G1173" s="2">
        <f t="shared" si="55"/>
        <v>4.5537979376925254E-4</v>
      </c>
      <c r="M1173">
        <v>3.5095022802215499</v>
      </c>
      <c r="N1173">
        <v>3.5108084939125401</v>
      </c>
      <c r="O1173" s="1">
        <v>1.41798200148118E-7</v>
      </c>
      <c r="P1173" s="2">
        <f t="shared" si="56"/>
        <v>12.032551927656172</v>
      </c>
    </row>
    <row r="1174" spans="2:16" x14ac:dyDescent="0.25">
      <c r="B1174">
        <v>1173</v>
      </c>
      <c r="C1174">
        <v>-0.25154876786255698</v>
      </c>
      <c r="D1174">
        <v>-0.21439606153667701</v>
      </c>
      <c r="E1174">
        <v>0.25310713045268302</v>
      </c>
      <c r="F1174">
        <f t="shared" si="54"/>
        <v>-3.7152706325879969E-2</v>
      </c>
      <c r="G1174" s="2">
        <f t="shared" si="55"/>
        <v>5.4535152165344682E-3</v>
      </c>
      <c r="M1174">
        <v>3.5125849120586601</v>
      </c>
      <c r="N1174">
        <v>3.5120883187287602</v>
      </c>
      <c r="O1174" s="1">
        <v>3.9111993074839901E-7</v>
      </c>
      <c r="P1174" s="2">
        <f t="shared" si="56"/>
        <v>0.63050976417700877</v>
      </c>
    </row>
    <row r="1175" spans="2:16" x14ac:dyDescent="0.25">
      <c r="B1175">
        <v>1174</v>
      </c>
      <c r="C1175">
        <v>-0.19156616784622299</v>
      </c>
      <c r="D1175">
        <v>-0.22861924787197299</v>
      </c>
      <c r="E1175">
        <v>0.146790386653149</v>
      </c>
      <c r="F1175">
        <f t="shared" si="54"/>
        <v>3.7053080025750001E-2</v>
      </c>
      <c r="G1175" s="2">
        <f t="shared" si="55"/>
        <v>9.3530017237350264E-3</v>
      </c>
      <c r="M1175">
        <v>1.6399126131891999</v>
      </c>
      <c r="N1175">
        <v>1.6398420244349801</v>
      </c>
      <c r="O1175" s="1">
        <v>9.9845001072310603E-8</v>
      </c>
      <c r="P1175" s="2">
        <f t="shared" si="56"/>
        <v>4.9905074553504382E-2</v>
      </c>
    </row>
    <row r="1176" spans="2:16" x14ac:dyDescent="0.25">
      <c r="B1176">
        <v>1175</v>
      </c>
      <c r="C1176">
        <v>-0.222215036191419</v>
      </c>
      <c r="D1176">
        <v>-0.22083155495012899</v>
      </c>
      <c r="E1176">
        <v>0.19751808923821501</v>
      </c>
      <c r="F1176">
        <f t="shared" si="54"/>
        <v>-1.3834812412900077E-3</v>
      </c>
      <c r="G1176" s="2">
        <f t="shared" si="55"/>
        <v>9.6903547031226734E-6</v>
      </c>
      <c r="M1176">
        <v>3.5120981383959999</v>
      </c>
      <c r="N1176">
        <v>3.5114654630924398</v>
      </c>
      <c r="O1176" s="1">
        <v>3.9008467170221298E-7</v>
      </c>
      <c r="P1176" s="2">
        <f t="shared" si="56"/>
        <v>1.0261311678519236</v>
      </c>
    </row>
    <row r="1177" spans="2:16" x14ac:dyDescent="0.25">
      <c r="B1177">
        <v>1176</v>
      </c>
      <c r="C1177">
        <v>-0.213455159213541</v>
      </c>
      <c r="D1177">
        <v>-0.20622367249036</v>
      </c>
      <c r="E1177">
        <v>0.182252419979512</v>
      </c>
      <c r="F1177">
        <f t="shared" si="54"/>
        <v>-7.2314867231809965E-3</v>
      </c>
      <c r="G1177" s="2">
        <f t="shared" si="55"/>
        <v>2.869339141473223E-4</v>
      </c>
      <c r="M1177">
        <v>3.5107985729906601</v>
      </c>
      <c r="N1177">
        <v>3.5108430436575802</v>
      </c>
      <c r="O1177" s="1">
        <v>3.07159852695704E-7</v>
      </c>
      <c r="P1177" s="2">
        <f t="shared" si="56"/>
        <v>6.4384723425172105E-3</v>
      </c>
    </row>
    <row r="1178" spans="2:16" x14ac:dyDescent="0.25">
      <c r="B1178">
        <v>1177</v>
      </c>
      <c r="C1178">
        <v>-0.28235986147008701</v>
      </c>
      <c r="D1178">
        <v>-0.20858443455658501</v>
      </c>
      <c r="E1178">
        <v>0.31890836547762602</v>
      </c>
      <c r="F1178">
        <f t="shared" si="54"/>
        <v>-7.3775426913502001E-2</v>
      </c>
      <c r="G1178" s="2">
        <f t="shared" si="55"/>
        <v>1.7067014244414144E-2</v>
      </c>
      <c r="M1178">
        <v>1.6396436709815201</v>
      </c>
      <c r="N1178">
        <v>1.63950218770504</v>
      </c>
      <c r="O1178" s="1">
        <v>8.5644289415869604E-8</v>
      </c>
      <c r="P1178" s="2">
        <f t="shared" si="56"/>
        <v>0.23372857268215372</v>
      </c>
    </row>
    <row r="1179" spans="2:16" x14ac:dyDescent="0.25">
      <c r="B1179">
        <v>1178</v>
      </c>
      <c r="C1179">
        <v>-0.186377731195534</v>
      </c>
      <c r="D1179">
        <v>-0.21746423505514001</v>
      </c>
      <c r="E1179">
        <v>0.138946634742379</v>
      </c>
      <c r="F1179">
        <f t="shared" si="54"/>
        <v>3.1086503859606013E-2</v>
      </c>
      <c r="G1179" s="2">
        <f t="shared" si="55"/>
        <v>6.9549775279196058E-3</v>
      </c>
      <c r="M1179">
        <v>3.5109670338036501</v>
      </c>
      <c r="N1179">
        <v>3.51105895299977</v>
      </c>
      <c r="O1179" s="1">
        <v>2.8470414533149402E-7</v>
      </c>
      <c r="P1179" s="2">
        <f t="shared" si="56"/>
        <v>2.9676907603505446E-2</v>
      </c>
    </row>
    <row r="1180" spans="2:16" x14ac:dyDescent="0.25">
      <c r="B1180">
        <v>1179</v>
      </c>
      <c r="C1180">
        <v>-0.196818161432537</v>
      </c>
      <c r="D1180">
        <v>-0.21424343898494599</v>
      </c>
      <c r="E1180">
        <v>0.154949554678736</v>
      </c>
      <c r="F1180">
        <f t="shared" si="54"/>
        <v>1.7425277552408996E-2</v>
      </c>
      <c r="G1180" s="2">
        <f t="shared" si="55"/>
        <v>1.9596074245456217E-3</v>
      </c>
      <c r="M1180">
        <v>3.5102938631707601</v>
      </c>
      <c r="N1180">
        <v>3.5108001468965799</v>
      </c>
      <c r="O1180" s="1">
        <v>3.71326702367094E-7</v>
      </c>
      <c r="P1180" s="2">
        <f t="shared" si="56"/>
        <v>0.69029027375634977</v>
      </c>
    </row>
    <row r="1181" spans="2:16" x14ac:dyDescent="0.25">
      <c r="B1181">
        <v>1180</v>
      </c>
      <c r="C1181">
        <v>-0.19779203673443899</v>
      </c>
      <c r="D1181">
        <v>-0.22861990352098999</v>
      </c>
      <c r="E1181">
        <v>0.15648675918223001</v>
      </c>
      <c r="F1181">
        <f t="shared" si="54"/>
        <v>3.0827866786551E-2</v>
      </c>
      <c r="G1181" s="2">
        <f t="shared" si="55"/>
        <v>6.073084876801851E-3</v>
      </c>
      <c r="M1181">
        <v>1.6388747760815501</v>
      </c>
      <c r="N1181">
        <v>1.6394904802465</v>
      </c>
      <c r="O1181" s="1">
        <v>1.1553259956820001E-7</v>
      </c>
      <c r="P1181" s="2">
        <f t="shared" si="56"/>
        <v>3.2812523924290145</v>
      </c>
    </row>
    <row r="1182" spans="2:16" x14ac:dyDescent="0.25">
      <c r="B1182">
        <v>1181</v>
      </c>
      <c r="C1182">
        <v>-0.21633608103672</v>
      </c>
      <c r="D1182">
        <v>-0.217312444939953</v>
      </c>
      <c r="E1182">
        <v>0.187205199833305</v>
      </c>
      <c r="F1182">
        <f t="shared" si="54"/>
        <v>9.7636390323299627E-4</v>
      </c>
      <c r="G1182" s="2">
        <f t="shared" si="55"/>
        <v>5.0922008169923496E-6</v>
      </c>
      <c r="M1182">
        <v>3.51032648286417</v>
      </c>
      <c r="N1182">
        <v>3.5110449479648498</v>
      </c>
      <c r="O1182" s="1">
        <v>4.8881662167367699E-7</v>
      </c>
      <c r="P1182" s="2">
        <f t="shared" si="56"/>
        <v>1.0560035768164868</v>
      </c>
    </row>
    <row r="1183" spans="2:16" x14ac:dyDescent="0.25">
      <c r="B1183">
        <v>1182</v>
      </c>
      <c r="C1183">
        <v>-0.20605794967677199</v>
      </c>
      <c r="D1183">
        <v>-0.24440449937421599</v>
      </c>
      <c r="E1183">
        <v>0.16983951449998</v>
      </c>
      <c r="F1183">
        <f t="shared" si="54"/>
        <v>3.8346549697443999E-2</v>
      </c>
      <c r="G1183" s="2">
        <f t="shared" si="55"/>
        <v>8.6579255600657979E-3</v>
      </c>
      <c r="M1183">
        <v>0.37348466155534898</v>
      </c>
      <c r="N1183">
        <v>0.37346783954965201</v>
      </c>
      <c r="O1183" s="1">
        <v>1.23865181670642E-9</v>
      </c>
      <c r="P1183" s="2">
        <f t="shared" si="56"/>
        <v>0.22845796684119618</v>
      </c>
    </row>
    <row r="1184" spans="2:16" x14ac:dyDescent="0.25">
      <c r="B1184">
        <v>1183</v>
      </c>
      <c r="C1184">
        <v>-0.253931934952631</v>
      </c>
      <c r="D1184">
        <v>-0.24540316960924</v>
      </c>
      <c r="E1184">
        <v>0.257925710355149</v>
      </c>
      <c r="F1184">
        <f t="shared" si="54"/>
        <v>-8.5287653433910038E-3</v>
      </c>
      <c r="G1184" s="2">
        <f t="shared" si="55"/>
        <v>2.8201856333929978E-4</v>
      </c>
      <c r="M1184">
        <v>0.99436397273010702</v>
      </c>
      <c r="N1184">
        <v>0.99433936165349701</v>
      </c>
      <c r="O1184" s="1">
        <v>3.0627422444569899E-9</v>
      </c>
      <c r="P1184" s="2">
        <f t="shared" si="56"/>
        <v>0.19776561119359445</v>
      </c>
    </row>
    <row r="1185" spans="2:16" x14ac:dyDescent="0.25">
      <c r="B1185">
        <v>1184</v>
      </c>
      <c r="C1185">
        <v>-0.173025192150249</v>
      </c>
      <c r="D1185">
        <v>-0.22818002564293499</v>
      </c>
      <c r="E1185">
        <v>0.119750868474523</v>
      </c>
      <c r="F1185">
        <f t="shared" si="54"/>
        <v>5.515483349268599E-2</v>
      </c>
      <c r="G1185" s="2">
        <f t="shared" si="55"/>
        <v>2.540320330330726E-2</v>
      </c>
      <c r="M1185">
        <v>0.37360622690453898</v>
      </c>
      <c r="N1185">
        <v>0.37356165530216301</v>
      </c>
      <c r="O1185" s="1">
        <v>1.03312218877122E-9</v>
      </c>
      <c r="P1185" s="2">
        <f t="shared" si="56"/>
        <v>1.9229358927281839</v>
      </c>
    </row>
    <row r="1186" spans="2:16" x14ac:dyDescent="0.25">
      <c r="B1186">
        <v>1185</v>
      </c>
      <c r="C1186">
        <v>-0.268443252337557</v>
      </c>
      <c r="D1186">
        <v>-0.25496977952622901</v>
      </c>
      <c r="E1186">
        <v>0.28824711890226101</v>
      </c>
      <c r="F1186">
        <f t="shared" si="54"/>
        <v>-1.3473472811327991E-2</v>
      </c>
      <c r="G1186" s="2">
        <f t="shared" si="55"/>
        <v>6.2978762906264955E-4</v>
      </c>
      <c r="M1186">
        <v>0.99424477836616398</v>
      </c>
      <c r="N1186">
        <v>0.99417111903087896</v>
      </c>
      <c r="O1186" s="1">
        <v>3.0722691989168098E-9</v>
      </c>
      <c r="P1186" s="2">
        <f t="shared" si="56"/>
        <v>1.7660228721313762</v>
      </c>
    </row>
    <row r="1187" spans="2:16" x14ac:dyDescent="0.25">
      <c r="B1187">
        <v>1186</v>
      </c>
      <c r="C1187">
        <v>-0.25328470633856098</v>
      </c>
      <c r="D1187">
        <v>-0.25213189301936201</v>
      </c>
      <c r="E1187">
        <v>0.25661256986004499</v>
      </c>
      <c r="F1187">
        <f t="shared" si="54"/>
        <v>-1.1528133191989753E-3</v>
      </c>
      <c r="G1187" s="2">
        <f t="shared" si="55"/>
        <v>5.1789300487009497E-6</v>
      </c>
      <c r="M1187">
        <v>0.37351321148664302</v>
      </c>
      <c r="N1187">
        <v>0.37354322568866499</v>
      </c>
      <c r="O1187" s="1">
        <v>5.4987907060620299E-10</v>
      </c>
      <c r="P1187" s="2">
        <f t="shared" si="56"/>
        <v>1.6382735244368243</v>
      </c>
    </row>
    <row r="1188" spans="2:16" x14ac:dyDescent="0.25">
      <c r="B1188">
        <v>1187</v>
      </c>
      <c r="C1188">
        <v>-0.24013280326896</v>
      </c>
      <c r="D1188">
        <v>-0.25591748757264499</v>
      </c>
      <c r="E1188">
        <v>0.23065505282323601</v>
      </c>
      <c r="F1188">
        <f t="shared" si="54"/>
        <v>1.5784684303684987E-2</v>
      </c>
      <c r="G1188" s="2">
        <f t="shared" si="55"/>
        <v>1.0802115779268956E-3</v>
      </c>
      <c r="M1188">
        <v>0.99415371439508404</v>
      </c>
      <c r="N1188">
        <v>0.99420416383154797</v>
      </c>
      <c r="O1188" s="1">
        <v>1.6317087763977199E-9</v>
      </c>
      <c r="P1188" s="2">
        <f t="shared" si="56"/>
        <v>1.5598038549175492</v>
      </c>
    </row>
    <row r="1189" spans="2:16" x14ac:dyDescent="0.25">
      <c r="B1189">
        <v>1188</v>
      </c>
      <c r="C1189">
        <v>-0.24594141140079701</v>
      </c>
      <c r="D1189">
        <v>-0.25164654032567102</v>
      </c>
      <c r="E1189">
        <v>0.24194871136726401</v>
      </c>
      <c r="F1189">
        <f t="shared" si="54"/>
        <v>5.7051289248740145E-3</v>
      </c>
      <c r="G1189" s="2">
        <f t="shared" si="55"/>
        <v>1.345264286199376E-4</v>
      </c>
      <c r="M1189">
        <v>0.37355017687951902</v>
      </c>
      <c r="N1189">
        <v>0.37355561023134498</v>
      </c>
      <c r="O1189" s="1">
        <v>4.4063663298224199E-10</v>
      </c>
      <c r="P1189" s="2">
        <f t="shared" si="56"/>
        <v>6.6996953623266645E-2</v>
      </c>
    </row>
    <row r="1190" spans="2:16" x14ac:dyDescent="0.25">
      <c r="B1190">
        <v>1189</v>
      </c>
      <c r="C1190">
        <v>-0.219751565708487</v>
      </c>
      <c r="D1190">
        <v>-0.20590802905599101</v>
      </c>
      <c r="E1190">
        <v>0.19316300252532601</v>
      </c>
      <c r="F1190">
        <f t="shared" si="54"/>
        <v>-1.3843536652495991E-2</v>
      </c>
      <c r="G1190" s="2">
        <f t="shared" si="55"/>
        <v>9.9213361018175893E-4</v>
      </c>
      <c r="M1190">
        <v>0.99416469700952803</v>
      </c>
      <c r="N1190">
        <v>0.99418195770734197</v>
      </c>
      <c r="O1190" s="1">
        <v>2.7904352001475101E-9</v>
      </c>
      <c r="P1190" s="2">
        <f t="shared" si="56"/>
        <v>0.10676889719864818</v>
      </c>
    </row>
    <row r="1191" spans="2:16" x14ac:dyDescent="0.25">
      <c r="B1191">
        <v>1190</v>
      </c>
      <c r="C1191">
        <v>-0.22300033519531301</v>
      </c>
      <c r="D1191">
        <v>-0.19797741931360699</v>
      </c>
      <c r="E1191">
        <v>0.198916597988887</v>
      </c>
      <c r="F1191">
        <f t="shared" si="54"/>
        <v>-2.502291588170602E-2</v>
      </c>
      <c r="G1191" s="2">
        <f t="shared" si="55"/>
        <v>3.147783169194944E-3</v>
      </c>
      <c r="M1191">
        <v>0.37355900637739903</v>
      </c>
      <c r="N1191">
        <v>0.373534950434813</v>
      </c>
      <c r="O1191" s="1">
        <v>6.1972525524611596E-10</v>
      </c>
      <c r="P1191" s="2">
        <f t="shared" si="56"/>
        <v>0.93378213781630026</v>
      </c>
    </row>
    <row r="1192" spans="2:16" x14ac:dyDescent="0.25">
      <c r="B1192">
        <v>1191</v>
      </c>
      <c r="C1192">
        <v>-0.18962292257157201</v>
      </c>
      <c r="D1192">
        <v>-0.20801995035130599</v>
      </c>
      <c r="E1192">
        <v>0.14382741105833799</v>
      </c>
      <c r="F1192">
        <f t="shared" si="54"/>
        <v>1.8397027779733982E-2</v>
      </c>
      <c r="G1192" s="2">
        <f t="shared" si="55"/>
        <v>2.3531719624086439E-3</v>
      </c>
      <c r="M1192">
        <v>0.99427142099170096</v>
      </c>
      <c r="N1192">
        <v>0.99421900247557704</v>
      </c>
      <c r="O1192" s="1">
        <v>2.6806199162999002E-9</v>
      </c>
      <c r="P1192" s="2">
        <f t="shared" si="56"/>
        <v>1.025024404215553</v>
      </c>
    </row>
    <row r="1193" spans="2:16" x14ac:dyDescent="0.25">
      <c r="B1193">
        <v>1192</v>
      </c>
      <c r="C1193">
        <v>-0.20363913456082999</v>
      </c>
      <c r="D1193">
        <v>-0.20475496694217499</v>
      </c>
      <c r="E1193">
        <v>0.16587558849873599</v>
      </c>
      <c r="F1193">
        <f t="shared" si="54"/>
        <v>1.1158323813449944E-3</v>
      </c>
      <c r="G1193" s="2">
        <f t="shared" si="55"/>
        <v>7.5061189806571737E-6</v>
      </c>
      <c r="M1193">
        <v>0.373544400444143</v>
      </c>
      <c r="N1193">
        <v>0.37352391560714598</v>
      </c>
      <c r="O1193" s="1">
        <v>7.0539501913059503E-10</v>
      </c>
      <c r="P1193" s="2">
        <f t="shared" si="56"/>
        <v>0.59488447666025612</v>
      </c>
    </row>
    <row r="1194" spans="2:16" x14ac:dyDescent="0.25">
      <c r="B1194">
        <v>1193</v>
      </c>
      <c r="C1194">
        <v>-0.16632633840074301</v>
      </c>
      <c r="D1194">
        <v>-0.209181171661216</v>
      </c>
      <c r="E1194">
        <v>0.110657803383194</v>
      </c>
      <c r="F1194">
        <f t="shared" si="54"/>
        <v>4.2854833260472985E-2</v>
      </c>
      <c r="G1194" s="2">
        <f t="shared" si="55"/>
        <v>1.659654066530895E-2</v>
      </c>
      <c r="M1194">
        <v>0.994270551173282</v>
      </c>
      <c r="N1194">
        <v>0.99423879026293704</v>
      </c>
      <c r="O1194" s="1">
        <v>1.8064099048489201E-9</v>
      </c>
      <c r="P1194" s="2">
        <f t="shared" si="56"/>
        <v>0.55843107548993409</v>
      </c>
    </row>
    <row r="1195" spans="2:16" x14ac:dyDescent="0.25">
      <c r="B1195">
        <v>1194</v>
      </c>
      <c r="C1195">
        <v>-0.21657950843239601</v>
      </c>
      <c r="D1195">
        <v>-0.21069513283482999</v>
      </c>
      <c r="E1195">
        <v>0.18762673389127299</v>
      </c>
      <c r="F1195">
        <f t="shared" si="54"/>
        <v>-5.8843755975660217E-3</v>
      </c>
      <c r="G1195" s="2">
        <f t="shared" si="55"/>
        <v>1.845466019426404E-4</v>
      </c>
      <c r="M1195">
        <v>0.37355503166553899</v>
      </c>
      <c r="N1195">
        <v>0.373535896001783</v>
      </c>
      <c r="O1195" s="1">
        <v>7.0987833646646897E-10</v>
      </c>
      <c r="P1195" s="2">
        <f t="shared" si="56"/>
        <v>0.51582589377963672</v>
      </c>
    </row>
    <row r="1196" spans="2:16" x14ac:dyDescent="0.25">
      <c r="B1196">
        <v>1195</v>
      </c>
      <c r="C1196">
        <v>-0.17950766883430699</v>
      </c>
      <c r="D1196">
        <v>-0.20807331505854501</v>
      </c>
      <c r="E1196">
        <v>0.12889201268130901</v>
      </c>
      <c r="F1196">
        <f t="shared" si="54"/>
        <v>2.8565646224238017E-2</v>
      </c>
      <c r="G1196" s="2">
        <f t="shared" si="55"/>
        <v>6.3308511305965008E-3</v>
      </c>
      <c r="M1196">
        <v>0.99424801336380397</v>
      </c>
      <c r="N1196">
        <v>0.99421730691888199</v>
      </c>
      <c r="O1196" s="1">
        <v>1.9580106688703499E-9</v>
      </c>
      <c r="P1196" s="2">
        <f t="shared" si="56"/>
        <v>0.48155292243149689</v>
      </c>
    </row>
    <row r="1197" spans="2:16" x14ac:dyDescent="0.25">
      <c r="B1197">
        <v>1196</v>
      </c>
      <c r="C1197">
        <v>-0.19135192584638799</v>
      </c>
      <c r="D1197">
        <v>-0.21544535834433401</v>
      </c>
      <c r="E1197">
        <v>0.146462238100486</v>
      </c>
      <c r="F1197">
        <f t="shared" si="54"/>
        <v>2.4093432497946016E-2</v>
      </c>
      <c r="G1197" s="2">
        <f t="shared" si="55"/>
        <v>3.9634345143272466E-3</v>
      </c>
      <c r="M1197">
        <v>0.37356873681380798</v>
      </c>
      <c r="N1197">
        <v>0.37354880856591099</v>
      </c>
      <c r="O1197" s="1">
        <v>4.3759776813139198E-10</v>
      </c>
      <c r="P1197" s="2">
        <f t="shared" si="56"/>
        <v>0.90753448295551853</v>
      </c>
    </row>
    <row r="1198" spans="2:16" x14ac:dyDescent="0.25">
      <c r="B1198">
        <v>1197</v>
      </c>
      <c r="C1198">
        <v>-0.1759471943124</v>
      </c>
      <c r="D1198">
        <v>-0.23060738412147899</v>
      </c>
      <c r="E1198">
        <v>0.123829660745622</v>
      </c>
      <c r="F1198">
        <f t="shared" si="54"/>
        <v>5.4660189809078996E-2</v>
      </c>
      <c r="G1198" s="2">
        <f t="shared" si="55"/>
        <v>2.4127792420445396E-2</v>
      </c>
      <c r="M1198">
        <v>0.99423223741109901</v>
      </c>
      <c r="N1198">
        <v>0.99419415329197303</v>
      </c>
      <c r="O1198" s="1">
        <v>1.5373870376488101E-9</v>
      </c>
      <c r="P1198" s="2">
        <f t="shared" si="56"/>
        <v>0.9434189921492</v>
      </c>
    </row>
    <row r="1199" spans="2:16" x14ac:dyDescent="0.25">
      <c r="B1199">
        <v>1198</v>
      </c>
      <c r="C1199">
        <v>-0.22904165000238699</v>
      </c>
      <c r="D1199">
        <v>-0.226028227932072</v>
      </c>
      <c r="E1199">
        <v>0.20984030974326401</v>
      </c>
      <c r="F1199">
        <f t="shared" si="54"/>
        <v>-3.0134220703149917E-3</v>
      </c>
      <c r="G1199" s="2">
        <f t="shared" si="55"/>
        <v>4.3274395586680105E-5</v>
      </c>
      <c r="M1199">
        <v>0.37351136024840698</v>
      </c>
      <c r="N1199">
        <v>0.37351627680564398</v>
      </c>
      <c r="O1199" s="1">
        <v>4.2640439005699999E-10</v>
      </c>
      <c r="P1199" s="2">
        <f t="shared" si="56"/>
        <v>5.6689226537907263E-2</v>
      </c>
    </row>
    <row r="1200" spans="2:16" x14ac:dyDescent="0.25">
      <c r="B1200">
        <v>1199</v>
      </c>
      <c r="C1200">
        <v>-0.20149097957936499</v>
      </c>
      <c r="D1200">
        <v>-0.22964508412857099</v>
      </c>
      <c r="E1200">
        <v>0.16239445940740799</v>
      </c>
      <c r="F1200">
        <f t="shared" si="54"/>
        <v>2.8154104549205999E-2</v>
      </c>
      <c r="G1200" s="2">
        <f t="shared" si="55"/>
        <v>4.8810384655984347E-3</v>
      </c>
      <c r="M1200">
        <v>0.99424550326899297</v>
      </c>
      <c r="N1200">
        <v>0.99425248882790995</v>
      </c>
      <c r="O1200" s="1">
        <v>9.9017785437948493E-10</v>
      </c>
      <c r="P1200" s="2">
        <f t="shared" si="56"/>
        <v>4.9282089239637866E-2</v>
      </c>
    </row>
    <row r="1201" spans="2:16" x14ac:dyDescent="0.25">
      <c r="B1201">
        <v>1200</v>
      </c>
      <c r="C1201">
        <v>-0.21979752655033599</v>
      </c>
      <c r="D1201">
        <v>-0.23416645592311899</v>
      </c>
      <c r="E1201">
        <v>0.193243810710583</v>
      </c>
      <c r="F1201">
        <f t="shared" si="54"/>
        <v>1.4368929372783001E-2</v>
      </c>
      <c r="G1201" s="2">
        <f t="shared" si="55"/>
        <v>1.0684229966321968E-3</v>
      </c>
      <c r="M1201">
        <v>0.37351433774435999</v>
      </c>
      <c r="N1201">
        <v>0.373526466541314</v>
      </c>
      <c r="O1201" s="1">
        <v>3.5449809516179902E-10</v>
      </c>
      <c r="P1201" s="2">
        <f t="shared" si="56"/>
        <v>0.41497462908591437</v>
      </c>
    </row>
    <row r="1202" spans="2:16" x14ac:dyDescent="0.25">
      <c r="B1202">
        <v>1201</v>
      </c>
      <c r="C1202">
        <v>-0.25924795199405098</v>
      </c>
      <c r="D1202">
        <v>-0.23373245741013801</v>
      </c>
      <c r="E1202">
        <v>0.268838002452438</v>
      </c>
      <c r="F1202">
        <f t="shared" si="54"/>
        <v>-2.5515494583912973E-2</v>
      </c>
      <c r="G1202" s="2">
        <f t="shared" si="55"/>
        <v>2.4216831620628948E-3</v>
      </c>
      <c r="M1202">
        <v>0.99421325596459098</v>
      </c>
      <c r="N1202">
        <v>0.994234215809774</v>
      </c>
      <c r="O1202" s="1">
        <v>1.0859942848110201E-9</v>
      </c>
      <c r="P1202" s="2">
        <f t="shared" si="56"/>
        <v>0.4045280129376439</v>
      </c>
    </row>
    <row r="1203" spans="2:16" x14ac:dyDescent="0.25">
      <c r="B1203">
        <v>1202</v>
      </c>
      <c r="C1203">
        <v>-0.24750365751025799</v>
      </c>
      <c r="D1203">
        <v>-0.232213750980059</v>
      </c>
      <c r="E1203">
        <v>0.245032241923821</v>
      </c>
      <c r="F1203">
        <f t="shared" si="54"/>
        <v>-1.5289906530198988E-2</v>
      </c>
      <c r="G1203" s="2">
        <f t="shared" si="55"/>
        <v>9.5408359270084456E-4</v>
      </c>
      <c r="M1203">
        <v>0.37353921256274197</v>
      </c>
      <c r="N1203">
        <v>0.37351823379002602</v>
      </c>
      <c r="O1203" s="1">
        <v>4.5143613602708498E-10</v>
      </c>
      <c r="P1203" s="2">
        <f t="shared" si="56"/>
        <v>0.97490845225812928</v>
      </c>
    </row>
    <row r="1204" spans="2:16" x14ac:dyDescent="0.25">
      <c r="B1204">
        <v>1203</v>
      </c>
      <c r="C1204">
        <v>-0.24622136885050999</v>
      </c>
      <c r="D1204">
        <v>-0.21909014851768199</v>
      </c>
      <c r="E1204">
        <v>0.24249984991447601</v>
      </c>
      <c r="F1204">
        <f t="shared" si="54"/>
        <v>-2.7131220332827999E-2</v>
      </c>
      <c r="G1204" s="2">
        <f t="shared" si="55"/>
        <v>3.03547864878294E-3</v>
      </c>
      <c r="M1204">
        <v>0.99428681009055198</v>
      </c>
      <c r="N1204">
        <v>0.99424897934818901</v>
      </c>
      <c r="O1204" s="1">
        <v>1.4633129608473001E-9</v>
      </c>
      <c r="P1204" s="2">
        <f t="shared" si="56"/>
        <v>0.97803074668618795</v>
      </c>
    </row>
    <row r="1205" spans="2:16" x14ac:dyDescent="0.25">
      <c r="B1205">
        <v>1204</v>
      </c>
      <c r="C1205">
        <v>-0.232619860677961</v>
      </c>
      <c r="D1205">
        <v>-0.216826188964657</v>
      </c>
      <c r="E1205">
        <v>0.21644799832733599</v>
      </c>
      <c r="F1205">
        <f t="shared" si="54"/>
        <v>-1.5793671713304008E-2</v>
      </c>
      <c r="G1205" s="2">
        <f t="shared" si="55"/>
        <v>1.1524249155235385E-3</v>
      </c>
      <c r="M1205">
        <v>0.37354303624937801</v>
      </c>
      <c r="N1205">
        <v>0.37352946750185201</v>
      </c>
      <c r="O1205" s="1">
        <v>2.9827804037762598E-10</v>
      </c>
      <c r="P1205" s="2">
        <f t="shared" si="56"/>
        <v>0.61724594003425781</v>
      </c>
    </row>
    <row r="1206" spans="2:16" x14ac:dyDescent="0.25">
      <c r="B1206">
        <v>1205</v>
      </c>
      <c r="C1206">
        <v>-0.21903752448035599</v>
      </c>
      <c r="D1206">
        <v>-0.21215899908480801</v>
      </c>
      <c r="E1206">
        <v>0.19190974852192999</v>
      </c>
      <c r="F1206">
        <f t="shared" si="54"/>
        <v>-6.8785253955479797E-3</v>
      </c>
      <c r="G1206" s="2">
        <f t="shared" si="55"/>
        <v>2.4654355488247536E-4</v>
      </c>
      <c r="M1206">
        <v>0.99425656164554799</v>
      </c>
      <c r="N1206">
        <v>0.99422883441544097</v>
      </c>
      <c r="O1206" s="1">
        <v>1.16028764828512E-9</v>
      </c>
      <c r="P1206" s="2">
        <f t="shared" si="56"/>
        <v>0.66259370298736919</v>
      </c>
    </row>
    <row r="1207" spans="2:16" x14ac:dyDescent="0.25">
      <c r="B1207">
        <v>1206</v>
      </c>
      <c r="C1207">
        <v>-0.21044257493851901</v>
      </c>
      <c r="D1207">
        <v>-0.22777424278959099</v>
      </c>
      <c r="E1207">
        <v>0.177144309387017</v>
      </c>
      <c r="F1207">
        <f t="shared" si="54"/>
        <v>1.7331667851071986E-2</v>
      </c>
      <c r="G1207" s="2">
        <f t="shared" si="55"/>
        <v>1.6957175284903492E-3</v>
      </c>
      <c r="M1207">
        <v>0.37350164579776102</v>
      </c>
      <c r="N1207">
        <v>0.373509867407263</v>
      </c>
      <c r="O1207" s="1">
        <v>3.1183486411497502E-10</v>
      </c>
      <c r="P1207" s="2">
        <f t="shared" si="56"/>
        <v>0.21676493099923183</v>
      </c>
    </row>
    <row r="1208" spans="2:16" x14ac:dyDescent="0.25">
      <c r="B1208">
        <v>1207</v>
      </c>
      <c r="C1208">
        <v>-0.21999953534084701</v>
      </c>
      <c r="D1208">
        <v>-0.206577034480977</v>
      </c>
      <c r="E1208">
        <v>0.19359918220075401</v>
      </c>
      <c r="F1208">
        <f t="shared" si="54"/>
        <v>-1.3422500859870012E-2</v>
      </c>
      <c r="G1208" s="2">
        <f t="shared" si="55"/>
        <v>9.3060067343874115E-4</v>
      </c>
      <c r="M1208">
        <v>0.99424345600500297</v>
      </c>
      <c r="N1208">
        <v>0.994263983081772</v>
      </c>
      <c r="O1208" s="1">
        <v>1.57414824668261E-9</v>
      </c>
      <c r="P1208" s="2">
        <f t="shared" si="56"/>
        <v>0.26767547565456579</v>
      </c>
    </row>
    <row r="1209" spans="2:16" x14ac:dyDescent="0.25">
      <c r="B1209">
        <v>1208</v>
      </c>
      <c r="C1209">
        <v>-0.23134837291360999</v>
      </c>
      <c r="D1209">
        <v>-0.21235675792759001</v>
      </c>
      <c r="E1209">
        <v>0.21408827859909799</v>
      </c>
      <c r="F1209">
        <f t="shared" si="54"/>
        <v>-1.8991614986019978E-2</v>
      </c>
      <c r="G1209" s="2">
        <f t="shared" si="55"/>
        <v>1.6847323082672414E-3</v>
      </c>
      <c r="M1209">
        <v>0.37353784156841002</v>
      </c>
      <c r="N1209">
        <v>0.37353785223156399</v>
      </c>
      <c r="O1209" s="1">
        <v>3.6605476882916699E-10</v>
      </c>
      <c r="P1209" s="2">
        <f t="shared" si="56"/>
        <v>3.1061705047877887E-7</v>
      </c>
    </row>
    <row r="1210" spans="2:16" x14ac:dyDescent="0.25">
      <c r="B1210">
        <v>1209</v>
      </c>
      <c r="C1210">
        <v>-0.203536457300977</v>
      </c>
      <c r="D1210">
        <v>-0.214931369603266</v>
      </c>
      <c r="E1210">
        <v>0.16570835780252899</v>
      </c>
      <c r="F1210">
        <f t="shared" si="54"/>
        <v>1.1394912302289006E-2</v>
      </c>
      <c r="G1210" s="2">
        <f t="shared" si="55"/>
        <v>7.8356956823861363E-4</v>
      </c>
      <c r="M1210">
        <v>0.99421376743676604</v>
      </c>
      <c r="N1210">
        <v>0.99421379910077201</v>
      </c>
      <c r="O1210" s="1">
        <v>1.28700748482989E-9</v>
      </c>
      <c r="P1210" s="2">
        <f t="shared" si="56"/>
        <v>7.790236545328209E-7</v>
      </c>
    </row>
    <row r="1211" spans="2:16" x14ac:dyDescent="0.25">
      <c r="B1211">
        <v>1210</v>
      </c>
      <c r="C1211">
        <v>-0.216586147960453</v>
      </c>
      <c r="D1211">
        <v>-0.15909708903828401</v>
      </c>
      <c r="E1211">
        <v>0.18763823795338999</v>
      </c>
      <c r="F1211">
        <f t="shared" si="54"/>
        <v>-5.748905892216899E-2</v>
      </c>
      <c r="G1211" s="2">
        <f t="shared" si="55"/>
        <v>1.7613637453670769E-2</v>
      </c>
      <c r="M1211">
        <v>0.37349034024564898</v>
      </c>
      <c r="N1211">
        <v>0.37351171412985301</v>
      </c>
      <c r="O1211" s="1">
        <v>3.89758200041568E-10</v>
      </c>
      <c r="P1211" s="2">
        <f t="shared" si="56"/>
        <v>1.1721188314158721</v>
      </c>
    </row>
    <row r="1212" spans="2:16" x14ac:dyDescent="0.25">
      <c r="B1212">
        <v>1211</v>
      </c>
      <c r="C1212">
        <v>-4.8905327228942301E-2</v>
      </c>
      <c r="D1212">
        <v>-8.3270549238471395E-2</v>
      </c>
      <c r="E1212">
        <v>9.5669241254797005E-3</v>
      </c>
      <c r="F1212">
        <f t="shared" si="54"/>
        <v>3.4365222009529094E-2</v>
      </c>
      <c r="G1212" s="2">
        <f t="shared" si="55"/>
        <v>0.1234428608688278</v>
      </c>
      <c r="M1212">
        <v>0.99422463116355697</v>
      </c>
      <c r="N1212">
        <v>0.99426067123969397</v>
      </c>
      <c r="O1212" s="1">
        <v>1.1641712105245999E-9</v>
      </c>
      <c r="P1212" s="2">
        <f t="shared" si="56"/>
        <v>1.1157182691156664</v>
      </c>
    </row>
    <row r="1213" spans="2:16" x14ac:dyDescent="0.25">
      <c r="B1213">
        <v>1212</v>
      </c>
      <c r="C1213">
        <v>-6.4223063870118202E-3</v>
      </c>
      <c r="D1213">
        <v>-9.4459306657557598E-2</v>
      </c>
      <c r="E1213" s="1">
        <v>1.64984077314611E-4</v>
      </c>
      <c r="F1213">
        <f t="shared" si="54"/>
        <v>8.8037000270545784E-2</v>
      </c>
      <c r="G1213" s="2">
        <f t="shared" si="55"/>
        <v>46.977341951953882</v>
      </c>
      <c r="M1213">
        <v>0.373543478658453</v>
      </c>
      <c r="N1213">
        <v>0.37355052540602601</v>
      </c>
      <c r="O1213" s="1">
        <v>5.7636135559710498E-10</v>
      </c>
      <c r="P1213" s="2">
        <f t="shared" si="56"/>
        <v>8.6155414264954502E-2</v>
      </c>
    </row>
    <row r="1214" spans="2:16" x14ac:dyDescent="0.25">
      <c r="B1214">
        <v>1213</v>
      </c>
      <c r="C1214">
        <v>-7.1619051220971203E-2</v>
      </c>
      <c r="D1214">
        <v>-0.15502340500887299</v>
      </c>
      <c r="E1214">
        <v>2.0517153991168401E-2</v>
      </c>
      <c r="F1214">
        <f t="shared" si="54"/>
        <v>8.3404353787901786E-2</v>
      </c>
      <c r="G1214" s="2">
        <f t="shared" si="55"/>
        <v>0.33904732760556444</v>
      </c>
      <c r="M1214">
        <v>0.99417582794491499</v>
      </c>
      <c r="N1214">
        <v>0.99419107491247305</v>
      </c>
      <c r="O1214" s="1">
        <v>2.5654145449257899E-9</v>
      </c>
      <c r="P1214" s="2">
        <f t="shared" si="56"/>
        <v>9.0616941490521366E-2</v>
      </c>
    </row>
    <row r="1215" spans="2:16" x14ac:dyDescent="0.25">
      <c r="B1215">
        <v>1214</v>
      </c>
      <c r="C1215">
        <v>-9.8744954006937793E-2</v>
      </c>
      <c r="D1215">
        <v>-0.19032052808021299</v>
      </c>
      <c r="E1215">
        <v>3.9002263767329098E-2</v>
      </c>
      <c r="F1215">
        <f t="shared" si="54"/>
        <v>9.1575574073275198E-2</v>
      </c>
      <c r="G1215" s="2">
        <f t="shared" si="55"/>
        <v>0.21501535954112128</v>
      </c>
      <c r="M1215">
        <v>0.37350314319587902</v>
      </c>
      <c r="N1215">
        <v>0.37353502455507598</v>
      </c>
      <c r="O1215" s="1">
        <v>9.8003026934884295E-10</v>
      </c>
      <c r="P1215" s="2">
        <f t="shared" si="56"/>
        <v>1.037132317271187</v>
      </c>
    </row>
    <row r="1216" spans="2:16" x14ac:dyDescent="0.25">
      <c r="B1216">
        <v>1215</v>
      </c>
      <c r="C1216">
        <v>-0.21132929031058401</v>
      </c>
      <c r="D1216">
        <v>-0.14076186545893901</v>
      </c>
      <c r="E1216">
        <v>0.1786402757727</v>
      </c>
      <c r="F1216">
        <f t="shared" si="54"/>
        <v>-7.0567424851644994E-2</v>
      </c>
      <c r="G1216" s="2">
        <f t="shared" si="55"/>
        <v>2.7875916719523875E-2</v>
      </c>
      <c r="M1216">
        <v>0.99418031131409901</v>
      </c>
      <c r="N1216">
        <v>0.99421886956552696</v>
      </c>
      <c r="O1216" s="1">
        <v>1.61599853195703E-9</v>
      </c>
      <c r="P1216" s="2">
        <f t="shared" si="56"/>
        <v>0.92001244046983743</v>
      </c>
    </row>
    <row r="1217" spans="2:16" x14ac:dyDescent="0.25">
      <c r="B1217">
        <v>1216</v>
      </c>
      <c r="C1217">
        <v>-3.9696633933045601E-2</v>
      </c>
      <c r="D1217">
        <v>-0.10499024509587</v>
      </c>
      <c r="E1217">
        <v>6.3032909824569201E-3</v>
      </c>
      <c r="F1217">
        <f t="shared" si="54"/>
        <v>6.5293611162824394E-2</v>
      </c>
      <c r="G1217" s="2">
        <f t="shared" si="55"/>
        <v>0.67635393488059459</v>
      </c>
      <c r="M1217">
        <v>0.37358031487895599</v>
      </c>
      <c r="N1217">
        <v>0.37356936738337598</v>
      </c>
      <c r="O1217" s="1">
        <v>9.3199947706834292E-10</v>
      </c>
      <c r="P1217" s="2">
        <f t="shared" si="56"/>
        <v>0.12859198145820139</v>
      </c>
    </row>
    <row r="1218" spans="2:16" x14ac:dyDescent="0.25">
      <c r="B1218">
        <v>1217</v>
      </c>
      <c r="C1218">
        <v>-1.5579603908250399E-2</v>
      </c>
      <c r="D1218">
        <v>-0.137008121555802</v>
      </c>
      <c r="E1218" s="1">
        <v>9.70896231751885E-4</v>
      </c>
      <c r="F1218">
        <f t="shared" si="54"/>
        <v>0.1214285176475516</v>
      </c>
      <c r="G1218" s="2">
        <f t="shared" si="55"/>
        <v>15.18688034402614</v>
      </c>
      <c r="M1218">
        <v>0.99417274212133799</v>
      </c>
      <c r="N1218">
        <v>0.99415729186828905</v>
      </c>
      <c r="O1218" s="1">
        <v>2.1214081249459998E-9</v>
      </c>
      <c r="P1218" s="2">
        <f t="shared" si="56"/>
        <v>0.11252446734286538</v>
      </c>
    </row>
    <row r="1219" spans="2:16" x14ac:dyDescent="0.25">
      <c r="B1219">
        <v>1218</v>
      </c>
      <c r="C1219">
        <v>-6.0031606699989103E-2</v>
      </c>
      <c r="D1219">
        <v>-0.18460839258141301</v>
      </c>
      <c r="E1219">
        <v>1.4415175211928701E-2</v>
      </c>
      <c r="F1219">
        <f t="shared" ref="F1219:F1282" si="57">C1219-D1219</f>
        <v>0.1245767858814239</v>
      </c>
      <c r="G1219" s="2">
        <f t="shared" ref="G1219:G1282" si="58">F1219^2/E1219</f>
        <v>1.0765998576072595</v>
      </c>
      <c r="M1219">
        <v>0.37354238674150603</v>
      </c>
      <c r="N1219">
        <v>0.37353859358733998</v>
      </c>
      <c r="O1219" s="1">
        <v>9.5063046663221694E-10</v>
      </c>
      <c r="P1219" s="2">
        <f t="shared" ref="P1219:P1282" si="59">(M1219-N1219)^2/O1219</f>
        <v>1.5135238173400225E-2</v>
      </c>
    </row>
    <row r="1220" spans="2:16" x14ac:dyDescent="0.25">
      <c r="B1220">
        <v>1219</v>
      </c>
      <c r="C1220">
        <v>1.18528460609641E-2</v>
      </c>
      <c r="D1220">
        <v>-0.188971021179444</v>
      </c>
      <c r="E1220" s="1">
        <v>5.6195983897964498E-4</v>
      </c>
      <c r="F1220">
        <f t="shared" si="57"/>
        <v>0.2008238672404081</v>
      </c>
      <c r="G1220" s="2">
        <f t="shared" si="58"/>
        <v>71.767095895359674</v>
      </c>
      <c r="M1220">
        <v>0.99421955758380998</v>
      </c>
      <c r="N1220">
        <v>0.99421246974492405</v>
      </c>
      <c r="O1220" s="1">
        <v>3.2678852392810401E-9</v>
      </c>
      <c r="P1220" s="2">
        <f t="shared" si="59"/>
        <v>1.5373079650691554E-2</v>
      </c>
    </row>
    <row r="1221" spans="2:16" x14ac:dyDescent="0.25">
      <c r="B1221">
        <v>1220</v>
      </c>
      <c r="C1221">
        <v>-3.83778434350309E-3</v>
      </c>
      <c r="D1221">
        <v>-1.0750356389987101E-2</v>
      </c>
      <c r="E1221" s="1">
        <v>5.8914354668949698E-5</v>
      </c>
      <c r="F1221">
        <f t="shared" si="57"/>
        <v>6.9125720464840107E-3</v>
      </c>
      <c r="G1221" s="2">
        <f t="shared" si="58"/>
        <v>0.8110697735099881</v>
      </c>
      <c r="M1221">
        <v>0.37366579417679702</v>
      </c>
      <c r="N1221">
        <v>0.37367462702119703</v>
      </c>
      <c r="O1221" s="1">
        <v>9.2629451128529303E-10</v>
      </c>
      <c r="P1221" s="2">
        <f t="shared" si="59"/>
        <v>8.4227142927259205E-2</v>
      </c>
    </row>
    <row r="1222" spans="2:16" x14ac:dyDescent="0.25">
      <c r="B1222">
        <v>1221</v>
      </c>
      <c r="C1222">
        <v>-2.8905182040260499E-3</v>
      </c>
      <c r="D1222">
        <v>-4.2082093531032101E-2</v>
      </c>
      <c r="E1222" s="1">
        <v>3.3420381951223798E-5</v>
      </c>
      <c r="F1222">
        <f t="shared" si="57"/>
        <v>3.9191575327006054E-2</v>
      </c>
      <c r="G1222" s="2">
        <f t="shared" si="58"/>
        <v>45.959366318856347</v>
      </c>
      <c r="M1222">
        <v>0.99395238600140801</v>
      </c>
      <c r="N1222">
        <v>0.99396861726234698</v>
      </c>
      <c r="O1222" s="1">
        <v>3.0308503372285202E-9</v>
      </c>
      <c r="P1222" s="2">
        <f t="shared" si="59"/>
        <v>8.6924064983641469E-2</v>
      </c>
    </row>
    <row r="1223" spans="2:16" x14ac:dyDescent="0.25">
      <c r="B1223">
        <v>1222</v>
      </c>
      <c r="C1223">
        <v>-8.9877268818572706E-2</v>
      </c>
      <c r="D1223">
        <v>-0.14099542028304199</v>
      </c>
      <c r="E1223">
        <v>3.2311693801143897E-2</v>
      </c>
      <c r="F1223">
        <f t="shared" si="57"/>
        <v>5.1118151464469283E-2</v>
      </c>
      <c r="G1223" s="2">
        <f t="shared" si="58"/>
        <v>8.0870579711049245E-2</v>
      </c>
      <c r="M1223">
        <v>3.86078475561796</v>
      </c>
      <c r="N1223">
        <v>3.8607246281704102</v>
      </c>
      <c r="O1223" s="1">
        <v>2.05165757347442E-7</v>
      </c>
      <c r="P1223" s="2">
        <f t="shared" si="59"/>
        <v>1.7621410100765709E-2</v>
      </c>
    </row>
    <row r="1224" spans="2:16" x14ac:dyDescent="0.25">
      <c r="B1224">
        <v>1223</v>
      </c>
      <c r="C1224">
        <v>-0.18381877766601201</v>
      </c>
      <c r="D1224">
        <v>-0.17654216369422401</v>
      </c>
      <c r="E1224">
        <v>0.13515737209050799</v>
      </c>
      <c r="F1224">
        <f t="shared" si="57"/>
        <v>-7.2766139717879985E-3</v>
      </c>
      <c r="G1224" s="2">
        <f t="shared" si="58"/>
        <v>3.9175895532330264E-4</v>
      </c>
      <c r="M1224">
        <v>1.8055440021912399</v>
      </c>
      <c r="N1224">
        <v>1.80578620308454</v>
      </c>
      <c r="O1224" s="1">
        <v>4.9336412748168299E-8</v>
      </c>
      <c r="P1224" s="2">
        <f t="shared" si="59"/>
        <v>1.1890056339276547</v>
      </c>
    </row>
    <row r="1225" spans="2:16" x14ac:dyDescent="0.25">
      <c r="B1225">
        <v>1224</v>
      </c>
      <c r="C1225">
        <v>-0.11288922921682699</v>
      </c>
      <c r="D1225">
        <v>-0.17407259265456401</v>
      </c>
      <c r="E1225">
        <v>5.0975912292677103E-2</v>
      </c>
      <c r="F1225">
        <f t="shared" si="57"/>
        <v>6.1183363437737018E-2</v>
      </c>
      <c r="G1225" s="2">
        <f t="shared" si="58"/>
        <v>7.3434761501894097E-2</v>
      </c>
      <c r="M1225">
        <v>3.8721791954141098</v>
      </c>
      <c r="N1225">
        <v>3.8721020821268701</v>
      </c>
      <c r="O1225" s="1">
        <v>2.4616598544886402E-7</v>
      </c>
      <c r="P1225" s="2">
        <f t="shared" si="59"/>
        <v>2.415629867818116E-2</v>
      </c>
    </row>
    <row r="1226" spans="2:16" x14ac:dyDescent="0.25">
      <c r="B1226">
        <v>1225</v>
      </c>
      <c r="C1226">
        <v>-0.191658943684342</v>
      </c>
      <c r="D1226">
        <v>-0.18736272242402999</v>
      </c>
      <c r="E1226">
        <v>0.14693260277679199</v>
      </c>
      <c r="F1226">
        <f t="shared" si="57"/>
        <v>-4.2962212603120109E-3</v>
      </c>
      <c r="G1226" s="2">
        <f t="shared" si="58"/>
        <v>1.2561893527194965E-4</v>
      </c>
      <c r="M1226">
        <v>3.8622653956155899</v>
      </c>
      <c r="N1226">
        <v>3.8621286967845498</v>
      </c>
      <c r="O1226" s="1">
        <v>1.8524516638272999E-7</v>
      </c>
      <c r="P1226" s="2">
        <f t="shared" si="59"/>
        <v>0.10087480700636076</v>
      </c>
    </row>
    <row r="1227" spans="2:16" x14ac:dyDescent="0.25">
      <c r="B1227">
        <v>1226</v>
      </c>
      <c r="C1227">
        <v>-0.20298126286583401</v>
      </c>
      <c r="D1227">
        <v>-0.14419609749628201</v>
      </c>
      <c r="E1227">
        <v>0.16480557229843501</v>
      </c>
      <c r="F1227">
        <f t="shared" si="57"/>
        <v>-5.8785165369552E-2</v>
      </c>
      <c r="G1227" s="2">
        <f t="shared" si="58"/>
        <v>2.0968318117714466E-2</v>
      </c>
      <c r="M1227">
        <v>1.8065057043397199</v>
      </c>
      <c r="N1227">
        <v>1.80619832709663</v>
      </c>
      <c r="O1227" s="1">
        <v>5.9019794060680298E-8</v>
      </c>
      <c r="P1227" s="2">
        <f t="shared" si="59"/>
        <v>1.6008319085700267</v>
      </c>
    </row>
    <row r="1228" spans="2:16" x14ac:dyDescent="0.25">
      <c r="B1228">
        <v>1227</v>
      </c>
      <c r="C1228">
        <v>-0.16240514679089299</v>
      </c>
      <c r="D1228">
        <v>-0.12942209785720399</v>
      </c>
      <c r="E1228">
        <v>0.105501726816686</v>
      </c>
      <c r="F1228">
        <f t="shared" si="57"/>
        <v>-3.2983048933689002E-2</v>
      </c>
      <c r="G1228" s="2">
        <f t="shared" si="58"/>
        <v>1.0311504368571771E-2</v>
      </c>
      <c r="M1228">
        <v>3.8727286060431898</v>
      </c>
      <c r="N1228">
        <v>3.8725885465772798</v>
      </c>
      <c r="O1228" s="1">
        <v>1.3372286770754301E-7</v>
      </c>
      <c r="P1228" s="2">
        <f t="shared" si="59"/>
        <v>0.14669633045783648</v>
      </c>
    </row>
    <row r="1229" spans="2:16" x14ac:dyDescent="0.25">
      <c r="B1229">
        <v>1228</v>
      </c>
      <c r="C1229">
        <v>-0.19632624261866299</v>
      </c>
      <c r="D1229">
        <v>-0.15827353926971599</v>
      </c>
      <c r="E1229">
        <v>0.15417597416304801</v>
      </c>
      <c r="F1229">
        <f t="shared" si="57"/>
        <v>-3.8052703348947003E-2</v>
      </c>
      <c r="G1229" s="2">
        <f t="shared" si="58"/>
        <v>9.3919188124060669E-3</v>
      </c>
      <c r="M1229">
        <v>3.86204048628279</v>
      </c>
      <c r="N1229">
        <v>3.86291737195348</v>
      </c>
      <c r="O1229" s="1">
        <v>1.10361939216231E-7</v>
      </c>
      <c r="P1229" s="2">
        <f t="shared" si="59"/>
        <v>6.9673338917585799</v>
      </c>
    </row>
    <row r="1230" spans="2:16" x14ac:dyDescent="0.25">
      <c r="B1230">
        <v>1229</v>
      </c>
      <c r="C1230">
        <v>-0.192159233681852</v>
      </c>
      <c r="D1230">
        <v>-0.173321172346875</v>
      </c>
      <c r="E1230">
        <v>0.14770068435678599</v>
      </c>
      <c r="F1230">
        <f t="shared" si="57"/>
        <v>-1.8838061334977008E-2</v>
      </c>
      <c r="G1230" s="2">
        <f t="shared" si="58"/>
        <v>2.4026466526256918E-3</v>
      </c>
      <c r="M1230">
        <v>1.8061478462039999</v>
      </c>
      <c r="N1230">
        <v>1.8064297955653299</v>
      </c>
      <c r="O1230" s="1">
        <v>3.9764689258100299E-8</v>
      </c>
      <c r="P1230" s="2">
        <f t="shared" si="59"/>
        <v>1.9991465754553588</v>
      </c>
    </row>
    <row r="1231" spans="2:16" x14ac:dyDescent="0.25">
      <c r="B1231">
        <v>1230</v>
      </c>
      <c r="C1231">
        <v>-0.18804230696096899</v>
      </c>
      <c r="D1231">
        <v>-0.187492546918299</v>
      </c>
      <c r="E1231">
        <v>0.141439636828813</v>
      </c>
      <c r="F1231">
        <f t="shared" si="57"/>
        <v>-5.497600426699889E-4</v>
      </c>
      <c r="G1231" s="2">
        <f t="shared" si="58"/>
        <v>2.1368557731968015E-6</v>
      </c>
      <c r="M1231">
        <v>3.87145252622572</v>
      </c>
      <c r="N1231">
        <v>3.8728617462957802</v>
      </c>
      <c r="O1231" s="1">
        <v>1.4084384120655901E-7</v>
      </c>
      <c r="P1231" s="2">
        <f t="shared" si="59"/>
        <v>14.100021618608798</v>
      </c>
    </row>
    <row r="1232" spans="2:16" x14ac:dyDescent="0.25">
      <c r="B1232">
        <v>1231</v>
      </c>
      <c r="C1232">
        <v>-0.1231999713339</v>
      </c>
      <c r="D1232">
        <v>-0.18964914704151001</v>
      </c>
      <c r="E1232">
        <v>6.0712931746695002E-2</v>
      </c>
      <c r="F1232">
        <f t="shared" si="57"/>
        <v>6.6449175707610011E-2</v>
      </c>
      <c r="G1232" s="2">
        <f t="shared" si="58"/>
        <v>7.272738813936773E-2</v>
      </c>
      <c r="M1232">
        <v>3.8637910098832702</v>
      </c>
      <c r="N1232">
        <v>3.8642771909106899</v>
      </c>
      <c r="O1232" s="1">
        <v>1.78489335982883E-7</v>
      </c>
      <c r="P1232" s="2">
        <f t="shared" si="59"/>
        <v>1.3242919534730655</v>
      </c>
    </row>
    <row r="1233" spans="2:16" x14ac:dyDescent="0.25">
      <c r="B1233">
        <v>1232</v>
      </c>
      <c r="C1233">
        <v>-0.200745367685812</v>
      </c>
      <c r="D1233">
        <v>-0.19844524800065799</v>
      </c>
      <c r="E1233">
        <v>0.16119481058924701</v>
      </c>
      <c r="F1233">
        <f t="shared" si="57"/>
        <v>-2.3001196851540062E-3</v>
      </c>
      <c r="G1233" s="2">
        <f t="shared" si="58"/>
        <v>3.2820849174321295E-5</v>
      </c>
      <c r="M1233">
        <v>1.80646554305903</v>
      </c>
      <c r="N1233">
        <v>1.8068288478362799</v>
      </c>
      <c r="O1233" s="1">
        <v>4.22398999506126E-8</v>
      </c>
      <c r="P1233" s="2">
        <f t="shared" si="59"/>
        <v>3.1247792093966473</v>
      </c>
    </row>
    <row r="1234" spans="2:16" x14ac:dyDescent="0.25">
      <c r="B1234">
        <v>1233</v>
      </c>
      <c r="C1234">
        <v>-0.14278268070262501</v>
      </c>
      <c r="D1234">
        <v>-0.21321468935729701</v>
      </c>
      <c r="E1234">
        <v>8.1547575634511094E-2</v>
      </c>
      <c r="F1234">
        <f t="shared" si="57"/>
        <v>7.0432008654672001E-2</v>
      </c>
      <c r="G1234" s="2">
        <f t="shared" si="58"/>
        <v>6.0831579658052123E-2</v>
      </c>
      <c r="M1234">
        <v>3.8726609255531699</v>
      </c>
      <c r="N1234">
        <v>3.8733327064102099</v>
      </c>
      <c r="O1234" s="1">
        <v>1.8312710365926901E-7</v>
      </c>
      <c r="P1234" s="2">
        <f t="shared" si="59"/>
        <v>2.4643513213919706</v>
      </c>
    </row>
    <row r="1235" spans="2:16" x14ac:dyDescent="0.25">
      <c r="B1235">
        <v>1234</v>
      </c>
      <c r="C1235">
        <v>-0.15299149520390901</v>
      </c>
      <c r="D1235">
        <v>-0.204919081591905</v>
      </c>
      <c r="E1235">
        <v>9.3625590418910706E-2</v>
      </c>
      <c r="F1235">
        <f t="shared" si="57"/>
        <v>5.1927586387995994E-2</v>
      </c>
      <c r="G1235" s="2">
        <f t="shared" si="58"/>
        <v>2.8800611200611954E-2</v>
      </c>
      <c r="M1235">
        <v>3.8654083225601599</v>
      </c>
      <c r="N1235">
        <v>3.8650202953845598</v>
      </c>
      <c r="O1235" s="1">
        <v>2.1791222251208E-7</v>
      </c>
      <c r="P1235" s="2">
        <f t="shared" si="59"/>
        <v>0.69094375372085204</v>
      </c>
    </row>
    <row r="1236" spans="2:16" x14ac:dyDescent="0.25">
      <c r="B1236">
        <v>1235</v>
      </c>
      <c r="C1236">
        <v>-0.18404418799430899</v>
      </c>
      <c r="D1236">
        <v>-0.179027489159755</v>
      </c>
      <c r="E1236">
        <v>0.135489052537938</v>
      </c>
      <c r="F1236">
        <f t="shared" si="57"/>
        <v>-5.0166988345539953E-3</v>
      </c>
      <c r="G1236" s="2">
        <f t="shared" si="58"/>
        <v>1.857512966929072E-4</v>
      </c>
      <c r="M1236">
        <v>1.8073709835495699</v>
      </c>
      <c r="N1236">
        <v>1.8070468970675999</v>
      </c>
      <c r="O1236" s="1">
        <v>4.21876175316093E-8</v>
      </c>
      <c r="P1236" s="2">
        <f t="shared" si="59"/>
        <v>2.4896416043643304</v>
      </c>
    </row>
    <row r="1237" spans="2:16" x14ac:dyDescent="0.25">
      <c r="B1237">
        <v>1236</v>
      </c>
      <c r="C1237">
        <v>-0.26307258367154102</v>
      </c>
      <c r="D1237">
        <v>-0.16368662255477001</v>
      </c>
      <c r="E1237">
        <v>0.276828737118479</v>
      </c>
      <c r="F1237">
        <f t="shared" si="57"/>
        <v>-9.9385961116771004E-2</v>
      </c>
      <c r="G1237" s="2">
        <f t="shared" si="58"/>
        <v>3.5681155684631295E-2</v>
      </c>
      <c r="M1237">
        <v>3.8740595755599099</v>
      </c>
      <c r="N1237">
        <v>3.8735900276080502</v>
      </c>
      <c r="O1237" s="1">
        <v>2.1065125678448099E-7</v>
      </c>
      <c r="P1237" s="2">
        <f t="shared" si="59"/>
        <v>1.0466364286695187</v>
      </c>
    </row>
    <row r="1238" spans="2:16" x14ac:dyDescent="0.25">
      <c r="B1238">
        <v>1237</v>
      </c>
      <c r="C1238">
        <v>-0.14317194049607301</v>
      </c>
      <c r="D1238">
        <v>-0.12570507978366799</v>
      </c>
      <c r="E1238">
        <v>8.1992818181644306E-2</v>
      </c>
      <c r="F1238">
        <f t="shared" si="57"/>
        <v>-1.7466860712405025E-2</v>
      </c>
      <c r="G1238" s="2">
        <f t="shared" si="58"/>
        <v>3.7209505650930143E-3</v>
      </c>
      <c r="M1238">
        <v>3.8670496847256102</v>
      </c>
      <c r="N1238">
        <v>3.8666818183236802</v>
      </c>
      <c r="O1238" s="1">
        <v>9.08996465332959E-8</v>
      </c>
      <c r="P1238" s="2">
        <f t="shared" si="59"/>
        <v>1.4887372484924186</v>
      </c>
    </row>
    <row r="1239" spans="2:16" x14ac:dyDescent="0.25">
      <c r="B1239">
        <v>1238</v>
      </c>
      <c r="C1239">
        <v>-0.16506806670695801</v>
      </c>
      <c r="D1239">
        <v>-0.11331885477056999</v>
      </c>
      <c r="E1239">
        <v>0.10898986658548999</v>
      </c>
      <c r="F1239">
        <f t="shared" si="57"/>
        <v>-5.1749211936388012E-2</v>
      </c>
      <c r="G1239" s="2">
        <f t="shared" si="58"/>
        <v>2.4570916727718314E-2</v>
      </c>
      <c r="M1239">
        <v>1.80762914700462</v>
      </c>
      <c r="N1239">
        <v>1.8075343814616101</v>
      </c>
      <c r="O1239" s="1">
        <v>4.2048040041035901E-8</v>
      </c>
      <c r="P1239" s="2">
        <f t="shared" si="59"/>
        <v>0.21357733043440413</v>
      </c>
    </row>
    <row r="1240" spans="2:16" x14ac:dyDescent="0.25">
      <c r="B1240">
        <v>1239</v>
      </c>
      <c r="C1240">
        <v>-0.19276131320524301</v>
      </c>
      <c r="D1240">
        <v>-0.134779676796458</v>
      </c>
      <c r="E1240">
        <v>0.14862769547443899</v>
      </c>
      <c r="F1240">
        <f t="shared" si="57"/>
        <v>-5.7981636408785009E-2</v>
      </c>
      <c r="G1240" s="2">
        <f t="shared" si="58"/>
        <v>2.2619405824123258E-2</v>
      </c>
      <c r="M1240">
        <v>3.87478311621543</v>
      </c>
      <c r="N1240">
        <v>3.87416526037258</v>
      </c>
      <c r="O1240" s="1">
        <v>8.3166699003357995E-8</v>
      </c>
      <c r="P1240" s="2">
        <f t="shared" si="59"/>
        <v>4.5901285865450268</v>
      </c>
    </row>
    <row r="1241" spans="2:16" x14ac:dyDescent="0.25">
      <c r="B1241">
        <v>1240</v>
      </c>
      <c r="C1241">
        <v>-0.127069601255557</v>
      </c>
      <c r="D1241">
        <v>-0.16849699520361799</v>
      </c>
      <c r="E1241">
        <v>6.4586734252984598E-2</v>
      </c>
      <c r="F1241">
        <f t="shared" si="57"/>
        <v>4.1427393948060998E-2</v>
      </c>
      <c r="G1241" s="2">
        <f t="shared" si="58"/>
        <v>2.6572468621890926E-2</v>
      </c>
      <c r="M1241">
        <v>3.86815101039545</v>
      </c>
      <c r="N1241">
        <v>3.8677696909888</v>
      </c>
      <c r="O1241" s="1">
        <v>1.02304010831032E-7</v>
      </c>
      <c r="P1241" s="2">
        <f t="shared" si="59"/>
        <v>1.4212980381389799</v>
      </c>
    </row>
    <row r="1242" spans="2:16" x14ac:dyDescent="0.25">
      <c r="B1242">
        <v>1241</v>
      </c>
      <c r="C1242">
        <v>-0.21515622075184301</v>
      </c>
      <c r="D1242">
        <v>-0.18689463111085999</v>
      </c>
      <c r="E1242">
        <v>0.18516879731286401</v>
      </c>
      <c r="F1242">
        <f t="shared" si="57"/>
        <v>-2.826158964098302E-2</v>
      </c>
      <c r="G1242" s="2">
        <f t="shared" si="58"/>
        <v>4.313455941963017E-3</v>
      </c>
      <c r="M1242">
        <v>1.80808248950981</v>
      </c>
      <c r="N1242">
        <v>1.80785351682786</v>
      </c>
      <c r="O1242" s="1">
        <v>2.4873823806728901E-8</v>
      </c>
      <c r="P1242" s="2">
        <f t="shared" si="59"/>
        <v>2.1077776174159619</v>
      </c>
    </row>
    <row r="1243" spans="2:16" x14ac:dyDescent="0.25">
      <c r="B1243">
        <v>1242</v>
      </c>
      <c r="C1243">
        <v>-0.21915303998623401</v>
      </c>
      <c r="D1243">
        <v>-0.17403675891610301</v>
      </c>
      <c r="E1243">
        <v>0.19211221974083101</v>
      </c>
      <c r="F1243">
        <f t="shared" si="57"/>
        <v>-4.5116281070130992E-2</v>
      </c>
      <c r="G1243" s="2">
        <f t="shared" si="58"/>
        <v>1.0595259480865E-2</v>
      </c>
      <c r="M1243">
        <v>3.8750740703396001</v>
      </c>
      <c r="N1243">
        <v>3.8745418031090102</v>
      </c>
      <c r="O1243" s="1">
        <v>7.9142792262408606E-8</v>
      </c>
      <c r="P1243" s="2">
        <f t="shared" si="59"/>
        <v>3.579712020021323</v>
      </c>
    </row>
    <row r="1244" spans="2:16" x14ac:dyDescent="0.25">
      <c r="B1244">
        <v>1243</v>
      </c>
      <c r="C1244">
        <v>-0.21563028418863001</v>
      </c>
      <c r="D1244">
        <v>-0.18191232752454201</v>
      </c>
      <c r="E1244">
        <v>0.18598567783707801</v>
      </c>
      <c r="F1244">
        <f t="shared" si="57"/>
        <v>-3.3717956664088E-2</v>
      </c>
      <c r="G1244" s="2">
        <f t="shared" si="58"/>
        <v>6.1128395198109418E-3</v>
      </c>
      <c r="M1244">
        <v>3.8687627514981799</v>
      </c>
      <c r="N1244">
        <v>3.86881810050749</v>
      </c>
      <c r="O1244" s="1">
        <v>1.8870886614218101E-7</v>
      </c>
      <c r="P1244" s="2">
        <f t="shared" si="59"/>
        <v>1.6234069411948941E-2</v>
      </c>
    </row>
    <row r="1245" spans="2:16" x14ac:dyDescent="0.25">
      <c r="B1245">
        <v>1244</v>
      </c>
      <c r="C1245">
        <v>-0.14639541077305901</v>
      </c>
      <c r="D1245">
        <v>-0.211278461282145</v>
      </c>
      <c r="E1245">
        <v>8.5726465181651099E-2</v>
      </c>
      <c r="F1245">
        <f t="shared" si="57"/>
        <v>6.4883050509085993E-2</v>
      </c>
      <c r="G1245" s="2">
        <f t="shared" si="58"/>
        <v>4.9107474972217471E-2</v>
      </c>
      <c r="M1245">
        <v>1.8080579065376601</v>
      </c>
      <c r="N1245">
        <v>1.80816104376244</v>
      </c>
      <c r="O1245" s="1">
        <v>4.1638192466006598E-8</v>
      </c>
      <c r="P1245" s="2">
        <f t="shared" si="59"/>
        <v>0.25546947418511873</v>
      </c>
    </row>
    <row r="1246" spans="2:16" x14ac:dyDescent="0.25">
      <c r="B1246">
        <v>1245</v>
      </c>
      <c r="C1246">
        <v>-0.28109203416262002</v>
      </c>
      <c r="D1246">
        <v>-0.18517509825734299</v>
      </c>
      <c r="E1246">
        <v>0.31605092667871798</v>
      </c>
      <c r="F1246">
        <f t="shared" si="57"/>
        <v>-9.5916935905277029E-2</v>
      </c>
      <c r="G1246" s="2">
        <f t="shared" si="58"/>
        <v>2.9109418188193938E-2</v>
      </c>
      <c r="M1246">
        <v>3.8748061996259899</v>
      </c>
      <c r="N1246">
        <v>3.87490462097559</v>
      </c>
      <c r="O1246" s="1">
        <v>1.8543977519928301E-7</v>
      </c>
      <c r="P1246" s="2">
        <f t="shared" si="59"/>
        <v>5.2236700819344686E-2</v>
      </c>
    </row>
    <row r="1247" spans="2:16" x14ac:dyDescent="0.25">
      <c r="B1247">
        <v>1246</v>
      </c>
      <c r="C1247">
        <v>-0.26063365875315297</v>
      </c>
      <c r="D1247">
        <v>-0.17556472101739001</v>
      </c>
      <c r="E1247">
        <v>0.27171961630022001</v>
      </c>
      <c r="F1247">
        <f t="shared" si="57"/>
        <v>-8.5068937735762962E-2</v>
      </c>
      <c r="G1247" s="2">
        <f t="shared" si="58"/>
        <v>2.6633057509897771E-2</v>
      </c>
      <c r="M1247">
        <v>3.86815703851715</v>
      </c>
      <c r="N1247">
        <v>3.8691442151264899</v>
      </c>
      <c r="O1247" s="1">
        <v>2.38352345388953E-7</v>
      </c>
      <c r="P1247" s="2">
        <f t="shared" si="59"/>
        <v>4.0885591305491262</v>
      </c>
    </row>
    <row r="1248" spans="2:16" x14ac:dyDescent="0.25">
      <c r="B1248">
        <v>1247</v>
      </c>
      <c r="C1248">
        <v>-0.210481422911763</v>
      </c>
      <c r="D1248">
        <v>-0.151659789475526</v>
      </c>
      <c r="E1248">
        <v>0.17720971756384199</v>
      </c>
      <c r="F1248">
        <f t="shared" si="57"/>
        <v>-5.8821633436237003E-2</v>
      </c>
      <c r="G1248" s="2">
        <f t="shared" si="58"/>
        <v>1.9524801504525468E-2</v>
      </c>
      <c r="M1248">
        <v>1.8078663226118299</v>
      </c>
      <c r="N1248">
        <v>1.80825669569263</v>
      </c>
      <c r="O1248" s="1">
        <v>7.4508946454213105E-8</v>
      </c>
      <c r="P1248" s="2">
        <f t="shared" si="59"/>
        <v>2.0452730774691905</v>
      </c>
    </row>
    <row r="1249" spans="2:16" x14ac:dyDescent="0.25">
      <c r="B1249">
        <v>1248</v>
      </c>
      <c r="C1249">
        <v>-0.22180680812808401</v>
      </c>
      <c r="D1249">
        <v>-0.120714406215614</v>
      </c>
      <c r="E1249">
        <v>0.196793040527875</v>
      </c>
      <c r="F1249">
        <f t="shared" si="57"/>
        <v>-0.10109240191247001</v>
      </c>
      <c r="G1249" s="2">
        <f t="shared" si="58"/>
        <v>5.193107285206456E-2</v>
      </c>
      <c r="M1249">
        <v>3.8736309158285902</v>
      </c>
      <c r="N1249">
        <v>3.8750174647176401</v>
      </c>
      <c r="O1249" s="1">
        <v>2.7828492048142699E-7</v>
      </c>
      <c r="P1249" s="2">
        <f t="shared" si="59"/>
        <v>6.9084513037915682</v>
      </c>
    </row>
    <row r="1250" spans="2:16" x14ac:dyDescent="0.25">
      <c r="B1250">
        <v>1249</v>
      </c>
      <c r="C1250">
        <v>-0.177656067121234</v>
      </c>
      <c r="D1250">
        <v>-0.109149177770635</v>
      </c>
      <c r="E1250">
        <v>0.12624671273993701</v>
      </c>
      <c r="F1250">
        <f t="shared" si="57"/>
        <v>-6.8506889350598996E-2</v>
      </c>
      <c r="G1250" s="2">
        <f t="shared" si="58"/>
        <v>3.7174780924102147E-2</v>
      </c>
      <c r="M1250">
        <v>3.86976931470873</v>
      </c>
      <c r="N1250">
        <v>3.8704057596365198</v>
      </c>
      <c r="O1250" s="1">
        <v>1.7354784028263101E-7</v>
      </c>
      <c r="P1250" s="2">
        <f t="shared" si="59"/>
        <v>2.3340085676070914</v>
      </c>
    </row>
    <row r="1251" spans="2:16" x14ac:dyDescent="0.25">
      <c r="B1251">
        <v>1250</v>
      </c>
      <c r="C1251">
        <v>-0.218905283490723</v>
      </c>
      <c r="D1251">
        <v>-0.15024278247300199</v>
      </c>
      <c r="E1251">
        <v>0.19167809256061499</v>
      </c>
      <c r="F1251">
        <f t="shared" si="57"/>
        <v>-6.8662501017721006E-2</v>
      </c>
      <c r="G1251" s="2">
        <f t="shared" si="58"/>
        <v>2.4596128764781212E-2</v>
      </c>
      <c r="M1251">
        <v>1.8082985243007801</v>
      </c>
      <c r="N1251">
        <v>1.80862668814742</v>
      </c>
      <c r="O1251" s="1">
        <v>4.7409258419553201E-8</v>
      </c>
      <c r="P1251" s="2">
        <f t="shared" si="59"/>
        <v>2.2715291027857858</v>
      </c>
    </row>
    <row r="1252" spans="2:16" x14ac:dyDescent="0.25">
      <c r="B1252">
        <v>1251</v>
      </c>
      <c r="C1252">
        <v>-0.19777257687851699</v>
      </c>
      <c r="D1252">
        <v>-0.18159747179386501</v>
      </c>
      <c r="E1252">
        <v>0.15645596866067599</v>
      </c>
      <c r="F1252">
        <f t="shared" si="57"/>
        <v>-1.6175105084651975E-2</v>
      </c>
      <c r="G1252" s="2">
        <f t="shared" si="58"/>
        <v>1.6722533933299145E-3</v>
      </c>
      <c r="M1252">
        <v>3.8747037460661899</v>
      </c>
      <c r="N1252">
        <v>3.8754539317803398</v>
      </c>
      <c r="O1252" s="1">
        <v>1.6809446811923799E-7</v>
      </c>
      <c r="P1252" s="2">
        <f t="shared" si="59"/>
        <v>3.347990043999157</v>
      </c>
    </row>
    <row r="1253" spans="2:16" x14ac:dyDescent="0.25">
      <c r="B1253">
        <v>1252</v>
      </c>
      <c r="C1253">
        <v>-0.19167492696851801</v>
      </c>
      <c r="D1253">
        <v>-0.18186070625519299</v>
      </c>
      <c r="E1253">
        <v>0.14695711051354701</v>
      </c>
      <c r="F1253">
        <f t="shared" si="57"/>
        <v>-9.8142207133250225E-3</v>
      </c>
      <c r="G1253" s="2">
        <f t="shared" si="58"/>
        <v>6.5542203349853501E-4</v>
      </c>
      <c r="M1253">
        <v>3.8724056691113402</v>
      </c>
      <c r="N1253">
        <v>3.87241404173492</v>
      </c>
      <c r="O1253" s="1">
        <v>2.7491387053649E-7</v>
      </c>
      <c r="P1253" s="2">
        <f t="shared" si="59"/>
        <v>2.5499195610555365E-4</v>
      </c>
    </row>
    <row r="1254" spans="2:16" x14ac:dyDescent="0.25">
      <c r="B1254">
        <v>1253</v>
      </c>
      <c r="C1254">
        <v>-0.20337115309165599</v>
      </c>
      <c r="D1254">
        <v>-0.17393832195088199</v>
      </c>
      <c r="E1254">
        <v>0.165439303639319</v>
      </c>
      <c r="F1254">
        <f t="shared" si="57"/>
        <v>-2.9432831140773996E-2</v>
      </c>
      <c r="G1254" s="2">
        <f t="shared" si="58"/>
        <v>5.2363104165981814E-3</v>
      </c>
      <c r="M1254">
        <v>1.8092688005336499</v>
      </c>
      <c r="N1254">
        <v>1.8092155951126501</v>
      </c>
      <c r="O1254" s="1">
        <v>6.3934400993962899E-8</v>
      </c>
      <c r="P1254" s="2">
        <f t="shared" si="59"/>
        <v>4.4276896002173126E-2</v>
      </c>
    </row>
    <row r="1255" spans="2:16" x14ac:dyDescent="0.25">
      <c r="B1255">
        <v>1254</v>
      </c>
      <c r="C1255">
        <v>-0.19375915835277899</v>
      </c>
      <c r="D1255">
        <v>-0.18528026436226899</v>
      </c>
      <c r="E1255">
        <v>0.15017044578230901</v>
      </c>
      <c r="F1255">
        <f t="shared" si="57"/>
        <v>-8.4788939905099947E-3</v>
      </c>
      <c r="G1255" s="2">
        <f t="shared" si="58"/>
        <v>4.7873363448972179E-4</v>
      </c>
      <c r="M1255">
        <v>3.8761624820749101</v>
      </c>
      <c r="N1255">
        <v>3.8761485618075602</v>
      </c>
      <c r="O1255" s="1">
        <v>2.1873133640806199E-7</v>
      </c>
      <c r="P1255" s="2">
        <f t="shared" si="59"/>
        <v>8.8589886696327426E-4</v>
      </c>
    </row>
    <row r="1256" spans="2:16" x14ac:dyDescent="0.25">
      <c r="B1256">
        <v>1255</v>
      </c>
      <c r="C1256">
        <v>-0.19732538937504099</v>
      </c>
      <c r="D1256">
        <v>-0.217689787779417</v>
      </c>
      <c r="E1256">
        <v>0.15574923716804701</v>
      </c>
      <c r="F1256">
        <f t="shared" si="57"/>
        <v>2.0364398404376011E-2</v>
      </c>
      <c r="G1256" s="2">
        <f t="shared" si="58"/>
        <v>2.6626693646319348E-3</v>
      </c>
      <c r="M1256">
        <v>3.8738551833648498</v>
      </c>
      <c r="N1256">
        <v>3.8732413975715598</v>
      </c>
      <c r="O1256" s="1">
        <v>1.6274254686543901E-7</v>
      </c>
      <c r="P1256" s="2">
        <f t="shared" si="59"/>
        <v>2.3149017100985256</v>
      </c>
    </row>
    <row r="1257" spans="2:16" x14ac:dyDescent="0.25">
      <c r="B1257">
        <v>1256</v>
      </c>
      <c r="C1257">
        <v>1.02211367532018E-2</v>
      </c>
      <c r="D1257">
        <v>-9.3281812660732405E-2</v>
      </c>
      <c r="E1257" s="1">
        <v>4.17886546110607E-4</v>
      </c>
      <c r="F1257">
        <f t="shared" si="57"/>
        <v>0.1035029494139342</v>
      </c>
      <c r="G1257" s="2">
        <f t="shared" si="58"/>
        <v>25.635811052284804</v>
      </c>
      <c r="M1257">
        <v>1.80977106315653</v>
      </c>
      <c r="N1257">
        <v>1.80945817516449</v>
      </c>
      <c r="O1257" s="1">
        <v>4.6479801846828603E-8</v>
      </c>
      <c r="P1257" s="2">
        <f t="shared" si="59"/>
        <v>2.1062674898106613</v>
      </c>
    </row>
    <row r="1258" spans="2:16" x14ac:dyDescent="0.25">
      <c r="B1258">
        <v>1257</v>
      </c>
      <c r="C1258">
        <v>-4.5159262007569402E-2</v>
      </c>
      <c r="D1258">
        <v>-0.175153869771043</v>
      </c>
      <c r="E1258">
        <v>8.15743578027321E-3</v>
      </c>
      <c r="F1258">
        <f t="shared" si="57"/>
        <v>0.1299946077634736</v>
      </c>
      <c r="G1258" s="2">
        <f t="shared" si="58"/>
        <v>2.0715575951507375</v>
      </c>
      <c r="M1258">
        <v>3.8770867020639601</v>
      </c>
      <c r="N1258">
        <v>3.87643466129868</v>
      </c>
      <c r="O1258" s="1">
        <v>1.4135171639529999E-7</v>
      </c>
      <c r="P1258" s="2">
        <f t="shared" si="59"/>
        <v>3.0077962293583012</v>
      </c>
    </row>
    <row r="1259" spans="2:16" x14ac:dyDescent="0.25">
      <c r="B1259">
        <v>1258</v>
      </c>
      <c r="C1259">
        <v>-6.0744097421739002E-2</v>
      </c>
      <c r="D1259">
        <v>-0.140885888227224</v>
      </c>
      <c r="E1259">
        <v>1.4759381486326901E-2</v>
      </c>
      <c r="F1259">
        <f t="shared" si="57"/>
        <v>8.0141790805485003E-2</v>
      </c>
      <c r="G1259" s="2">
        <f t="shared" si="58"/>
        <v>0.4351609611459748</v>
      </c>
      <c r="M1259">
        <v>3.8742887646995099</v>
      </c>
      <c r="N1259">
        <v>3.8742211290361399</v>
      </c>
      <c r="O1259" s="1">
        <v>9.42387520370101E-8</v>
      </c>
      <c r="P1259" s="2">
        <f t="shared" si="59"/>
        <v>4.8542482371803322E-2</v>
      </c>
    </row>
    <row r="1260" spans="2:16" x14ac:dyDescent="0.25">
      <c r="B1260">
        <v>1259</v>
      </c>
      <c r="C1260">
        <v>1.3191448463186199E-2</v>
      </c>
      <c r="D1260">
        <v>-0.16018488260335201</v>
      </c>
      <c r="E1260" s="1">
        <v>6.9605725022758695E-4</v>
      </c>
      <c r="F1260">
        <f t="shared" si="57"/>
        <v>0.17337633106653821</v>
      </c>
      <c r="G1260" s="2">
        <f t="shared" si="58"/>
        <v>43.185172145345064</v>
      </c>
      <c r="M1260">
        <v>1.80969994745912</v>
      </c>
      <c r="N1260">
        <v>1.8097454066708301</v>
      </c>
      <c r="O1260" s="1">
        <v>2.1341408722450398E-8</v>
      </c>
      <c r="P1260" s="2">
        <f t="shared" si="59"/>
        <v>9.683240484150793E-2</v>
      </c>
    </row>
    <row r="1261" spans="2:16" x14ac:dyDescent="0.25">
      <c r="B1261">
        <v>1260</v>
      </c>
      <c r="C1261">
        <v>-2.8167428545271E-2</v>
      </c>
      <c r="D1261">
        <v>-0.164200809550343</v>
      </c>
      <c r="E1261">
        <v>3.1736161234117801E-3</v>
      </c>
      <c r="F1261">
        <f t="shared" si="57"/>
        <v>0.13603338100507201</v>
      </c>
      <c r="G1261" s="2">
        <f t="shared" si="58"/>
        <v>5.8309133896689715</v>
      </c>
      <c r="M1261">
        <v>3.8769314115559199</v>
      </c>
      <c r="N1261">
        <v>3.8767734005301602</v>
      </c>
      <c r="O1261" s="1">
        <v>7.2607040775155607E-8</v>
      </c>
      <c r="P1261" s="2">
        <f t="shared" si="59"/>
        <v>0.34387139311961673</v>
      </c>
    </row>
    <row r="1262" spans="2:16" x14ac:dyDescent="0.25">
      <c r="B1262">
        <v>1261</v>
      </c>
      <c r="C1262">
        <v>-0.16515806446846401</v>
      </c>
      <c r="D1262">
        <v>-0.15410012648108501</v>
      </c>
      <c r="E1262">
        <v>0.109108745035877</v>
      </c>
      <c r="F1262">
        <f t="shared" si="57"/>
        <v>-1.1057937987379002E-2</v>
      </c>
      <c r="G1262" s="2">
        <f t="shared" si="58"/>
        <v>1.120698368334383E-3</v>
      </c>
      <c r="M1262">
        <v>3.8746119285631799</v>
      </c>
      <c r="N1262">
        <v>3.87460365205196</v>
      </c>
      <c r="O1262" s="1">
        <v>9.0878567571347301E-8</v>
      </c>
      <c r="P1262" s="2">
        <f t="shared" si="59"/>
        <v>7.5376009772416331E-4</v>
      </c>
    </row>
    <row r="1263" spans="2:16" x14ac:dyDescent="0.25">
      <c r="B1263">
        <v>1262</v>
      </c>
      <c r="C1263">
        <v>-0.174754685767568</v>
      </c>
      <c r="D1263">
        <v>-3.43921244537711E-2</v>
      </c>
      <c r="E1263">
        <v>0.12215680079088601</v>
      </c>
      <c r="F1263">
        <f t="shared" si="57"/>
        <v>-0.1403625613137969</v>
      </c>
      <c r="G1263" s="2">
        <f t="shared" si="58"/>
        <v>0.16128163549646035</v>
      </c>
      <c r="M1263">
        <v>1.8098412317314601</v>
      </c>
      <c r="N1263">
        <v>1.80985754501892</v>
      </c>
      <c r="O1263" s="1">
        <v>2.8250251544476099E-8</v>
      </c>
      <c r="P1263" s="2">
        <f t="shared" si="59"/>
        <v>9.4202116159320497E-3</v>
      </c>
    </row>
    <row r="1264" spans="2:16" x14ac:dyDescent="0.25">
      <c r="B1264">
        <v>1263</v>
      </c>
      <c r="C1264">
        <v>-0.109720030270636</v>
      </c>
      <c r="D1264">
        <v>-3.2587029180121699E-2</v>
      </c>
      <c r="E1264">
        <v>4.81539401703572E-2</v>
      </c>
      <c r="F1264">
        <f t="shared" si="57"/>
        <v>-7.7133001090514297E-2</v>
      </c>
      <c r="G1264" s="2">
        <f t="shared" si="58"/>
        <v>0.12355167274331784</v>
      </c>
      <c r="M1264">
        <v>3.87691007620383</v>
      </c>
      <c r="N1264">
        <v>3.8769056415032002</v>
      </c>
      <c r="O1264" s="1">
        <v>1.4207060750115499E-7</v>
      </c>
      <c r="P1264" s="2">
        <f t="shared" si="59"/>
        <v>1.3842813810767011E-4</v>
      </c>
    </row>
    <row r="1265" spans="2:16" x14ac:dyDescent="0.25">
      <c r="B1265">
        <v>1264</v>
      </c>
      <c r="C1265">
        <v>-0.12067352061216401</v>
      </c>
      <c r="D1265">
        <v>-3.4454349939402502E-2</v>
      </c>
      <c r="E1265">
        <v>5.8248394307737802E-2</v>
      </c>
      <c r="F1265">
        <f t="shared" si="57"/>
        <v>-8.6219170672761497E-2</v>
      </c>
      <c r="G1265" s="2">
        <f t="shared" si="58"/>
        <v>0.12762146458878895</v>
      </c>
      <c r="M1265">
        <v>3.8752896962810501</v>
      </c>
      <c r="N1265">
        <v>3.8752863237135098</v>
      </c>
      <c r="O1265" s="1">
        <v>9.1961433250767804E-8</v>
      </c>
      <c r="P1265" s="2">
        <f t="shared" si="59"/>
        <v>1.236845861591044E-4</v>
      </c>
    </row>
    <row r="1266" spans="2:16" x14ac:dyDescent="0.25">
      <c r="B1266">
        <v>1265</v>
      </c>
      <c r="C1266">
        <v>-0.156497276334435</v>
      </c>
      <c r="D1266">
        <v>-5.5293456284624599E-2</v>
      </c>
      <c r="E1266">
        <v>9.79655900003856E-2</v>
      </c>
      <c r="F1266">
        <f t="shared" si="57"/>
        <v>-0.10120382004981041</v>
      </c>
      <c r="G1266" s="2">
        <f t="shared" si="58"/>
        <v>0.10454908904885983</v>
      </c>
      <c r="M1266">
        <v>1.80992972291221</v>
      </c>
      <c r="N1266">
        <v>1.8100576630524401</v>
      </c>
      <c r="O1266" s="1">
        <v>4.7651033727833503E-8</v>
      </c>
      <c r="P1266" s="2">
        <f t="shared" si="59"/>
        <v>0.34351152958379799</v>
      </c>
    </row>
    <row r="1267" spans="2:16" x14ac:dyDescent="0.25">
      <c r="B1267">
        <v>1266</v>
      </c>
      <c r="C1267">
        <v>-0.129823086712791</v>
      </c>
      <c r="D1267">
        <v>-6.9673765712408797E-2</v>
      </c>
      <c r="E1267">
        <v>6.74161353745477E-2</v>
      </c>
      <c r="F1267">
        <f t="shared" si="57"/>
        <v>-6.01493210003822E-2</v>
      </c>
      <c r="G1267" s="2">
        <f t="shared" si="58"/>
        <v>5.3665799688852191E-2</v>
      </c>
      <c r="M1267">
        <v>3.8772653790607698</v>
      </c>
      <c r="N1267">
        <v>3.8771416248025599</v>
      </c>
      <c r="O1267" s="1">
        <v>6.7296803339449099E-8</v>
      </c>
      <c r="P1267" s="2">
        <f t="shared" si="59"/>
        <v>0.22757568955917928</v>
      </c>
    </row>
    <row r="1268" spans="2:16" x14ac:dyDescent="0.25">
      <c r="B1268">
        <v>1267</v>
      </c>
      <c r="C1268">
        <v>-0.12685215352474899</v>
      </c>
      <c r="D1268">
        <v>-7.3582273119299102E-2</v>
      </c>
      <c r="E1268">
        <v>6.4365875415466206E-2</v>
      </c>
      <c r="F1268">
        <f t="shared" si="57"/>
        <v>-5.3269880405449888E-2</v>
      </c>
      <c r="G1268" s="2">
        <f t="shared" si="58"/>
        <v>4.408671738082319E-2</v>
      </c>
      <c r="M1268">
        <v>3.8757742147164098</v>
      </c>
      <c r="N1268">
        <v>3.8759632839087899</v>
      </c>
      <c r="O1268" s="1">
        <v>9.7387566943725397E-8</v>
      </c>
      <c r="P1268" s="2">
        <f t="shared" si="59"/>
        <v>0.36706081309021432</v>
      </c>
    </row>
    <row r="1269" spans="2:16" x14ac:dyDescent="0.25">
      <c r="B1269">
        <v>1268</v>
      </c>
      <c r="C1269">
        <v>-0.13174442362909</v>
      </c>
      <c r="D1269">
        <v>-0.143388348179354</v>
      </c>
      <c r="E1269">
        <v>6.9426372629444996E-2</v>
      </c>
      <c r="F1269">
        <f t="shared" si="57"/>
        <v>1.1643924550264001E-2</v>
      </c>
      <c r="G1269" s="2">
        <f t="shared" si="58"/>
        <v>1.9528743011807351E-3</v>
      </c>
      <c r="M1269">
        <v>1.81022595326056</v>
      </c>
      <c r="N1269">
        <v>1.8102560938655301</v>
      </c>
      <c r="O1269" s="1">
        <v>3.3953122119592501E-8</v>
      </c>
      <c r="P1269" s="2">
        <f t="shared" si="59"/>
        <v>2.6756186508060293E-2</v>
      </c>
    </row>
    <row r="1270" spans="2:16" x14ac:dyDescent="0.25">
      <c r="B1270">
        <v>1269</v>
      </c>
      <c r="C1270">
        <v>-0.105849786378881</v>
      </c>
      <c r="D1270">
        <v>-0.161115125984095</v>
      </c>
      <c r="E1270">
        <v>4.4816709105819003E-2</v>
      </c>
      <c r="F1270">
        <f t="shared" si="57"/>
        <v>5.5265339605214001E-2</v>
      </c>
      <c r="G1270" s="2">
        <f t="shared" si="58"/>
        <v>6.8149978492799912E-2</v>
      </c>
      <c r="M1270">
        <v>3.8771233868228001</v>
      </c>
      <c r="N1270">
        <v>3.87737560691785</v>
      </c>
      <c r="O1270" s="1">
        <v>9.6608382153444806E-8</v>
      </c>
      <c r="P1270" s="2">
        <f t="shared" si="59"/>
        <v>0.65848299007772171</v>
      </c>
    </row>
    <row r="1271" spans="2:16" x14ac:dyDescent="0.25">
      <c r="B1271">
        <v>1270</v>
      </c>
      <c r="C1271">
        <v>-0.18171911031607099</v>
      </c>
      <c r="D1271">
        <v>-0.15625137303009401</v>
      </c>
      <c r="E1271">
        <v>0.13208734021625701</v>
      </c>
      <c r="F1271">
        <f t="shared" si="57"/>
        <v>-2.5467737285976982E-2</v>
      </c>
      <c r="G1271" s="2">
        <f t="shared" si="58"/>
        <v>4.910430033685494E-3</v>
      </c>
      <c r="M1271">
        <v>3.87630522761338</v>
      </c>
      <c r="N1271">
        <v>3.8765095922639401</v>
      </c>
      <c r="O1271" s="1">
        <v>1.8210931268421E-7</v>
      </c>
      <c r="P1271" s="2">
        <f t="shared" si="59"/>
        <v>0.22933978379765643</v>
      </c>
    </row>
    <row r="1272" spans="2:16" x14ac:dyDescent="0.25">
      <c r="B1272">
        <v>1271</v>
      </c>
      <c r="C1272">
        <v>-8.5384026647920802E-2</v>
      </c>
      <c r="D1272">
        <v>-0.164718258556252</v>
      </c>
      <c r="E1272">
        <v>2.9161728026451401E-2</v>
      </c>
      <c r="F1272">
        <f t="shared" si="57"/>
        <v>7.9334231908331193E-2</v>
      </c>
      <c r="G1272" s="2">
        <f t="shared" si="58"/>
        <v>0.21582809999379735</v>
      </c>
      <c r="M1272">
        <v>1.8105037042048</v>
      </c>
      <c r="N1272">
        <v>1.8104162185541901</v>
      </c>
      <c r="O1272" s="1">
        <v>3.3853893627172598E-8</v>
      </c>
      <c r="P1272" s="2">
        <f t="shared" si="59"/>
        <v>0.22608150031208951</v>
      </c>
    </row>
    <row r="1273" spans="2:16" x14ac:dyDescent="0.25">
      <c r="B1273">
        <v>1272</v>
      </c>
      <c r="C1273">
        <v>-0.214946308419661</v>
      </c>
      <c r="D1273">
        <v>-0.16256615744411801</v>
      </c>
      <c r="E1273">
        <v>0.18480766201295901</v>
      </c>
      <c r="F1273">
        <f t="shared" si="57"/>
        <v>-5.2380150975542994E-2</v>
      </c>
      <c r="G1273" s="2">
        <f t="shared" si="58"/>
        <v>1.4846138879394982E-2</v>
      </c>
      <c r="M1273">
        <v>3.8774496180866498</v>
      </c>
      <c r="N1273">
        <v>3.8775644114940699</v>
      </c>
      <c r="O1273" s="1">
        <v>1.88835392397701E-7</v>
      </c>
      <c r="P1273" s="2">
        <f t="shared" si="59"/>
        <v>6.9783138742216783E-2</v>
      </c>
    </row>
    <row r="1274" spans="2:16" x14ac:dyDescent="0.25">
      <c r="B1274">
        <v>1273</v>
      </c>
      <c r="C1274">
        <v>-0.16195390557538</v>
      </c>
      <c r="D1274">
        <v>-0.16339916494069601</v>
      </c>
      <c r="E1274">
        <v>0.104916270124477</v>
      </c>
      <c r="F1274">
        <f t="shared" si="57"/>
        <v>1.445259365316004E-3</v>
      </c>
      <c r="G1274" s="2">
        <f t="shared" si="58"/>
        <v>1.9908967699246361E-5</v>
      </c>
      <c r="M1274">
        <v>3.8767917426941301</v>
      </c>
      <c r="N1274">
        <v>3.8766301409201702</v>
      </c>
      <c r="O1274" s="1">
        <v>1.3559683628189199E-7</v>
      </c>
      <c r="P1274" s="2">
        <f t="shared" si="59"/>
        <v>0.1925939724189461</v>
      </c>
    </row>
    <row r="1275" spans="2:16" x14ac:dyDescent="0.25">
      <c r="B1275">
        <v>1274</v>
      </c>
      <c r="C1275">
        <v>-0.177269400440693</v>
      </c>
      <c r="D1275">
        <v>-9.0288079962664407E-3</v>
      </c>
      <c r="E1275">
        <v>0.125697761330411</v>
      </c>
      <c r="F1275">
        <f t="shared" si="57"/>
        <v>-0.16824059244442657</v>
      </c>
      <c r="G1275" s="2">
        <f t="shared" si="58"/>
        <v>0.22518218818272326</v>
      </c>
      <c r="M1275">
        <v>1.8105319100425801</v>
      </c>
      <c r="N1275">
        <v>1.8104515506107699</v>
      </c>
      <c r="O1275" s="1">
        <v>4.8573178342704797E-8</v>
      </c>
      <c r="P1275" s="2">
        <f t="shared" si="59"/>
        <v>0.13294658700924231</v>
      </c>
    </row>
    <row r="1276" spans="2:16" x14ac:dyDescent="0.25">
      <c r="B1276">
        <v>1275</v>
      </c>
      <c r="C1276">
        <v>-0.162513904826037</v>
      </c>
      <c r="D1276">
        <v>-4.8488346764826697E-2</v>
      </c>
      <c r="E1276">
        <v>0.105643077047224</v>
      </c>
      <c r="F1276">
        <f t="shared" si="57"/>
        <v>-0.11402555806121031</v>
      </c>
      <c r="G1276" s="2">
        <f t="shared" si="58"/>
        <v>0.12307316536566268</v>
      </c>
      <c r="M1276">
        <v>3.8778389371338502</v>
      </c>
      <c r="N1276">
        <v>3.8776060708544202</v>
      </c>
      <c r="O1276" s="1">
        <v>1.4704312937671099E-7</v>
      </c>
      <c r="P1276" s="2">
        <f t="shared" si="59"/>
        <v>0.36878094424008401</v>
      </c>
    </row>
    <row r="1277" spans="2:16" x14ac:dyDescent="0.25">
      <c r="B1277">
        <v>1276</v>
      </c>
      <c r="C1277">
        <v>-0.103633123947179</v>
      </c>
      <c r="D1277">
        <v>-7.1891228102137397E-2</v>
      </c>
      <c r="E1277">
        <v>4.2959297516205697E-2</v>
      </c>
      <c r="F1277">
        <f t="shared" si="57"/>
        <v>-3.1741895845041598E-2</v>
      </c>
      <c r="G1277" s="2">
        <f t="shared" si="58"/>
        <v>2.3453548127908466E-2</v>
      </c>
      <c r="M1277">
        <v>3.8765733022700801</v>
      </c>
      <c r="N1277">
        <v>3.8766855081506799</v>
      </c>
      <c r="O1277" s="1">
        <v>1.18588677567086E-7</v>
      </c>
      <c r="P1277" s="2">
        <f t="shared" si="59"/>
        <v>0.10616662483694873</v>
      </c>
    </row>
    <row r="1278" spans="2:16" x14ac:dyDescent="0.25">
      <c r="B1278">
        <v>1277</v>
      </c>
      <c r="C1278">
        <v>-0.205255745955708</v>
      </c>
      <c r="D1278">
        <v>-8.2208857495622595E-2</v>
      </c>
      <c r="E1278">
        <v>0.16851968499133699</v>
      </c>
      <c r="F1278">
        <f t="shared" si="57"/>
        <v>-0.12304688846008541</v>
      </c>
      <c r="G1278" s="2">
        <f t="shared" si="58"/>
        <v>8.9844321513460113E-2</v>
      </c>
      <c r="M1278">
        <v>1.81067084710658</v>
      </c>
      <c r="N1278">
        <v>1.8104677782623499</v>
      </c>
      <c r="O1278" s="1">
        <v>5.3431004158529401E-8</v>
      </c>
      <c r="P1278" s="2">
        <f t="shared" si="59"/>
        <v>0.7717795341180117</v>
      </c>
    </row>
    <row r="1279" spans="2:16" x14ac:dyDescent="0.25">
      <c r="B1279">
        <v>1278</v>
      </c>
      <c r="C1279">
        <v>-0.161947365016372</v>
      </c>
      <c r="D1279">
        <v>-8.3442898086876396E-2</v>
      </c>
      <c r="E1279">
        <v>0.104907796142984</v>
      </c>
      <c r="F1279">
        <f t="shared" si="57"/>
        <v>-7.85044669294956E-2</v>
      </c>
      <c r="G1279" s="2">
        <f t="shared" si="58"/>
        <v>5.8746361609622211E-2</v>
      </c>
      <c r="M1279">
        <v>3.8774118004720699</v>
      </c>
      <c r="N1279">
        <v>3.8776252044493198</v>
      </c>
      <c r="O1279" s="1">
        <v>1.14135034780587E-7</v>
      </c>
      <c r="P1279" s="2">
        <f t="shared" si="59"/>
        <v>0.39901207892582058</v>
      </c>
    </row>
    <row r="1280" spans="2:16" x14ac:dyDescent="0.25">
      <c r="B1280">
        <v>1279</v>
      </c>
      <c r="C1280">
        <v>-0.182655206336374</v>
      </c>
      <c r="D1280">
        <v>-0.10422852278830699</v>
      </c>
      <c r="E1280">
        <v>0.13345169760713299</v>
      </c>
      <c r="F1280">
        <f t="shared" si="57"/>
        <v>-7.8426683548067005E-2</v>
      </c>
      <c r="G1280" s="2">
        <f t="shared" si="58"/>
        <v>4.6089669915295908E-2</v>
      </c>
      <c r="M1280">
        <v>3.8770235795168699</v>
      </c>
      <c r="N1280">
        <v>3.87708068292027</v>
      </c>
      <c r="O1280" s="1">
        <v>2.1655534337638001E-7</v>
      </c>
      <c r="P1280" s="2">
        <f t="shared" si="59"/>
        <v>1.5057576640813452E-2</v>
      </c>
    </row>
    <row r="1281" spans="2:16" x14ac:dyDescent="0.25">
      <c r="B1281">
        <v>1280</v>
      </c>
      <c r="C1281">
        <v>-0.180264240508753</v>
      </c>
      <c r="D1281">
        <v>-0.16703679680487199</v>
      </c>
      <c r="E1281">
        <v>0.12998078562479001</v>
      </c>
      <c r="F1281">
        <f t="shared" si="57"/>
        <v>-1.3227443703881014E-2</v>
      </c>
      <c r="G1281" s="2">
        <f t="shared" si="58"/>
        <v>1.3460856241045217E-3</v>
      </c>
      <c r="M1281">
        <v>1.8105919557552499</v>
      </c>
      <c r="N1281">
        <v>1.81058359802869</v>
      </c>
      <c r="O1281" s="1">
        <v>5.1615831003064201E-8</v>
      </c>
      <c r="P1281" s="2">
        <f t="shared" si="59"/>
        <v>1.3532978524852495E-3</v>
      </c>
    </row>
    <row r="1282" spans="2:16" x14ac:dyDescent="0.25">
      <c r="B1282">
        <v>1281</v>
      </c>
      <c r="C1282">
        <v>-0.194429290164744</v>
      </c>
      <c r="D1282">
        <v>-0.175638567085179</v>
      </c>
      <c r="E1282">
        <v>0.151210995495865</v>
      </c>
      <c r="F1282">
        <f t="shared" si="57"/>
        <v>-1.8790723079565003E-2</v>
      </c>
      <c r="G1282" s="2">
        <f t="shared" si="58"/>
        <v>2.3350899363833132E-3</v>
      </c>
      <c r="M1282">
        <v>3.8777029911722001</v>
      </c>
      <c r="N1282">
        <v>3.87776176223504</v>
      </c>
      <c r="O1282" s="1">
        <v>1.89744882334752E-7</v>
      </c>
      <c r="P1282" s="2">
        <f t="shared" si="59"/>
        <v>1.8203588865386682E-2</v>
      </c>
    </row>
    <row r="1283" spans="2:16" x14ac:dyDescent="0.25">
      <c r="B1283">
        <v>1282</v>
      </c>
      <c r="C1283">
        <v>-0.22421632388833099</v>
      </c>
      <c r="D1283">
        <v>-0.178225511623609</v>
      </c>
      <c r="E1283">
        <v>0.20109183959198801</v>
      </c>
      <c r="F1283">
        <f t="shared" ref="F1283:F1346" si="60">C1283-D1283</f>
        <v>-4.5990812264721986E-2</v>
      </c>
      <c r="G1283" s="2">
        <f t="shared" ref="G1283:G1346" si="61">F1283^2/E1283</f>
        <v>1.0518352296445824E-2</v>
      </c>
      <c r="M1283">
        <v>3.87809322185162</v>
      </c>
      <c r="N1283">
        <v>3.8779554206660798</v>
      </c>
      <c r="O1283" s="1">
        <v>1.4887871128722099E-7</v>
      </c>
      <c r="P1283" s="2">
        <f t="shared" ref="P1283:P1346" si="62">(M1283-N1283)^2/O1283</f>
        <v>0.12754789836705857</v>
      </c>
    </row>
    <row r="1284" spans="2:16" x14ac:dyDescent="0.25">
      <c r="B1284">
        <v>1283</v>
      </c>
      <c r="C1284">
        <v>-0.16083171513662201</v>
      </c>
      <c r="D1284">
        <v>-0.156564410311754</v>
      </c>
      <c r="E1284">
        <v>0.10346736237515</v>
      </c>
      <c r="F1284">
        <f t="shared" si="60"/>
        <v>-4.2673048248680068E-3</v>
      </c>
      <c r="G1284" s="2">
        <f t="shared" si="61"/>
        <v>1.7599646932446868E-4</v>
      </c>
      <c r="M1284">
        <v>1.8110232903082999</v>
      </c>
      <c r="N1284">
        <v>1.81083995483699</v>
      </c>
      <c r="O1284" s="1">
        <v>4.8393478398662001E-8</v>
      </c>
      <c r="P1284" s="2">
        <f t="shared" si="62"/>
        <v>0.69455422822732249</v>
      </c>
    </row>
    <row r="1285" spans="2:16" x14ac:dyDescent="0.25">
      <c r="B1285">
        <v>1284</v>
      </c>
      <c r="C1285">
        <v>-0.215397988691338</v>
      </c>
      <c r="D1285">
        <v>-0.201264981445405</v>
      </c>
      <c r="E1285">
        <v>0.185585174129096</v>
      </c>
      <c r="F1285">
        <f t="shared" si="60"/>
        <v>-1.4133007245932999E-2</v>
      </c>
      <c r="G1285" s="2">
        <f t="shared" si="61"/>
        <v>1.0762815227613549E-3</v>
      </c>
      <c r="M1285">
        <v>3.8781327643168102</v>
      </c>
      <c r="N1285">
        <v>3.8780640068519601</v>
      </c>
      <c r="O1285" s="1">
        <v>1.56443702413727E-7</v>
      </c>
      <c r="P1285" s="2">
        <f t="shared" si="62"/>
        <v>3.0219106935444714E-2</v>
      </c>
    </row>
    <row r="1286" spans="2:16" x14ac:dyDescent="0.25">
      <c r="B1286">
        <v>1285</v>
      </c>
      <c r="C1286">
        <v>-0.29743570579102602</v>
      </c>
      <c r="D1286">
        <v>-0.13143935279538099</v>
      </c>
      <c r="E1286">
        <v>0.35387199631762301</v>
      </c>
      <c r="F1286">
        <f t="shared" si="60"/>
        <v>-0.16599635299564502</v>
      </c>
      <c r="G1286" s="2">
        <f t="shared" si="61"/>
        <v>7.7866543537179422E-2</v>
      </c>
      <c r="M1286">
        <v>3.8775377952020298</v>
      </c>
      <c r="N1286">
        <v>3.8781963959547898</v>
      </c>
      <c r="O1286" s="1">
        <v>1.62147578070525E-7</v>
      </c>
      <c r="P1286" s="2">
        <f t="shared" si="62"/>
        <v>2.6750627835305658</v>
      </c>
    </row>
    <row r="1287" spans="2:16" x14ac:dyDescent="0.25">
      <c r="B1287">
        <v>1286</v>
      </c>
      <c r="C1287">
        <v>-0.25820771493245798</v>
      </c>
      <c r="D1287">
        <v>-0.105424028927768</v>
      </c>
      <c r="E1287">
        <v>0.26668489620256602</v>
      </c>
      <c r="F1287">
        <f t="shared" si="60"/>
        <v>-0.15278368600468997</v>
      </c>
      <c r="G1287" s="2">
        <f t="shared" si="61"/>
        <v>8.7529721561168394E-2</v>
      </c>
      <c r="M1287">
        <v>1.81087507342045</v>
      </c>
      <c r="N1287">
        <v>1.8109105729697501</v>
      </c>
      <c r="O1287" s="1">
        <v>4.3528578976533403E-8</v>
      </c>
      <c r="P1287" s="2">
        <f t="shared" si="62"/>
        <v>2.8951507955119572E-2</v>
      </c>
    </row>
    <row r="1288" spans="2:16" x14ac:dyDescent="0.25">
      <c r="B1288">
        <v>1287</v>
      </c>
      <c r="C1288">
        <v>-3.68787924985901E-2</v>
      </c>
      <c r="D1288">
        <v>-3.7279548121094498E-2</v>
      </c>
      <c r="E1288">
        <v>5.4401813446162597E-3</v>
      </c>
      <c r="F1288">
        <f t="shared" si="60"/>
        <v>4.0075562250439789E-4</v>
      </c>
      <c r="G1288" s="2">
        <f t="shared" si="61"/>
        <v>2.9522006491167114E-5</v>
      </c>
      <c r="M1288">
        <v>3.8772445028696598</v>
      </c>
      <c r="N1288">
        <v>3.8781472622351298</v>
      </c>
      <c r="O1288" s="1">
        <v>2.08406777458781E-7</v>
      </c>
      <c r="P1288" s="2">
        <f t="shared" si="62"/>
        <v>3.9104988901093534</v>
      </c>
    </row>
    <row r="1289" spans="2:16" x14ac:dyDescent="0.25">
      <c r="B1289">
        <v>1288</v>
      </c>
      <c r="C1289">
        <v>-0.17306672076899901</v>
      </c>
      <c r="D1289">
        <v>-9.0273846408221295E-2</v>
      </c>
      <c r="E1289">
        <v>0.119808359350938</v>
      </c>
      <c r="F1289">
        <f t="shared" si="60"/>
        <v>-8.2792874360777716E-2</v>
      </c>
      <c r="G1289" s="2">
        <f t="shared" si="61"/>
        <v>5.7213537369634783E-2</v>
      </c>
      <c r="M1289">
        <v>0.41198158473442897</v>
      </c>
      <c r="N1289">
        <v>0.41193531635625302</v>
      </c>
      <c r="O1289" s="1">
        <v>1.18860868351282E-9</v>
      </c>
      <c r="P1289" s="2">
        <f t="shared" si="62"/>
        <v>1.8010661109306347</v>
      </c>
    </row>
    <row r="1290" spans="2:16" x14ac:dyDescent="0.25">
      <c r="B1290">
        <v>1289</v>
      </c>
      <c r="C1290">
        <v>-0.163023465904439</v>
      </c>
      <c r="D1290">
        <v>-0.102487171219763</v>
      </c>
      <c r="E1290">
        <v>0.106306601741983</v>
      </c>
      <c r="F1290">
        <f t="shared" si="60"/>
        <v>-6.0536294684676001E-2</v>
      </c>
      <c r="G1290" s="2">
        <f t="shared" si="61"/>
        <v>3.4472393191952416E-2</v>
      </c>
      <c r="M1290">
        <v>0.99437202936772695</v>
      </c>
      <c r="N1290">
        <v>0.99428979135828899</v>
      </c>
      <c r="O1290" s="1">
        <v>3.5127830364356E-9</v>
      </c>
      <c r="P1290" s="2">
        <f t="shared" si="62"/>
        <v>1.9252797927369019</v>
      </c>
    </row>
    <row r="1291" spans="2:16" x14ac:dyDescent="0.25">
      <c r="B1291">
        <v>1290</v>
      </c>
      <c r="C1291">
        <v>-0.18737480956859301</v>
      </c>
      <c r="D1291">
        <v>-9.6336882923320197E-2</v>
      </c>
      <c r="E1291">
        <v>0.14043727704346501</v>
      </c>
      <c r="F1291">
        <f t="shared" si="60"/>
        <v>-9.1037926645272813E-2</v>
      </c>
      <c r="G1291" s="2">
        <f t="shared" si="61"/>
        <v>5.9014987062907705E-2</v>
      </c>
      <c r="M1291">
        <v>0.41201202012362298</v>
      </c>
      <c r="N1291">
        <v>0.41200467663066098</v>
      </c>
      <c r="O1291" s="1">
        <v>1.56050812614491E-9</v>
      </c>
      <c r="P1291" s="2">
        <f t="shared" si="62"/>
        <v>3.4557262457920568E-2</v>
      </c>
    </row>
    <row r="1292" spans="2:16" x14ac:dyDescent="0.25">
      <c r="B1292">
        <v>1291</v>
      </c>
      <c r="C1292">
        <v>-0.13033305778387899</v>
      </c>
      <c r="D1292">
        <v>-0.11869697221120699</v>
      </c>
      <c r="E1292">
        <v>6.7946823805184006E-2</v>
      </c>
      <c r="F1292">
        <f t="shared" si="60"/>
        <v>-1.1636085572671998E-2</v>
      </c>
      <c r="G1292" s="2">
        <f t="shared" si="61"/>
        <v>1.992712534183462E-3</v>
      </c>
      <c r="M1292">
        <v>0.99418937005855801</v>
      </c>
      <c r="N1292">
        <v>0.99417701873235698</v>
      </c>
      <c r="O1292" s="1">
        <v>4.3617362856966401E-9</v>
      </c>
      <c r="P1292" s="2">
        <f t="shared" si="62"/>
        <v>3.4975809845399358E-2</v>
      </c>
    </row>
    <row r="1293" spans="2:16" x14ac:dyDescent="0.25">
      <c r="B1293">
        <v>1292</v>
      </c>
      <c r="C1293">
        <v>-0.184741294752955</v>
      </c>
      <c r="D1293">
        <v>-0.14049671795103799</v>
      </c>
      <c r="E1293">
        <v>0.13651738394799301</v>
      </c>
      <c r="F1293">
        <f t="shared" si="60"/>
        <v>-4.4244576801917013E-2</v>
      </c>
      <c r="G1293" s="2">
        <f t="shared" si="61"/>
        <v>1.433943809768933E-2</v>
      </c>
      <c r="M1293">
        <v>0.41196442225972002</v>
      </c>
      <c r="N1293">
        <v>0.41196041850151299</v>
      </c>
      <c r="O1293" s="1">
        <v>7.9755726713454402E-10</v>
      </c>
      <c r="P1293" s="2">
        <f t="shared" si="62"/>
        <v>2.0098970244395973E-2</v>
      </c>
    </row>
    <row r="1294" spans="2:16" x14ac:dyDescent="0.25">
      <c r="B1294">
        <v>1293</v>
      </c>
      <c r="C1294">
        <v>-0.28094284809400399</v>
      </c>
      <c r="D1294">
        <v>-0.13655463752672101</v>
      </c>
      <c r="E1294">
        <v>0.31571553558068299</v>
      </c>
      <c r="F1294">
        <f t="shared" si="60"/>
        <v>-0.14438821056728299</v>
      </c>
      <c r="G1294" s="2">
        <f t="shared" si="61"/>
        <v>6.603398629870158E-2</v>
      </c>
      <c r="M1294">
        <v>0.99425579432386102</v>
      </c>
      <c r="N1294">
        <v>0.99424897419934899</v>
      </c>
      <c r="O1294" s="1">
        <v>2.2200125874870202E-9</v>
      </c>
      <c r="P1294" s="2">
        <f t="shared" si="62"/>
        <v>2.0952177758707575E-2</v>
      </c>
    </row>
    <row r="1295" spans="2:16" x14ac:dyDescent="0.25">
      <c r="B1295">
        <v>1294</v>
      </c>
      <c r="C1295">
        <v>-0.18979916805845501</v>
      </c>
      <c r="D1295">
        <v>-0.12665848075007199</v>
      </c>
      <c r="E1295">
        <v>0.144094896782726</v>
      </c>
      <c r="F1295">
        <f t="shared" si="60"/>
        <v>-6.3140687308383014E-2</v>
      </c>
      <c r="G1295" s="2">
        <f t="shared" si="61"/>
        <v>2.766750580894221E-2</v>
      </c>
      <c r="M1295">
        <v>0.41197096552492501</v>
      </c>
      <c r="N1295">
        <v>0.41197968883194802</v>
      </c>
      <c r="O1295" s="1">
        <v>3.8025677485977199E-10</v>
      </c>
      <c r="P1295" s="2">
        <f t="shared" si="62"/>
        <v>0.20011763221232459</v>
      </c>
    </row>
    <row r="1296" spans="2:16" x14ac:dyDescent="0.25">
      <c r="B1296">
        <v>1295</v>
      </c>
      <c r="C1296">
        <v>-8.5080720269313001E-2</v>
      </c>
      <c r="D1296">
        <v>-0.12287054744187501</v>
      </c>
      <c r="E1296">
        <v>2.8954915846180401E-2</v>
      </c>
      <c r="F1296">
        <f t="shared" si="60"/>
        <v>3.7789827172562004E-2</v>
      </c>
      <c r="G1296" s="2">
        <f t="shared" si="61"/>
        <v>4.9320503824585978E-2</v>
      </c>
      <c r="M1296">
        <v>0.99419747121200897</v>
      </c>
      <c r="N1296">
        <v>0.99421764264437795</v>
      </c>
      <c r="O1296" s="1">
        <v>1.8105705543717199E-9</v>
      </c>
      <c r="P1296" s="2">
        <f t="shared" si="62"/>
        <v>0.22472843316388613</v>
      </c>
    </row>
    <row r="1297" spans="2:16" x14ac:dyDescent="0.25">
      <c r="B1297">
        <v>1296</v>
      </c>
      <c r="C1297">
        <v>-0.12283307800047</v>
      </c>
      <c r="D1297">
        <v>-0.1418484657769</v>
      </c>
      <c r="E1297">
        <v>6.0351860204277699E-2</v>
      </c>
      <c r="F1297">
        <f t="shared" si="60"/>
        <v>1.9015387776429998E-2</v>
      </c>
      <c r="G1297" s="2">
        <f t="shared" si="61"/>
        <v>5.991281313684752E-3</v>
      </c>
      <c r="M1297">
        <v>0.41196735801483098</v>
      </c>
      <c r="N1297">
        <v>0.41196903062613</v>
      </c>
      <c r="O1297" s="1">
        <v>3.3872667438121198E-10</v>
      </c>
      <c r="P1297" s="2">
        <f t="shared" si="62"/>
        <v>8.2592508036708288E-3</v>
      </c>
    </row>
    <row r="1298" spans="2:16" x14ac:dyDescent="0.25">
      <c r="B1298">
        <v>1297</v>
      </c>
      <c r="C1298">
        <v>-0.12972811718052599</v>
      </c>
      <c r="D1298">
        <v>-0.17126015443654799</v>
      </c>
      <c r="E1298">
        <v>6.7317537548817294E-2</v>
      </c>
      <c r="F1298">
        <f t="shared" si="60"/>
        <v>4.1532037256022003E-2</v>
      </c>
      <c r="G1298" s="2">
        <f t="shared" si="61"/>
        <v>2.5623488045514592E-2</v>
      </c>
      <c r="M1298">
        <v>0.99423055742225097</v>
      </c>
      <c r="N1298">
        <v>0.99423497147642004</v>
      </c>
      <c r="O1298" s="1">
        <v>1.9684087886134199E-9</v>
      </c>
      <c r="P1298" s="2">
        <f t="shared" si="62"/>
        <v>9.8982865348696252E-3</v>
      </c>
    </row>
    <row r="1299" spans="2:16" x14ac:dyDescent="0.25">
      <c r="B1299">
        <v>1298</v>
      </c>
      <c r="C1299">
        <v>-8.5505661249344903E-2</v>
      </c>
      <c r="D1299">
        <v>-0.175053337089175</v>
      </c>
      <c r="E1299">
        <v>2.9244872422750898E-2</v>
      </c>
      <c r="F1299">
        <f t="shared" si="60"/>
        <v>8.9547675839830101E-2</v>
      </c>
      <c r="G1299" s="2">
        <f t="shared" si="61"/>
        <v>0.27419460520802674</v>
      </c>
      <c r="M1299">
        <v>0.41192115310138799</v>
      </c>
      <c r="N1299">
        <v>0.41194732724472599</v>
      </c>
      <c r="O1299" s="1">
        <v>4.3580597128126798E-10</v>
      </c>
      <c r="P1299" s="2">
        <f t="shared" si="62"/>
        <v>1.5719972295558924</v>
      </c>
    </row>
    <row r="1300" spans="2:16" x14ac:dyDescent="0.25">
      <c r="B1300">
        <v>1299</v>
      </c>
      <c r="C1300">
        <v>-0.156644527362539</v>
      </c>
      <c r="D1300">
        <v>-0.21549891898411899</v>
      </c>
      <c r="E1300">
        <v>9.8150031810532501E-2</v>
      </c>
      <c r="F1300">
        <f t="shared" si="60"/>
        <v>5.8854391621579988E-2</v>
      </c>
      <c r="G1300" s="2">
        <f t="shared" si="61"/>
        <v>3.5291271426512158E-2</v>
      </c>
      <c r="M1300">
        <v>0.994216959435542</v>
      </c>
      <c r="N1300">
        <v>0.99427026062190804</v>
      </c>
      <c r="O1300" s="1">
        <v>1.6206711523859699E-9</v>
      </c>
      <c r="P1300" s="2">
        <f t="shared" si="62"/>
        <v>1.7529876211128206</v>
      </c>
    </row>
    <row r="1301" spans="2:16" x14ac:dyDescent="0.25">
      <c r="B1301">
        <v>1300</v>
      </c>
      <c r="C1301">
        <v>-0.26756097872296802</v>
      </c>
      <c r="D1301">
        <v>-0.24031787303865801</v>
      </c>
      <c r="E1301">
        <v>0.28635550934077098</v>
      </c>
      <c r="F1301">
        <f t="shared" si="60"/>
        <v>-2.7243105684310015E-2</v>
      </c>
      <c r="G1301" s="2">
        <f t="shared" si="61"/>
        <v>2.5918370106972934E-3</v>
      </c>
      <c r="M1301">
        <v>0.41195908757377098</v>
      </c>
      <c r="N1301">
        <v>0.41195750427655797</v>
      </c>
      <c r="O1301" s="1">
        <v>5.4338965930268298E-10</v>
      </c>
      <c r="P1301" s="2">
        <f t="shared" si="62"/>
        <v>4.6133194141421158E-3</v>
      </c>
    </row>
    <row r="1302" spans="2:16" x14ac:dyDescent="0.25">
      <c r="B1302">
        <v>1301</v>
      </c>
      <c r="C1302">
        <v>-0.24383525386025201</v>
      </c>
      <c r="D1302">
        <v>-0.22415688967698699</v>
      </c>
      <c r="E1302">
        <v>0.23782252410037499</v>
      </c>
      <c r="F1302">
        <f t="shared" si="60"/>
        <v>-1.9678364183265018E-2</v>
      </c>
      <c r="G1302" s="2">
        <f t="shared" si="61"/>
        <v>1.6282646834820844E-3</v>
      </c>
      <c r="M1302">
        <v>0.99425588196242498</v>
      </c>
      <c r="N1302">
        <v>0.99425371263984996</v>
      </c>
      <c r="O1302" s="1">
        <v>1.119967133086E-9</v>
      </c>
      <c r="P1302" s="2">
        <f t="shared" si="62"/>
        <v>4.2018736938450882E-3</v>
      </c>
    </row>
    <row r="1303" spans="2:16" x14ac:dyDescent="0.25">
      <c r="B1303">
        <v>1302</v>
      </c>
      <c r="C1303">
        <v>-0.25265820713857201</v>
      </c>
      <c r="D1303">
        <v>-0.214187101649009</v>
      </c>
      <c r="E1303">
        <v>0.25534467853791099</v>
      </c>
      <c r="F1303">
        <f t="shared" si="60"/>
        <v>-3.8471105489563007E-2</v>
      </c>
      <c r="G1303" s="2">
        <f t="shared" si="61"/>
        <v>5.7961887675264225E-3</v>
      </c>
      <c r="M1303">
        <v>0.41198931579503201</v>
      </c>
      <c r="N1303">
        <v>0.41198368571579502</v>
      </c>
      <c r="O1303" s="1">
        <v>7.2684553904834599E-10</v>
      </c>
      <c r="P1303" s="2">
        <f t="shared" si="62"/>
        <v>4.3610080150214961E-2</v>
      </c>
    </row>
    <row r="1304" spans="2:16" x14ac:dyDescent="0.25">
      <c r="B1304">
        <v>1303</v>
      </c>
      <c r="C1304">
        <v>-0.21963802802511201</v>
      </c>
      <c r="D1304">
        <v>-0.20956417540946401</v>
      </c>
      <c r="E1304">
        <v>0.192963453419039</v>
      </c>
      <c r="F1304">
        <f t="shared" si="60"/>
        <v>-1.0073852615647999E-2</v>
      </c>
      <c r="G1304" s="2">
        <f t="shared" si="61"/>
        <v>5.2591568363683275E-4</v>
      </c>
      <c r="M1304">
        <v>0.99422159496797302</v>
      </c>
      <c r="N1304">
        <v>0.99421114443368097</v>
      </c>
      <c r="O1304" s="1">
        <v>2.38428891705741E-9</v>
      </c>
      <c r="P1304" s="2">
        <f t="shared" si="62"/>
        <v>4.5805550748482582E-2</v>
      </c>
    </row>
    <row r="1305" spans="2:16" x14ac:dyDescent="0.25">
      <c r="B1305">
        <v>1304</v>
      </c>
      <c r="C1305">
        <v>-0.25786107393079799</v>
      </c>
      <c r="D1305">
        <v>-0.214756767248444</v>
      </c>
      <c r="E1305">
        <v>0.265969333794978</v>
      </c>
      <c r="F1305">
        <f t="shared" si="60"/>
        <v>-4.3104306682353988E-2</v>
      </c>
      <c r="G1305" s="2">
        <f t="shared" si="61"/>
        <v>6.9856972909465125E-3</v>
      </c>
      <c r="M1305">
        <v>0.41206184718532302</v>
      </c>
      <c r="N1305">
        <v>0.41207580245618503</v>
      </c>
      <c r="O1305" s="1">
        <v>5.6336439757783604E-10</v>
      </c>
      <c r="P1305" s="2">
        <f t="shared" si="62"/>
        <v>0.34569025957154526</v>
      </c>
    </row>
    <row r="1306" spans="2:16" x14ac:dyDescent="0.25">
      <c r="B1306">
        <v>1305</v>
      </c>
      <c r="C1306">
        <v>-0.26346744392314497</v>
      </c>
      <c r="D1306">
        <v>-0.21559075676874401</v>
      </c>
      <c r="E1306">
        <v>0.27766037602958199</v>
      </c>
      <c r="F1306">
        <f t="shared" si="60"/>
        <v>-4.7876687154400965E-2</v>
      </c>
      <c r="G1306" s="2">
        <f t="shared" si="61"/>
        <v>8.2553269056877369E-3</v>
      </c>
      <c r="M1306">
        <v>0.99402329341758999</v>
      </c>
      <c r="N1306">
        <v>0.99406140849728497</v>
      </c>
      <c r="O1306" s="1">
        <v>2.6664531096364099E-9</v>
      </c>
      <c r="P1306" s="2">
        <f t="shared" si="62"/>
        <v>0.54482836953117231</v>
      </c>
    </row>
    <row r="1307" spans="2:16" x14ac:dyDescent="0.25">
      <c r="B1307">
        <v>1306</v>
      </c>
      <c r="C1307">
        <v>-0.21665584151259401</v>
      </c>
      <c r="D1307">
        <v>-0.21488655178535901</v>
      </c>
      <c r="E1307">
        <v>0.18775901464612099</v>
      </c>
      <c r="F1307">
        <f t="shared" si="60"/>
        <v>-1.7692897272350017E-3</v>
      </c>
      <c r="G1307" s="2">
        <f t="shared" si="61"/>
        <v>1.6672361349995928E-5</v>
      </c>
      <c r="M1307">
        <v>2.3114769773317798</v>
      </c>
      <c r="N1307">
        <v>2.3115233401890198</v>
      </c>
      <c r="O1307" s="1">
        <v>3.06797832457716E-8</v>
      </c>
      <c r="P1307" s="2">
        <f t="shared" si="62"/>
        <v>7.0062898236252238E-2</v>
      </c>
    </row>
    <row r="1308" spans="2:16" x14ac:dyDescent="0.25">
      <c r="B1308">
        <v>1307</v>
      </c>
      <c r="C1308">
        <v>-0.21608566488296099</v>
      </c>
      <c r="D1308">
        <v>-0.21705630129599501</v>
      </c>
      <c r="E1308">
        <v>0.186772058271645</v>
      </c>
      <c r="F1308">
        <f t="shared" si="60"/>
        <v>9.706364130340206E-4</v>
      </c>
      <c r="G1308" s="2">
        <f t="shared" si="61"/>
        <v>5.0443040304095698E-6</v>
      </c>
      <c r="M1308">
        <v>1.0808613728552201</v>
      </c>
      <c r="N1308">
        <v>1.08101480539915</v>
      </c>
      <c r="O1308" s="1">
        <v>9.1919838794973098E-9</v>
      </c>
      <c r="P1308" s="2">
        <f t="shared" si="62"/>
        <v>2.5610951722071742</v>
      </c>
    </row>
    <row r="1309" spans="2:16" x14ac:dyDescent="0.25">
      <c r="B1309">
        <v>1308</v>
      </c>
      <c r="C1309">
        <v>-0.23890851278807501</v>
      </c>
      <c r="D1309">
        <v>-0.217491561648988</v>
      </c>
      <c r="E1309">
        <v>0.22830910993043799</v>
      </c>
      <c r="F1309">
        <f t="shared" si="60"/>
        <v>-2.1416951139087009E-2</v>
      </c>
      <c r="G1309" s="2">
        <f t="shared" si="61"/>
        <v>2.0090560391295572E-3</v>
      </c>
      <c r="M1309">
        <v>2.3165627390027899</v>
      </c>
      <c r="N1309">
        <v>2.31672291124179</v>
      </c>
      <c r="O1309" s="1">
        <v>2.7297757172042099E-8</v>
      </c>
      <c r="P1309" s="2">
        <f t="shared" si="62"/>
        <v>0.93982615438400896</v>
      </c>
    </row>
    <row r="1310" spans="2:16" x14ac:dyDescent="0.25">
      <c r="B1310">
        <v>1309</v>
      </c>
      <c r="C1310">
        <v>-0.23191405197516499</v>
      </c>
      <c r="D1310">
        <v>-0.21314000194889099</v>
      </c>
      <c r="E1310">
        <v>0.21513651001415801</v>
      </c>
      <c r="F1310">
        <f t="shared" si="60"/>
        <v>-1.8774050026273997E-2</v>
      </c>
      <c r="G1310" s="2">
        <f t="shared" si="61"/>
        <v>1.6383316544729817E-3</v>
      </c>
      <c r="M1310">
        <v>2.3121909157061999</v>
      </c>
      <c r="N1310">
        <v>2.31219550983529</v>
      </c>
      <c r="O1310" s="1">
        <v>3.3466411199588801E-8</v>
      </c>
      <c r="P1310" s="2">
        <f t="shared" si="62"/>
        <v>6.3066284490698676E-4</v>
      </c>
    </row>
    <row r="1311" spans="2:16" x14ac:dyDescent="0.25">
      <c r="B1311">
        <v>1310</v>
      </c>
      <c r="C1311">
        <v>-0.25486048873129502</v>
      </c>
      <c r="D1311">
        <v>-0.21957210825611001</v>
      </c>
      <c r="E1311">
        <v>0.259815474865419</v>
      </c>
      <c r="F1311">
        <f t="shared" si="60"/>
        <v>-3.5288380475185011E-2</v>
      </c>
      <c r="G1311" s="2">
        <f t="shared" si="61"/>
        <v>4.7929007970231646E-3</v>
      </c>
      <c r="M1311">
        <v>1.0812778828088501</v>
      </c>
      <c r="N1311">
        <v>1.08119886406461</v>
      </c>
      <c r="O1311" s="1">
        <v>8.9523610986406799E-9</v>
      </c>
      <c r="P1311" s="2">
        <f t="shared" si="62"/>
        <v>0.69746538063913155</v>
      </c>
    </row>
    <row r="1312" spans="2:16" x14ac:dyDescent="0.25">
      <c r="B1312">
        <v>1311</v>
      </c>
      <c r="C1312">
        <v>-0.24791609882891699</v>
      </c>
      <c r="D1312">
        <v>-0.217827106567058</v>
      </c>
      <c r="E1312">
        <v>0.24584956823419599</v>
      </c>
      <c r="F1312">
        <f t="shared" si="60"/>
        <v>-3.0088992261858988E-2</v>
      </c>
      <c r="G1312" s="2">
        <f t="shared" si="61"/>
        <v>3.6825261147978802E-3</v>
      </c>
      <c r="M1312">
        <v>2.3170178622237199</v>
      </c>
      <c r="N1312">
        <v>2.3169564134058902</v>
      </c>
      <c r="O1312" s="1">
        <v>2.8764817801250698E-8</v>
      </c>
      <c r="P1312" s="2">
        <f t="shared" si="62"/>
        <v>0.13126998539508122</v>
      </c>
    </row>
    <row r="1313" spans="2:16" x14ac:dyDescent="0.25">
      <c r="B1313">
        <v>1312</v>
      </c>
      <c r="C1313">
        <v>-0.221273739259498</v>
      </c>
      <c r="D1313">
        <v>-0.21468035210747299</v>
      </c>
      <c r="E1313">
        <v>0.19584827074352201</v>
      </c>
      <c r="F1313">
        <f t="shared" si="60"/>
        <v>-6.5933871520250098E-3</v>
      </c>
      <c r="G1313" s="2">
        <f t="shared" si="61"/>
        <v>2.2197160062454319E-4</v>
      </c>
      <c r="M1313">
        <v>2.31267725995842</v>
      </c>
      <c r="N1313">
        <v>2.3129171859933102</v>
      </c>
      <c r="O1313" s="1">
        <v>1.9800738780717202E-8</v>
      </c>
      <c r="P1313" s="2">
        <f t="shared" si="62"/>
        <v>2.9071896183082715</v>
      </c>
    </row>
    <row r="1314" spans="2:16" x14ac:dyDescent="0.25">
      <c r="B1314">
        <v>1313</v>
      </c>
      <c r="C1314">
        <v>-0.18379069802533901</v>
      </c>
      <c r="D1314">
        <v>-0.214896796242973</v>
      </c>
      <c r="E1314">
        <v>0.13511608272256501</v>
      </c>
      <c r="F1314">
        <f t="shared" si="60"/>
        <v>3.1106098217633993E-2</v>
      </c>
      <c r="G1314" s="2">
        <f t="shared" si="61"/>
        <v>7.1611708009020067E-3</v>
      </c>
      <c r="M1314">
        <v>1.0813787848744101</v>
      </c>
      <c r="N1314">
        <v>1.0813964543002801</v>
      </c>
      <c r="O1314" s="1">
        <v>6.0370088501034001E-9</v>
      </c>
      <c r="P1314" s="2">
        <f t="shared" si="62"/>
        <v>5.1715778182139717E-2</v>
      </c>
    </row>
    <row r="1315" spans="2:16" x14ac:dyDescent="0.25">
      <c r="B1315">
        <v>1314</v>
      </c>
      <c r="C1315">
        <v>-0.20690035130037701</v>
      </c>
      <c r="D1315">
        <v>-0.21605262054109101</v>
      </c>
      <c r="E1315">
        <v>0.171231021472878</v>
      </c>
      <c r="F1315">
        <f t="shared" si="60"/>
        <v>9.1522692407139949E-3</v>
      </c>
      <c r="G1315" s="2">
        <f t="shared" si="61"/>
        <v>4.8918724851377041E-4</v>
      </c>
      <c r="M1315">
        <v>2.3167597570508298</v>
      </c>
      <c r="N1315">
        <v>2.3172070640619999</v>
      </c>
      <c r="O1315" s="1">
        <v>3.6895101642791297E-8</v>
      </c>
      <c r="P1315" s="2">
        <f t="shared" si="62"/>
        <v>5.4230386510141608</v>
      </c>
    </row>
    <row r="1316" spans="2:16" x14ac:dyDescent="0.25">
      <c r="B1316">
        <v>1315</v>
      </c>
      <c r="C1316">
        <v>-0.236182598324403</v>
      </c>
      <c r="D1316">
        <v>-0.21594967246687199</v>
      </c>
      <c r="E1316">
        <v>0.22312887900506501</v>
      </c>
      <c r="F1316">
        <f t="shared" si="60"/>
        <v>-2.0232925857531003E-2</v>
      </c>
      <c r="G1316" s="2">
        <f t="shared" si="61"/>
        <v>1.8346853647171956E-3</v>
      </c>
      <c r="M1316">
        <v>2.3142093261181498</v>
      </c>
      <c r="N1316">
        <v>2.31401931721684</v>
      </c>
      <c r="O1316" s="1">
        <v>1.9974530704766499E-8</v>
      </c>
      <c r="P1316" s="2">
        <f t="shared" si="62"/>
        <v>1.8074708793208878</v>
      </c>
    </row>
    <row r="1317" spans="2:16" x14ac:dyDescent="0.25">
      <c r="B1317">
        <v>1316</v>
      </c>
      <c r="C1317">
        <v>-0.18364803998467699</v>
      </c>
      <c r="D1317">
        <v>-0.208518542179572</v>
      </c>
      <c r="E1317">
        <v>0.13490641036085399</v>
      </c>
      <c r="F1317">
        <f t="shared" si="60"/>
        <v>2.4870502194895006E-2</v>
      </c>
      <c r="G1317" s="2">
        <f t="shared" si="61"/>
        <v>4.5849702602846851E-3</v>
      </c>
      <c r="M1317">
        <v>1.08165105801363</v>
      </c>
      <c r="N1317">
        <v>1.08169816135702</v>
      </c>
      <c r="O1317" s="1">
        <v>8.7788847249931994E-9</v>
      </c>
      <c r="P1317" s="2">
        <f t="shared" si="62"/>
        <v>0.252734262724438</v>
      </c>
    </row>
    <row r="1318" spans="2:16" x14ac:dyDescent="0.25">
      <c r="B1318">
        <v>1317</v>
      </c>
      <c r="C1318">
        <v>-0.203890780124206</v>
      </c>
      <c r="D1318">
        <v>-0.21175162429205999</v>
      </c>
      <c r="E1318">
        <v>0.16628580087862899</v>
      </c>
      <c r="F1318">
        <f t="shared" si="60"/>
        <v>7.8608441678539864E-3</v>
      </c>
      <c r="G1318" s="2">
        <f t="shared" si="61"/>
        <v>3.7160641921787582E-4</v>
      </c>
      <c r="M1318">
        <v>2.3180791099934401</v>
      </c>
      <c r="N1318">
        <v>2.31758975477939</v>
      </c>
      <c r="O1318" s="1">
        <v>1.5645812264028798E-8</v>
      </c>
      <c r="P1318" s="2">
        <f t="shared" si="62"/>
        <v>15.305598806692499</v>
      </c>
    </row>
    <row r="1319" spans="2:16" x14ac:dyDescent="0.25">
      <c r="B1319">
        <v>1318</v>
      </c>
      <c r="C1319">
        <v>-0.221450614988076</v>
      </c>
      <c r="D1319">
        <v>-0.22092994615933401</v>
      </c>
      <c r="E1319">
        <v>0.19616149951438899</v>
      </c>
      <c r="F1319">
        <f t="shared" si="60"/>
        <v>-5.2066882874199361E-4</v>
      </c>
      <c r="G1319" s="2">
        <f t="shared" si="61"/>
        <v>1.3820042663554058E-6</v>
      </c>
      <c r="M1319">
        <v>2.3143934929827799</v>
      </c>
      <c r="N1319">
        <v>2.3143944320112801</v>
      </c>
      <c r="O1319" s="1">
        <v>2.8115099518331399E-8</v>
      </c>
      <c r="P1319" s="2">
        <f t="shared" si="62"/>
        <v>3.1363023409662593E-5</v>
      </c>
    </row>
    <row r="1320" spans="2:16" x14ac:dyDescent="0.25">
      <c r="B1320">
        <v>1319</v>
      </c>
      <c r="C1320">
        <v>-0.21924742787517201</v>
      </c>
      <c r="D1320">
        <v>-0.21022646551242</v>
      </c>
      <c r="E1320">
        <v>0.19227773851951399</v>
      </c>
      <c r="F1320">
        <f t="shared" si="60"/>
        <v>-9.0209623627520164E-3</v>
      </c>
      <c r="G1320" s="2">
        <f t="shared" si="61"/>
        <v>4.2323028436247977E-4</v>
      </c>
      <c r="M1320">
        <v>1.08182475295396</v>
      </c>
      <c r="N1320">
        <v>1.0818008349822501</v>
      </c>
      <c r="O1320" s="1">
        <v>5.4369163641520999E-9</v>
      </c>
      <c r="P1320" s="2">
        <f t="shared" si="62"/>
        <v>0.1052194538959132</v>
      </c>
    </row>
    <row r="1321" spans="2:16" x14ac:dyDescent="0.25">
      <c r="B1321">
        <v>1320</v>
      </c>
      <c r="C1321">
        <v>-0.25460582050546798</v>
      </c>
      <c r="D1321">
        <v>-0.21395012567935301</v>
      </c>
      <c r="E1321">
        <v>0.25929649534104998</v>
      </c>
      <c r="F1321">
        <f t="shared" si="60"/>
        <v>-4.0655694826114974E-2</v>
      </c>
      <c r="G1321" s="2">
        <f t="shared" si="61"/>
        <v>6.3745000472149411E-3</v>
      </c>
      <c r="M1321">
        <v>2.3177176723218702</v>
      </c>
      <c r="N1321">
        <v>2.3177199779400399</v>
      </c>
      <c r="O1321" s="1">
        <v>2.4459496742372101E-8</v>
      </c>
      <c r="P1321" s="2">
        <f t="shared" si="62"/>
        <v>2.1733379065499111E-4</v>
      </c>
    </row>
    <row r="1322" spans="2:16" x14ac:dyDescent="0.25">
      <c r="B1322">
        <v>1321</v>
      </c>
      <c r="C1322">
        <v>-0.21098568883025101</v>
      </c>
      <c r="D1322">
        <v>-0.207250961202356</v>
      </c>
      <c r="E1322">
        <v>0.178059843564703</v>
      </c>
      <c r="F1322">
        <f t="shared" si="60"/>
        <v>-3.734727627895007E-3</v>
      </c>
      <c r="G1322" s="2">
        <f t="shared" si="61"/>
        <v>7.8334284560313016E-5</v>
      </c>
      <c r="M1322">
        <v>2.31564502472696</v>
      </c>
      <c r="N1322">
        <v>2.31568233809607</v>
      </c>
      <c r="O1322" s="1">
        <v>1.73490690969669E-8</v>
      </c>
      <c r="P1322" s="2">
        <f t="shared" si="62"/>
        <v>8.0251424820650702E-2</v>
      </c>
    </row>
    <row r="1323" spans="2:16" x14ac:dyDescent="0.25">
      <c r="B1323">
        <v>1322</v>
      </c>
      <c r="C1323">
        <v>-0.27828641801029103</v>
      </c>
      <c r="D1323">
        <v>-0.23027343952130599</v>
      </c>
      <c r="E1323">
        <v>0.30977332179599498</v>
      </c>
      <c r="F1323">
        <f t="shared" si="60"/>
        <v>-4.8012978488985031E-2</v>
      </c>
      <c r="G1323" s="2">
        <f t="shared" si="61"/>
        <v>7.4417192869238999E-3</v>
      </c>
      <c r="M1323">
        <v>1.0822835799503401</v>
      </c>
      <c r="N1323">
        <v>1.0821532985570601</v>
      </c>
      <c r="O1323" s="1">
        <v>5.97546209322917E-9</v>
      </c>
      <c r="P1323" s="2">
        <f t="shared" si="62"/>
        <v>2.8404901863913978</v>
      </c>
    </row>
    <row r="1324" spans="2:16" x14ac:dyDescent="0.25">
      <c r="B1324">
        <v>1323</v>
      </c>
      <c r="C1324">
        <v>-0.16933402163925601</v>
      </c>
      <c r="D1324">
        <v>-0.21051433290780999</v>
      </c>
      <c r="E1324">
        <v>0.114696043538096</v>
      </c>
      <c r="F1324">
        <f t="shared" si="60"/>
        <v>4.1180311268553982E-2</v>
      </c>
      <c r="G1324" s="2">
        <f t="shared" si="61"/>
        <v>1.4785322874818541E-2</v>
      </c>
      <c r="M1324">
        <v>2.3181290588638999</v>
      </c>
      <c r="N1324">
        <v>2.3181669766853799</v>
      </c>
      <c r="O1324" s="1">
        <v>1.1983128047195101E-8</v>
      </c>
      <c r="P1324" s="2">
        <f t="shared" si="62"/>
        <v>0.11998212654709962</v>
      </c>
    </row>
    <row r="1325" spans="2:16" x14ac:dyDescent="0.25">
      <c r="B1325">
        <v>1324</v>
      </c>
      <c r="C1325">
        <v>-0.20707407024991101</v>
      </c>
      <c r="D1325">
        <v>-0.214395514284833</v>
      </c>
      <c r="E1325">
        <v>0.17151868227945999</v>
      </c>
      <c r="F1325">
        <f t="shared" si="60"/>
        <v>7.3214440349219922E-3</v>
      </c>
      <c r="G1325" s="2">
        <f t="shared" si="61"/>
        <v>3.125230560549499E-4</v>
      </c>
      <c r="M1325">
        <v>2.3159594947492899</v>
      </c>
      <c r="N1325">
        <v>2.3161991491841101</v>
      </c>
      <c r="O1325" s="1">
        <v>2.4911223750616099E-8</v>
      </c>
      <c r="P1325" s="2">
        <f t="shared" si="62"/>
        <v>2.3055570735490454</v>
      </c>
    </row>
    <row r="1326" spans="2:16" x14ac:dyDescent="0.25">
      <c r="B1326">
        <v>1325</v>
      </c>
      <c r="C1326">
        <v>-0.233482410347751</v>
      </c>
      <c r="D1326">
        <v>-0.21178737248388599</v>
      </c>
      <c r="E1326">
        <v>0.21805614376718199</v>
      </c>
      <c r="F1326">
        <f t="shared" si="60"/>
        <v>-2.1695037863865008E-2</v>
      </c>
      <c r="G1326" s="2">
        <f t="shared" si="61"/>
        <v>2.1585022085737447E-3</v>
      </c>
      <c r="M1326">
        <v>1.08217302963363</v>
      </c>
      <c r="N1326">
        <v>1.08229471233463</v>
      </c>
      <c r="O1326" s="1">
        <v>1.18413220557054E-8</v>
      </c>
      <c r="P1326" s="2">
        <f t="shared" si="62"/>
        <v>1.2504245432222925</v>
      </c>
    </row>
    <row r="1327" spans="2:16" x14ac:dyDescent="0.25">
      <c r="B1327">
        <v>1326</v>
      </c>
      <c r="C1327">
        <v>-0.24747459060409699</v>
      </c>
      <c r="D1327">
        <v>-0.21613830228248801</v>
      </c>
      <c r="E1327">
        <v>0.24497469197866201</v>
      </c>
      <c r="F1327">
        <f t="shared" si="60"/>
        <v>-3.1336288321608979E-2</v>
      </c>
      <c r="G1327" s="2">
        <f t="shared" si="61"/>
        <v>4.0084261677958925E-3</v>
      </c>
      <c r="M1327">
        <v>2.3179585434457799</v>
      </c>
      <c r="N1327">
        <v>2.3183463027209399</v>
      </c>
      <c r="O1327" s="1">
        <v>2.4470434603279701E-8</v>
      </c>
      <c r="P1327" s="2">
        <f t="shared" si="62"/>
        <v>6.1444456508529495</v>
      </c>
    </row>
    <row r="1328" spans="2:16" x14ac:dyDescent="0.25">
      <c r="B1328">
        <v>1327</v>
      </c>
      <c r="C1328">
        <v>-0.23563267916191</v>
      </c>
      <c r="D1328">
        <v>-0.21846232311098601</v>
      </c>
      <c r="E1328">
        <v>0.22209103795607801</v>
      </c>
      <c r="F1328">
        <f t="shared" si="60"/>
        <v>-1.7170356050923985E-2</v>
      </c>
      <c r="G1328" s="2">
        <f t="shared" si="61"/>
        <v>1.3274787205677673E-3</v>
      </c>
      <c r="M1328">
        <v>2.3165732772210998</v>
      </c>
      <c r="N1328">
        <v>2.3166568829696299</v>
      </c>
      <c r="O1328" s="1">
        <v>1.50961993348025E-8</v>
      </c>
      <c r="P1328" s="2">
        <f t="shared" si="62"/>
        <v>0.46302523120218991</v>
      </c>
    </row>
    <row r="1329" spans="2:16" x14ac:dyDescent="0.25">
      <c r="B1329">
        <v>1328</v>
      </c>
      <c r="C1329">
        <v>-0.21251026023505301</v>
      </c>
      <c r="D1329">
        <v>-0.21593916169264199</v>
      </c>
      <c r="E1329">
        <v>0.18064244282067901</v>
      </c>
      <c r="F1329">
        <f t="shared" si="60"/>
        <v>3.4289014575889787E-3</v>
      </c>
      <c r="G1329" s="2">
        <f t="shared" si="61"/>
        <v>6.5086393996161685E-5</v>
      </c>
      <c r="M1329">
        <v>1.0824754355816799</v>
      </c>
      <c r="N1329">
        <v>1.0824199500118401</v>
      </c>
      <c r="O1329" s="1">
        <v>3.5835782024926198E-9</v>
      </c>
      <c r="P1329" s="2">
        <f t="shared" si="62"/>
        <v>0.85909900286446383</v>
      </c>
    </row>
    <row r="1330" spans="2:16" x14ac:dyDescent="0.25">
      <c r="B1330">
        <v>1329</v>
      </c>
      <c r="C1330">
        <v>-0.268018280320581</v>
      </c>
      <c r="D1330">
        <v>-0.21321976896624301</v>
      </c>
      <c r="E1330">
        <v>0.28733519434400601</v>
      </c>
      <c r="F1330">
        <f t="shared" si="60"/>
        <v>-5.4798511354337998E-2</v>
      </c>
      <c r="G1330" s="2">
        <f t="shared" si="61"/>
        <v>1.0450779806167355E-2</v>
      </c>
      <c r="M1330">
        <v>2.3184245231182201</v>
      </c>
      <c r="N1330">
        <v>2.31850510795008</v>
      </c>
      <c r="O1330" s="1">
        <v>1.75278833299178E-8</v>
      </c>
      <c r="P1330" s="2">
        <f t="shared" si="62"/>
        <v>0.37049054946671933</v>
      </c>
    </row>
    <row r="1331" spans="2:16" x14ac:dyDescent="0.25">
      <c r="B1331">
        <v>1330</v>
      </c>
      <c r="C1331">
        <v>-0.20631808210674599</v>
      </c>
      <c r="D1331">
        <v>-0.220071154539073</v>
      </c>
      <c r="E1331">
        <v>0.170268604016824</v>
      </c>
      <c r="F1331">
        <f t="shared" si="60"/>
        <v>1.3753072432327013E-2</v>
      </c>
      <c r="G1331" s="2">
        <f t="shared" si="61"/>
        <v>1.1108742120781345E-3</v>
      </c>
      <c r="M1331">
        <v>2.3170044395754901</v>
      </c>
      <c r="N1331">
        <v>2.3170100982678301</v>
      </c>
      <c r="O1331" s="1">
        <v>2.3194892297946502E-8</v>
      </c>
      <c r="P1331" s="2">
        <f t="shared" si="62"/>
        <v>1.3805107860768587E-3</v>
      </c>
    </row>
    <row r="1332" spans="2:16" x14ac:dyDescent="0.25">
      <c r="B1332">
        <v>1331</v>
      </c>
      <c r="C1332">
        <v>-0.22864943608761201</v>
      </c>
      <c r="D1332">
        <v>-0.217925070365106</v>
      </c>
      <c r="E1332">
        <v>0.209122258492732</v>
      </c>
      <c r="F1332">
        <f t="shared" si="60"/>
        <v>-1.0724365722506013E-2</v>
      </c>
      <c r="G1332" s="2">
        <f t="shared" si="61"/>
        <v>5.4997502886121102E-4</v>
      </c>
      <c r="M1332">
        <v>1.0822725452183899</v>
      </c>
      <c r="N1332">
        <v>1.08251658402965</v>
      </c>
      <c r="O1332" s="1">
        <v>7.6633551625778292E-9</v>
      </c>
      <c r="P1332" s="2">
        <f t="shared" si="62"/>
        <v>7.7713925738524035</v>
      </c>
    </row>
    <row r="1333" spans="2:16" x14ac:dyDescent="0.25">
      <c r="B1333">
        <v>1332</v>
      </c>
      <c r="C1333">
        <v>-0.221530311778106</v>
      </c>
      <c r="D1333">
        <v>-0.21965898491746799</v>
      </c>
      <c r="E1333">
        <v>0.19630271614601899</v>
      </c>
      <c r="F1333">
        <f t="shared" si="60"/>
        <v>-1.8713268606380118E-3</v>
      </c>
      <c r="G1333" s="2">
        <f t="shared" si="61"/>
        <v>1.7839102219759756E-5</v>
      </c>
      <c r="M1333">
        <v>2.3185532957067401</v>
      </c>
      <c r="N1333">
        <v>2.3186276377347501</v>
      </c>
      <c r="O1333" s="1">
        <v>2.8126343595117299E-8</v>
      </c>
      <c r="P1333" s="2">
        <f t="shared" si="62"/>
        <v>0.19649682191913365</v>
      </c>
    </row>
    <row r="1334" spans="2:16" x14ac:dyDescent="0.25">
      <c r="B1334">
        <v>1333</v>
      </c>
      <c r="C1334">
        <v>-0.262241989799125</v>
      </c>
      <c r="D1334">
        <v>-0.21729304217406201</v>
      </c>
      <c r="E1334">
        <v>0.27508344485521702</v>
      </c>
      <c r="F1334">
        <f t="shared" si="60"/>
        <v>-4.494894762506299E-2</v>
      </c>
      <c r="G1334" s="2">
        <f t="shared" si="61"/>
        <v>7.3447091433075685E-3</v>
      </c>
      <c r="M1334">
        <v>2.3181178147956301</v>
      </c>
      <c r="N1334">
        <v>2.3177848455685899</v>
      </c>
      <c r="O1334" s="1">
        <v>2.9012117324372901E-8</v>
      </c>
      <c r="P1334" s="2">
        <f t="shared" si="62"/>
        <v>3.8214551842652127</v>
      </c>
    </row>
    <row r="1335" spans="2:16" x14ac:dyDescent="0.25">
      <c r="B1335">
        <v>1334</v>
      </c>
      <c r="C1335">
        <v>-0.22746817766428301</v>
      </c>
      <c r="D1335">
        <v>-0.22142108298825799</v>
      </c>
      <c r="E1335">
        <v>0.20696708739963901</v>
      </c>
      <c r="F1335">
        <f t="shared" si="60"/>
        <v>-6.0470946760250166E-3</v>
      </c>
      <c r="G1335" s="2">
        <f t="shared" si="61"/>
        <v>1.7668197625162057E-4</v>
      </c>
      <c r="M1335">
        <v>1.0827854556068299</v>
      </c>
      <c r="N1335">
        <v>1.0827285210358999</v>
      </c>
      <c r="O1335" s="1">
        <v>4.2396837489571001E-9</v>
      </c>
      <c r="P1335" s="2">
        <f t="shared" si="62"/>
        <v>0.76457244429715776</v>
      </c>
    </row>
    <row r="1336" spans="2:16" x14ac:dyDescent="0.25">
      <c r="B1336">
        <v>1335</v>
      </c>
      <c r="C1336">
        <v>-0.23358375608394899</v>
      </c>
      <c r="D1336">
        <v>-0.21552717264034801</v>
      </c>
      <c r="E1336">
        <v>0.21824548442514399</v>
      </c>
      <c r="F1336">
        <f t="shared" si="60"/>
        <v>-1.8056583443600976E-2</v>
      </c>
      <c r="G1336" s="2">
        <f t="shared" si="61"/>
        <v>1.4939150127871417E-3</v>
      </c>
      <c r="M1336">
        <v>2.3192539549006299</v>
      </c>
      <c r="N1336">
        <v>2.3188963535170002</v>
      </c>
      <c r="O1336" s="1">
        <v>2.5371271758414001E-8</v>
      </c>
      <c r="P1336" s="2">
        <f t="shared" si="62"/>
        <v>5.0402971830327798</v>
      </c>
    </row>
    <row r="1337" spans="2:16" x14ac:dyDescent="0.25">
      <c r="B1337">
        <v>1336</v>
      </c>
      <c r="C1337">
        <v>-0.268234668187317</v>
      </c>
      <c r="D1337">
        <v>-0.22103212938615599</v>
      </c>
      <c r="E1337">
        <v>0.287799348870241</v>
      </c>
      <c r="F1337">
        <f t="shared" si="60"/>
        <v>-4.7202538801161015E-2</v>
      </c>
      <c r="G1337" s="2">
        <f t="shared" si="61"/>
        <v>7.7417814808180014E-3</v>
      </c>
      <c r="M1337">
        <v>2.3181610052328798</v>
      </c>
      <c r="N1337">
        <v>2.3182968601751699</v>
      </c>
      <c r="O1337" s="1">
        <v>3.7822162632892501E-8</v>
      </c>
      <c r="P1337" s="2">
        <f t="shared" si="62"/>
        <v>0.48798281377457003</v>
      </c>
    </row>
    <row r="1338" spans="2:16" x14ac:dyDescent="0.25">
      <c r="B1338">
        <v>1337</v>
      </c>
      <c r="C1338">
        <v>-0.19790938028353</v>
      </c>
      <c r="D1338">
        <v>-0.212858208624427</v>
      </c>
      <c r="E1338">
        <v>0.15667249121684401</v>
      </c>
      <c r="F1338">
        <f t="shared" si="60"/>
        <v>1.4948828340897002E-2</v>
      </c>
      <c r="G1338" s="2">
        <f t="shared" si="61"/>
        <v>1.4263350702473556E-3</v>
      </c>
      <c r="M1338">
        <v>1.0825867161818601</v>
      </c>
      <c r="N1338">
        <v>1.0828685697448599</v>
      </c>
      <c r="O1338" s="1">
        <v>8.2417403038132201E-9</v>
      </c>
      <c r="P1338" s="2">
        <f t="shared" si="62"/>
        <v>9.6389146038651194</v>
      </c>
    </row>
    <row r="1339" spans="2:16" x14ac:dyDescent="0.25">
      <c r="B1339">
        <v>1338</v>
      </c>
      <c r="C1339">
        <v>-0.25988418643504002</v>
      </c>
      <c r="D1339">
        <v>-0.21612269220906399</v>
      </c>
      <c r="E1339">
        <v>0.27015916143601099</v>
      </c>
      <c r="F1339">
        <f t="shared" si="60"/>
        <v>-4.3761494225976028E-2</v>
      </c>
      <c r="G1339" s="2">
        <f t="shared" si="61"/>
        <v>7.0886671646104077E-3</v>
      </c>
      <c r="M1339">
        <v>2.3188807714296402</v>
      </c>
      <c r="N1339">
        <v>2.31907391006157</v>
      </c>
      <c r="O1339" s="1">
        <v>2.8313712134194701E-8</v>
      </c>
      <c r="P1339" s="2">
        <f t="shared" si="62"/>
        <v>1.3174722892895852</v>
      </c>
    </row>
    <row r="1340" spans="2:16" x14ac:dyDescent="0.25">
      <c r="B1340">
        <v>1339</v>
      </c>
      <c r="C1340">
        <v>-0.23124237630019501</v>
      </c>
      <c r="D1340">
        <v>-0.208890265280159</v>
      </c>
      <c r="E1340">
        <v>0.21389214638784501</v>
      </c>
      <c r="F1340">
        <f t="shared" si="60"/>
        <v>-2.2352111020036008E-2</v>
      </c>
      <c r="G1340" s="2">
        <f t="shared" si="61"/>
        <v>2.335835492276902E-3</v>
      </c>
      <c r="M1340">
        <v>2.3186646051378101</v>
      </c>
      <c r="N1340">
        <v>2.3186658789458399</v>
      </c>
      <c r="O1340" s="1">
        <v>3.87688984767367E-8</v>
      </c>
      <c r="P1340" s="2">
        <f t="shared" si="62"/>
        <v>4.1852798514749303E-5</v>
      </c>
    </row>
    <row r="1341" spans="2:16" x14ac:dyDescent="0.25">
      <c r="B1341">
        <v>1340</v>
      </c>
      <c r="C1341">
        <v>-0.24625519278744701</v>
      </c>
      <c r="D1341">
        <v>-0.215371041002169</v>
      </c>
      <c r="E1341">
        <v>0.24256647989912999</v>
      </c>
      <c r="F1341">
        <f t="shared" si="60"/>
        <v>-3.0884151785278008E-2</v>
      </c>
      <c r="G1341" s="2">
        <f t="shared" si="61"/>
        <v>3.9322450154396288E-3</v>
      </c>
      <c r="M1341">
        <v>1.08289531892152</v>
      </c>
      <c r="N1341">
        <v>1.08296949759324</v>
      </c>
      <c r="O1341" s="1">
        <v>7.0449679011512196E-9</v>
      </c>
      <c r="P1341" s="2">
        <f t="shared" si="62"/>
        <v>0.78105044839783688</v>
      </c>
    </row>
    <row r="1342" spans="2:16" x14ac:dyDescent="0.25">
      <c r="B1342">
        <v>1341</v>
      </c>
      <c r="C1342">
        <v>-0.233983612026889</v>
      </c>
      <c r="D1342">
        <v>-0.18672725611451299</v>
      </c>
      <c r="E1342">
        <v>0.21899332278859801</v>
      </c>
      <c r="F1342">
        <f t="shared" si="60"/>
        <v>-4.7256355912376008E-2</v>
      </c>
      <c r="G1342" s="2">
        <f t="shared" si="61"/>
        <v>1.019740303348384E-2</v>
      </c>
      <c r="M1342">
        <v>2.3191413370616001</v>
      </c>
      <c r="N1342">
        <v>2.3192018625901798</v>
      </c>
      <c r="O1342" s="1">
        <v>3.35740643972817E-8</v>
      </c>
      <c r="P1342" s="2">
        <f t="shared" si="62"/>
        <v>0.10911218750597008</v>
      </c>
    </row>
    <row r="1343" spans="2:16" x14ac:dyDescent="0.25">
      <c r="B1343">
        <v>1342</v>
      </c>
      <c r="C1343">
        <v>-0.28981922861811499</v>
      </c>
      <c r="D1343">
        <v>-0.25734898299082798</v>
      </c>
      <c r="E1343">
        <v>0.335980741107196</v>
      </c>
      <c r="F1343">
        <f t="shared" si="60"/>
        <v>-3.2470245627287009E-2</v>
      </c>
      <c r="G1343" s="2">
        <f t="shared" si="61"/>
        <v>3.1380276370066317E-3</v>
      </c>
      <c r="M1343">
        <v>2.3191980546212698</v>
      </c>
      <c r="N1343">
        <v>2.31918362642867</v>
      </c>
      <c r="O1343" s="1">
        <v>2.5956071450041499E-8</v>
      </c>
      <c r="P1343" s="2">
        <f t="shared" si="62"/>
        <v>8.0201945081338644E-3</v>
      </c>
    </row>
    <row r="1344" spans="2:16" x14ac:dyDescent="0.25">
      <c r="B1344">
        <v>1343</v>
      </c>
      <c r="C1344">
        <v>-0.29333481793805999</v>
      </c>
      <c r="D1344">
        <v>-0.244104210419265</v>
      </c>
      <c r="E1344">
        <v>0.34418126165901902</v>
      </c>
      <c r="F1344">
        <f t="shared" si="60"/>
        <v>-4.9230607518794989E-2</v>
      </c>
      <c r="G1344" s="2">
        <f t="shared" si="61"/>
        <v>7.0417915983780393E-3</v>
      </c>
      <c r="M1344">
        <v>1.08313457923917</v>
      </c>
      <c r="N1344">
        <v>1.08311109201225</v>
      </c>
      <c r="O1344" s="1">
        <v>1.18071029630469E-8</v>
      </c>
      <c r="P1344" s="2">
        <f t="shared" si="62"/>
        <v>4.6721861418449549E-2</v>
      </c>
    </row>
    <row r="1345" spans="2:16" x14ac:dyDescent="0.25">
      <c r="B1345">
        <v>1344</v>
      </c>
      <c r="C1345">
        <v>-0.26785192869862801</v>
      </c>
      <c r="D1345">
        <v>-0.25255531591039698</v>
      </c>
      <c r="E1345">
        <v>0.28697862283030001</v>
      </c>
      <c r="F1345">
        <f t="shared" si="60"/>
        <v>-1.5296612788231023E-2</v>
      </c>
      <c r="G1345" s="2">
        <f t="shared" si="61"/>
        <v>8.1534422489523467E-4</v>
      </c>
      <c r="M1345">
        <v>2.3193933621049498</v>
      </c>
      <c r="N1345">
        <v>2.3193813624661401</v>
      </c>
      <c r="O1345" s="1">
        <v>2.4506940751976501E-8</v>
      </c>
      <c r="P1345" s="2">
        <f t="shared" si="62"/>
        <v>5.8755326917716592E-3</v>
      </c>
    </row>
    <row r="1346" spans="2:16" x14ac:dyDescent="0.25">
      <c r="B1346">
        <v>1345</v>
      </c>
      <c r="C1346">
        <v>-0.26149633210696799</v>
      </c>
      <c r="D1346">
        <v>-0.248875527872607</v>
      </c>
      <c r="E1346">
        <v>0.27352132682159103</v>
      </c>
      <c r="F1346">
        <f t="shared" si="60"/>
        <v>-1.2620804234360988E-2</v>
      </c>
      <c r="G1346" s="2">
        <f t="shared" si="61"/>
        <v>5.8234837251268682E-4</v>
      </c>
      <c r="M1346">
        <v>2.3191827537595899</v>
      </c>
      <c r="N1346">
        <v>2.3190564649215601</v>
      </c>
      <c r="O1346" s="1">
        <v>2.7571296165073299E-8</v>
      </c>
      <c r="P1346" s="2">
        <f t="shared" si="62"/>
        <v>0.57845922496445257</v>
      </c>
    </row>
    <row r="1347" spans="2:16" x14ac:dyDescent="0.25">
      <c r="B1347">
        <v>1346</v>
      </c>
      <c r="C1347">
        <v>-0.25465153944623897</v>
      </c>
      <c r="D1347">
        <v>-0.250910756508267</v>
      </c>
      <c r="E1347">
        <v>0.25938962616935801</v>
      </c>
      <c r="F1347">
        <f t="shared" ref="F1347:F1410" si="63">C1347-D1347</f>
        <v>-3.7407829379719759E-3</v>
      </c>
      <c r="G1347" s="2">
        <f t="shared" ref="G1347:G1410" si="64">F1347^2/E1347</f>
        <v>5.394763543814888E-5</v>
      </c>
      <c r="M1347">
        <v>1.0830664690691301</v>
      </c>
      <c r="N1347">
        <v>1.08307631689138</v>
      </c>
      <c r="O1347" s="1">
        <v>7.6971969943818299E-9</v>
      </c>
      <c r="P1347" s="2">
        <f t="shared" ref="P1347:P1410" si="65">(M1347-N1347)^2/O1347</f>
        <v>1.2599340141111895E-2</v>
      </c>
    </row>
    <row r="1348" spans="2:16" x14ac:dyDescent="0.25">
      <c r="B1348">
        <v>1347</v>
      </c>
      <c r="C1348">
        <v>-0.27771064094053999</v>
      </c>
      <c r="D1348">
        <v>-0.25505527004536399</v>
      </c>
      <c r="E1348">
        <v>0.30849280036642102</v>
      </c>
      <c r="F1348">
        <f t="shared" si="63"/>
        <v>-2.2655370895175997E-2</v>
      </c>
      <c r="G1348" s="2">
        <f t="shared" si="64"/>
        <v>1.6637854426046301E-3</v>
      </c>
      <c r="M1348">
        <v>2.31954056950409</v>
      </c>
      <c r="N1348">
        <v>2.31933727877747</v>
      </c>
      <c r="O1348" s="1">
        <v>4.0003243027155802E-8</v>
      </c>
      <c r="P1348" s="2">
        <f t="shared" si="65"/>
        <v>1.0330942294268322</v>
      </c>
    </row>
    <row r="1349" spans="2:16" x14ac:dyDescent="0.25">
      <c r="B1349">
        <v>1348</v>
      </c>
      <c r="C1349">
        <v>-0.29153142857310799</v>
      </c>
      <c r="D1349">
        <v>-0.25311182006140198</v>
      </c>
      <c r="E1349">
        <v>0.33996229538350897</v>
      </c>
      <c r="F1349">
        <f t="shared" si="63"/>
        <v>-3.8419608511706005E-2</v>
      </c>
      <c r="G1349" s="2">
        <f t="shared" si="64"/>
        <v>4.3418530179283937E-3</v>
      </c>
      <c r="M1349">
        <v>2.3192409276828299</v>
      </c>
      <c r="N1349">
        <v>2.3194013031745602</v>
      </c>
      <c r="O1349" s="1">
        <v>1.6506170485802099E-8</v>
      </c>
      <c r="P1349" s="2">
        <f t="shared" si="65"/>
        <v>1.5582232335394426</v>
      </c>
    </row>
    <row r="1350" spans="2:16" x14ac:dyDescent="0.25">
      <c r="B1350">
        <v>1349</v>
      </c>
      <c r="C1350">
        <v>-0.24553536591295699</v>
      </c>
      <c r="D1350">
        <v>-0.248112319888948</v>
      </c>
      <c r="E1350">
        <v>0.24115046365603901</v>
      </c>
      <c r="F1350">
        <f t="shared" si="63"/>
        <v>2.5769539759910032E-3</v>
      </c>
      <c r="G1350" s="2">
        <f t="shared" si="64"/>
        <v>2.7537545205999194E-5</v>
      </c>
      <c r="M1350">
        <v>1.08323428247896</v>
      </c>
      <c r="N1350">
        <v>1.0831706186889301</v>
      </c>
      <c r="O1350" s="1">
        <v>6.9835852819677902E-9</v>
      </c>
      <c r="P1350" s="2">
        <f t="shared" si="65"/>
        <v>0.58037211508627939</v>
      </c>
    </row>
    <row r="1351" spans="2:16" x14ac:dyDescent="0.25">
      <c r="B1351">
        <v>1350</v>
      </c>
      <c r="C1351">
        <v>-0.25858800535367499</v>
      </c>
      <c r="D1351">
        <v>-0.230524610353295</v>
      </c>
      <c r="E1351">
        <v>0.26747102605116901</v>
      </c>
      <c r="F1351">
        <f t="shared" si="63"/>
        <v>-2.8063395000379993E-2</v>
      </c>
      <c r="G1351" s="2">
        <f t="shared" si="64"/>
        <v>2.9444465465081377E-3</v>
      </c>
      <c r="M1351">
        <v>2.3189794341684302</v>
      </c>
      <c r="N1351">
        <v>2.3194568218407299</v>
      </c>
      <c r="O1351" s="1">
        <v>2.12264001147408E-8</v>
      </c>
      <c r="P1351" s="2">
        <f t="shared" si="65"/>
        <v>10.736582201021363</v>
      </c>
    </row>
    <row r="1352" spans="2:16" x14ac:dyDescent="0.25">
      <c r="B1352">
        <v>1351</v>
      </c>
      <c r="C1352">
        <v>-0.20758913462131701</v>
      </c>
      <c r="D1352">
        <v>-0.210676185127746</v>
      </c>
      <c r="E1352">
        <v>0.172372995251309</v>
      </c>
      <c r="F1352">
        <f t="shared" si="63"/>
        <v>3.0870505064289899E-3</v>
      </c>
      <c r="G1352" s="2">
        <f t="shared" si="64"/>
        <v>5.5286391092465012E-5</v>
      </c>
      <c r="M1352">
        <v>2.3201958154043298</v>
      </c>
      <c r="N1352">
        <v>2.32011961097529</v>
      </c>
      <c r="O1352" s="1">
        <v>3.0139895636850397E-8</v>
      </c>
      <c r="P1352" s="2">
        <f t="shared" si="65"/>
        <v>0.19267203427853194</v>
      </c>
    </row>
    <row r="1353" spans="2:16" x14ac:dyDescent="0.25">
      <c r="B1353">
        <v>1352</v>
      </c>
      <c r="C1353">
        <v>-0.19601777061133099</v>
      </c>
      <c r="D1353">
        <v>-0.20319653319228601</v>
      </c>
      <c r="E1353">
        <v>0.153691865581745</v>
      </c>
      <c r="F1353">
        <f t="shared" si="63"/>
        <v>7.1787625809550115E-3</v>
      </c>
      <c r="G1353" s="2">
        <f t="shared" si="64"/>
        <v>3.3531138423399404E-4</v>
      </c>
      <c r="M1353">
        <v>1.08367453339887</v>
      </c>
      <c r="N1353">
        <v>1.0833670333352201</v>
      </c>
      <c r="O1353" s="1">
        <v>1.1440146563763499E-8</v>
      </c>
      <c r="P1353" s="2">
        <f t="shared" si="65"/>
        <v>8.2653039991800004</v>
      </c>
    </row>
    <row r="1354" spans="2:16" x14ac:dyDescent="0.25">
      <c r="B1354">
        <v>1353</v>
      </c>
      <c r="C1354">
        <v>-0.21747356178385699</v>
      </c>
      <c r="D1354">
        <v>-0.202396406280163</v>
      </c>
      <c r="E1354">
        <v>0.18917900029982801</v>
      </c>
      <c r="F1354">
        <f t="shared" si="63"/>
        <v>-1.5077155503693984E-2</v>
      </c>
      <c r="G1354" s="2">
        <f t="shared" si="64"/>
        <v>1.2016165521664217E-3</v>
      </c>
      <c r="M1354">
        <v>2.3199946465065899</v>
      </c>
      <c r="N1354">
        <v>2.3197057961288801</v>
      </c>
      <c r="O1354" s="1">
        <v>2.9297236280918801E-8</v>
      </c>
      <c r="P1354" s="2">
        <f t="shared" si="65"/>
        <v>2.8478638702680477</v>
      </c>
    </row>
    <row r="1355" spans="2:16" x14ac:dyDescent="0.25">
      <c r="B1355">
        <v>1354</v>
      </c>
      <c r="C1355">
        <v>-0.221796230381027</v>
      </c>
      <c r="D1355">
        <v>-0.20745927082020199</v>
      </c>
      <c r="E1355">
        <v>0.19677427124493399</v>
      </c>
      <c r="F1355">
        <f t="shared" si="63"/>
        <v>-1.4336959560825008E-2</v>
      </c>
      <c r="G1355" s="2">
        <f t="shared" si="64"/>
        <v>1.0445898650686706E-3</v>
      </c>
      <c r="M1355">
        <v>2.3198739610310399</v>
      </c>
      <c r="N1355">
        <v>2.3198505146661499</v>
      </c>
      <c r="O1355" s="1">
        <v>4.0207412231516699E-8</v>
      </c>
      <c r="P1355" s="2">
        <f t="shared" si="65"/>
        <v>1.3672405062821542E-2</v>
      </c>
    </row>
    <row r="1356" spans="2:16" x14ac:dyDescent="0.25">
      <c r="B1356">
        <v>1355</v>
      </c>
      <c r="C1356">
        <v>-0.207536265962357</v>
      </c>
      <c r="D1356">
        <v>-0.21326138180250101</v>
      </c>
      <c r="E1356">
        <v>0.17228520675839301</v>
      </c>
      <c r="F1356">
        <f t="shared" si="63"/>
        <v>5.7251158401440128E-3</v>
      </c>
      <c r="G1356" s="2">
        <f t="shared" si="64"/>
        <v>1.9024820528574564E-4</v>
      </c>
      <c r="M1356">
        <v>1.08348023030914</v>
      </c>
      <c r="N1356">
        <v>1.0832934543827799</v>
      </c>
      <c r="O1356" s="1">
        <v>1.2791961561110099E-8</v>
      </c>
      <c r="P1356" s="2">
        <f t="shared" si="65"/>
        <v>2.7271225371502528</v>
      </c>
    </row>
    <row r="1357" spans="2:16" x14ac:dyDescent="0.25">
      <c r="B1357">
        <v>1356</v>
      </c>
      <c r="C1357">
        <v>-0.206247597400642</v>
      </c>
      <c r="D1357">
        <v>-0.20542300570288199</v>
      </c>
      <c r="E1357">
        <v>0.17015228573414901</v>
      </c>
      <c r="F1357">
        <f t="shared" si="63"/>
        <v>-8.2459169776000207E-4</v>
      </c>
      <c r="G1357" s="2">
        <f t="shared" si="64"/>
        <v>3.996134786441241E-6</v>
      </c>
      <c r="M1357">
        <v>2.3197660826642701</v>
      </c>
      <c r="N1357">
        <v>2.3196125299500601</v>
      </c>
      <c r="O1357" s="1">
        <v>3.9604099299222697E-8</v>
      </c>
      <c r="P1357" s="2">
        <f t="shared" si="65"/>
        <v>0.5953534219557064</v>
      </c>
    </row>
    <row r="1358" spans="2:16" x14ac:dyDescent="0.25">
      <c r="B1358">
        <v>1357</v>
      </c>
      <c r="C1358">
        <v>-0.205528214929418</v>
      </c>
      <c r="D1358">
        <v>-0.229402334152007</v>
      </c>
      <c r="E1358">
        <v>0.16896738852829199</v>
      </c>
      <c r="F1358">
        <f t="shared" si="63"/>
        <v>2.3874119222589002E-2</v>
      </c>
      <c r="G1358" s="2">
        <f t="shared" si="64"/>
        <v>3.3732755984386717E-3</v>
      </c>
      <c r="M1358">
        <v>2.32044822334456</v>
      </c>
      <c r="N1358">
        <v>2.32032936238061</v>
      </c>
      <c r="O1358" s="1">
        <v>2.8132147495125099E-8</v>
      </c>
      <c r="P1358" s="2">
        <f t="shared" si="65"/>
        <v>0.50219873024500328</v>
      </c>
    </row>
    <row r="1359" spans="2:16" x14ac:dyDescent="0.25">
      <c r="B1359">
        <v>1358</v>
      </c>
      <c r="C1359">
        <v>-0.209464233673823</v>
      </c>
      <c r="D1359">
        <v>-0.218295129140018</v>
      </c>
      <c r="E1359">
        <v>0.17550106075424701</v>
      </c>
      <c r="F1359">
        <f t="shared" si="63"/>
        <v>8.8308954661950045E-3</v>
      </c>
      <c r="G1359" s="2">
        <f t="shared" si="64"/>
        <v>4.4435466315536959E-4</v>
      </c>
      <c r="M1359">
        <v>1.08359957173715</v>
      </c>
      <c r="N1359">
        <v>1.0834243831691099</v>
      </c>
      <c r="O1359" s="1">
        <v>1.2216625235685199E-8</v>
      </c>
      <c r="P1359" s="2">
        <f t="shared" si="65"/>
        <v>2.5122350714576926</v>
      </c>
    </row>
    <row r="1360" spans="2:16" x14ac:dyDescent="0.25">
      <c r="B1360">
        <v>1359</v>
      </c>
      <c r="C1360">
        <v>-0.215088826060024</v>
      </c>
      <c r="D1360">
        <v>-0.232563398731128</v>
      </c>
      <c r="E1360">
        <v>0.18505281238351601</v>
      </c>
      <c r="F1360">
        <f t="shared" si="63"/>
        <v>1.7474572671103999E-2</v>
      </c>
      <c r="G1360" s="2">
        <f t="shared" si="64"/>
        <v>1.6501272588327085E-3</v>
      </c>
      <c r="M1360">
        <v>2.3200014955842998</v>
      </c>
      <c r="N1360">
        <v>2.3197784890364401</v>
      </c>
      <c r="O1360" s="1">
        <v>4.16458588974014E-8</v>
      </c>
      <c r="P1360" s="2">
        <f t="shared" si="65"/>
        <v>1.1941624378742584</v>
      </c>
    </row>
    <row r="1361" spans="2:16" x14ac:dyDescent="0.25">
      <c r="B1361">
        <v>1360</v>
      </c>
      <c r="C1361">
        <v>-0.19722196895501901</v>
      </c>
      <c r="D1361">
        <v>-0.23547986046900801</v>
      </c>
      <c r="E1361">
        <v>0.15558602015397799</v>
      </c>
      <c r="F1361">
        <f t="shared" si="63"/>
        <v>3.8257891513989006E-2</v>
      </c>
      <c r="G1361" s="2">
        <f t="shared" si="64"/>
        <v>9.407440730520732E-3</v>
      </c>
      <c r="M1361">
        <v>0.24802736495177799</v>
      </c>
      <c r="N1361">
        <v>0.248030146989624</v>
      </c>
      <c r="O1361" s="1">
        <v>8.2854306967902005E-10</v>
      </c>
      <c r="P1361" s="2">
        <f t="shared" si="65"/>
        <v>9.3413786921601859E-3</v>
      </c>
    </row>
    <row r="1362" spans="2:16" x14ac:dyDescent="0.25">
      <c r="B1362">
        <v>1361</v>
      </c>
      <c r="C1362">
        <v>-0.223765150871959</v>
      </c>
      <c r="D1362">
        <v>-0.23669242444316599</v>
      </c>
      <c r="E1362">
        <v>0.20028337097900201</v>
      </c>
      <c r="F1362">
        <f t="shared" si="63"/>
        <v>1.2927273571206988E-2</v>
      </c>
      <c r="G1362" s="2">
        <f t="shared" si="64"/>
        <v>8.3438980065073489E-4</v>
      </c>
      <c r="M1362">
        <v>0.99508124977262602</v>
      </c>
      <c r="N1362">
        <v>0.99508278136503703</v>
      </c>
      <c r="O1362" s="1">
        <v>8.73004530808802E-10</v>
      </c>
      <c r="P1362" s="2">
        <f t="shared" si="65"/>
        <v>2.6870139050534396E-3</v>
      </c>
    </row>
    <row r="1363" spans="2:16" x14ac:dyDescent="0.25">
      <c r="B1363">
        <v>1362</v>
      </c>
      <c r="C1363">
        <v>-0.224831001157343</v>
      </c>
      <c r="D1363">
        <v>-0.23176541993028199</v>
      </c>
      <c r="E1363">
        <v>0.20219591632565201</v>
      </c>
      <c r="F1363">
        <f t="shared" si="63"/>
        <v>6.9344187729389883E-3</v>
      </c>
      <c r="G1363" s="2">
        <f t="shared" si="64"/>
        <v>2.378196582419707E-4</v>
      </c>
      <c r="M1363">
        <v>0.24807610013052001</v>
      </c>
      <c r="N1363">
        <v>0.248053730432991</v>
      </c>
      <c r="O1363" s="1">
        <v>6.8789307083171803E-10</v>
      </c>
      <c r="P1363" s="2">
        <f t="shared" si="65"/>
        <v>0.72744353556864505</v>
      </c>
    </row>
    <row r="1364" spans="2:16" x14ac:dyDescent="0.25">
      <c r="B1364">
        <v>1363</v>
      </c>
      <c r="C1364">
        <v>-0.22103580593657099</v>
      </c>
      <c r="D1364">
        <v>-0.22257872696932299</v>
      </c>
      <c r="E1364">
        <v>0.19542731002411901</v>
      </c>
      <c r="F1364">
        <f t="shared" si="63"/>
        <v>1.5429210327519982E-3</v>
      </c>
      <c r="G1364" s="2">
        <f t="shared" si="64"/>
        <v>1.2181538562930052E-5</v>
      </c>
      <c r="M1364">
        <v>0.99505006189036505</v>
      </c>
      <c r="N1364">
        <v>0.99501904349768699</v>
      </c>
      <c r="O1364" s="1">
        <v>2.0990577325887399E-9</v>
      </c>
      <c r="P1364" s="2">
        <f t="shared" si="65"/>
        <v>0.45836789974477843</v>
      </c>
    </row>
    <row r="1365" spans="2:16" x14ac:dyDescent="0.25">
      <c r="B1365">
        <v>1364</v>
      </c>
      <c r="C1365">
        <v>-0.24592124027904599</v>
      </c>
      <c r="D1365">
        <v>-0.21972187357269901</v>
      </c>
      <c r="E1365">
        <v>0.24190902568153699</v>
      </c>
      <c r="F1365">
        <f t="shared" si="63"/>
        <v>-2.6199366706346983E-2</v>
      </c>
      <c r="G1365" s="2">
        <f t="shared" si="64"/>
        <v>2.837458477953891E-3</v>
      </c>
      <c r="M1365">
        <v>0.248076120296185</v>
      </c>
      <c r="N1365">
        <v>0.24805625337669099</v>
      </c>
      <c r="O1365" s="1">
        <v>3.9085382673160602E-10</v>
      </c>
      <c r="P1365" s="2">
        <f t="shared" si="65"/>
        <v>1.0098263421960645</v>
      </c>
    </row>
    <row r="1366" spans="2:16" x14ac:dyDescent="0.25">
      <c r="B1366">
        <v>1365</v>
      </c>
      <c r="C1366">
        <v>-0.235080944863513</v>
      </c>
      <c r="D1366">
        <v>-0.224038867365597</v>
      </c>
      <c r="E1366">
        <v>0.221052202551689</v>
      </c>
      <c r="F1366">
        <f t="shared" si="63"/>
        <v>-1.1042077497915997E-2</v>
      </c>
      <c r="G1366" s="2">
        <f t="shared" si="64"/>
        <v>5.5157774526798625E-4</v>
      </c>
      <c r="M1366">
        <v>0.99505848788592299</v>
      </c>
      <c r="N1366">
        <v>0.99501222545651202</v>
      </c>
      <c r="O1366" s="1">
        <v>2.3015926788810699E-9</v>
      </c>
      <c r="P1366" s="2">
        <f t="shared" si="65"/>
        <v>0.92988320420166171</v>
      </c>
    </row>
    <row r="1367" spans="2:16" x14ac:dyDescent="0.25">
      <c r="B1367">
        <v>1366</v>
      </c>
      <c r="C1367">
        <v>-0.20757988891256299</v>
      </c>
      <c r="D1367">
        <v>-0.22713553572880399</v>
      </c>
      <c r="E1367">
        <v>0.172357641123808</v>
      </c>
      <c r="F1367">
        <f t="shared" si="63"/>
        <v>1.9555646816241001E-2</v>
      </c>
      <c r="G1367" s="2">
        <f t="shared" si="64"/>
        <v>2.2187778847985876E-3</v>
      </c>
      <c r="M1367">
        <v>0.24802919290643699</v>
      </c>
      <c r="N1367">
        <v>0.248040289688988</v>
      </c>
      <c r="O1367" s="1">
        <v>7.6152147022890901E-10</v>
      </c>
      <c r="P1367" s="2">
        <f t="shared" si="65"/>
        <v>0.16170073700933768</v>
      </c>
    </row>
    <row r="1368" spans="2:16" x14ac:dyDescent="0.25">
      <c r="B1368">
        <v>1367</v>
      </c>
      <c r="C1368">
        <v>-0.23747525513279399</v>
      </c>
      <c r="D1368">
        <v>-0.21755714662414</v>
      </c>
      <c r="E1368">
        <v>0.22557798720154301</v>
      </c>
      <c r="F1368">
        <f t="shared" si="63"/>
        <v>-1.9918108508653998E-2</v>
      </c>
      <c r="G1368" s="2">
        <f t="shared" si="64"/>
        <v>1.7587312108076167E-3</v>
      </c>
      <c r="M1368">
        <v>0.99504045674010599</v>
      </c>
      <c r="N1368">
        <v>0.99505536792365401</v>
      </c>
      <c r="O1368" s="1">
        <v>2.11888089411985E-9</v>
      </c>
      <c r="P1368" s="2">
        <f t="shared" si="65"/>
        <v>0.10493435257246714</v>
      </c>
    </row>
    <row r="1369" spans="2:16" x14ac:dyDescent="0.25">
      <c r="B1369">
        <v>1368</v>
      </c>
      <c r="C1369">
        <v>-0.17935662249037601</v>
      </c>
      <c r="D1369">
        <v>-0.227254587588019</v>
      </c>
      <c r="E1369">
        <v>0.12867519212462</v>
      </c>
      <c r="F1369">
        <f t="shared" si="63"/>
        <v>4.7897965097642992E-2</v>
      </c>
      <c r="G1369" s="2">
        <f t="shared" si="64"/>
        <v>1.7829505614983757E-2</v>
      </c>
      <c r="M1369">
        <v>0.24803884162432599</v>
      </c>
      <c r="N1369">
        <v>0.248021996351074</v>
      </c>
      <c r="O1369" s="1">
        <v>6.0581623052082201E-10</v>
      </c>
      <c r="P1369" s="2">
        <f t="shared" si="65"/>
        <v>0.4683981983947878</v>
      </c>
    </row>
    <row r="1370" spans="2:16" x14ac:dyDescent="0.25">
      <c r="B1370">
        <v>1369</v>
      </c>
      <c r="C1370">
        <v>-0.24070674845469101</v>
      </c>
      <c r="D1370">
        <v>-0.22497397518595599</v>
      </c>
      <c r="E1370">
        <v>0.231758955006519</v>
      </c>
      <c r="F1370">
        <f t="shared" si="63"/>
        <v>-1.5732773268735012E-2</v>
      </c>
      <c r="G1370" s="2">
        <f t="shared" si="64"/>
        <v>1.0680068639352495E-3</v>
      </c>
      <c r="M1370">
        <v>0.99513141002701899</v>
      </c>
      <c r="N1370">
        <v>0.99510481207258195</v>
      </c>
      <c r="O1370" s="1">
        <v>1.8612023175243499E-9</v>
      </c>
      <c r="P1370" s="2">
        <f t="shared" si="65"/>
        <v>0.38010439465614165</v>
      </c>
    </row>
    <row r="1371" spans="2:16" x14ac:dyDescent="0.25">
      <c r="B1371">
        <v>1370</v>
      </c>
      <c r="C1371">
        <v>-0.21251255263666799</v>
      </c>
      <c r="D1371">
        <v>-0.22710815118279101</v>
      </c>
      <c r="E1371">
        <v>0.18064634011261099</v>
      </c>
      <c r="F1371">
        <f t="shared" si="63"/>
        <v>1.4595598546123023E-2</v>
      </c>
      <c r="G1371" s="2">
        <f t="shared" si="64"/>
        <v>1.179273805308147E-3</v>
      </c>
      <c r="M1371">
        <v>0.24803938948248799</v>
      </c>
      <c r="N1371">
        <v>0.24804671010076501</v>
      </c>
      <c r="O1371" s="1">
        <v>5.5864345928464899E-10</v>
      </c>
      <c r="P1371" s="2">
        <f t="shared" si="65"/>
        <v>9.5931405026087505E-2</v>
      </c>
    </row>
    <row r="1372" spans="2:16" x14ac:dyDescent="0.25">
      <c r="B1372">
        <v>1371</v>
      </c>
      <c r="C1372">
        <v>-0.20570933149899001</v>
      </c>
      <c r="D1372">
        <v>-0.23250069951610899</v>
      </c>
      <c r="E1372">
        <v>0.169265316263046</v>
      </c>
      <c r="F1372">
        <f t="shared" si="63"/>
        <v>2.6791368017118983E-2</v>
      </c>
      <c r="G1372" s="2">
        <f t="shared" si="64"/>
        <v>4.2405462387418297E-3</v>
      </c>
      <c r="M1372">
        <v>0.99502989576408796</v>
      </c>
      <c r="N1372">
        <v>0.99503801596039898</v>
      </c>
      <c r="O1372" s="1">
        <v>1.3789222458702099E-9</v>
      </c>
      <c r="P1372" s="2">
        <f t="shared" si="65"/>
        <v>4.7818206085974931E-2</v>
      </c>
    </row>
    <row r="1373" spans="2:16" x14ac:dyDescent="0.25">
      <c r="B1373">
        <v>1372</v>
      </c>
      <c r="C1373">
        <v>-0.22925630684246001</v>
      </c>
      <c r="D1373">
        <v>-0.25240151184055098</v>
      </c>
      <c r="E1373">
        <v>0.210233816908177</v>
      </c>
      <c r="F1373">
        <f t="shared" si="63"/>
        <v>2.3145204998090974E-2</v>
      </c>
      <c r="G1373" s="2">
        <f t="shared" si="64"/>
        <v>2.5481177209355963E-3</v>
      </c>
      <c r="M1373">
        <v>0.24796934359734499</v>
      </c>
      <c r="N1373">
        <v>0.247971113022669</v>
      </c>
      <c r="O1373" s="1">
        <v>2.5656986592481501E-10</v>
      </c>
      <c r="P1373" s="2">
        <f t="shared" si="65"/>
        <v>1.2202781359242803E-2</v>
      </c>
    </row>
    <row r="1374" spans="2:16" x14ac:dyDescent="0.25">
      <c r="B1374">
        <v>1373</v>
      </c>
      <c r="C1374">
        <v>-0.24572518767208701</v>
      </c>
      <c r="D1374">
        <v>-0.25679349883479902</v>
      </c>
      <c r="E1374">
        <v>0.241523471425929</v>
      </c>
      <c r="F1374">
        <f t="shared" si="63"/>
        <v>1.1068311162712008E-2</v>
      </c>
      <c r="G1374" s="2">
        <f t="shared" si="64"/>
        <v>5.0722818478611564E-4</v>
      </c>
      <c r="M1374">
        <v>0.99523710713125801</v>
      </c>
      <c r="N1374">
        <v>0.99524237418483696</v>
      </c>
      <c r="O1374" s="1">
        <v>2.17462287915897E-9</v>
      </c>
      <c r="P1374" s="2">
        <f t="shared" si="65"/>
        <v>1.2757087065256988E-2</v>
      </c>
    </row>
    <row r="1375" spans="2:16" x14ac:dyDescent="0.25">
      <c r="B1375">
        <v>1374</v>
      </c>
      <c r="C1375">
        <v>-0.26868692123361199</v>
      </c>
      <c r="D1375">
        <v>-0.256835393723988</v>
      </c>
      <c r="E1375">
        <v>0.28877064656798801</v>
      </c>
      <c r="F1375">
        <f t="shared" si="63"/>
        <v>-1.1851527509623982E-2</v>
      </c>
      <c r="G1375" s="2">
        <f t="shared" si="64"/>
        <v>4.864022918558813E-4</v>
      </c>
      <c r="M1375">
        <v>0.247978178941579</v>
      </c>
      <c r="N1375">
        <v>0.24800612666164201</v>
      </c>
      <c r="O1375" s="1">
        <v>5.1544423647654901E-10</v>
      </c>
      <c r="P1375" s="2">
        <f t="shared" si="65"/>
        <v>1.5153434677232753</v>
      </c>
    </row>
    <row r="1376" spans="2:16" x14ac:dyDescent="0.25">
      <c r="B1376">
        <v>1375</v>
      </c>
      <c r="C1376">
        <v>-0.28140341373984701</v>
      </c>
      <c r="D1376">
        <v>-0.25903629847973803</v>
      </c>
      <c r="E1376">
        <v>0.316751525057758</v>
      </c>
      <c r="F1376">
        <f t="shared" si="63"/>
        <v>-2.2367115260108983E-2</v>
      </c>
      <c r="G1376" s="2">
        <f t="shared" si="64"/>
        <v>1.579433106021432E-3</v>
      </c>
      <c r="M1376">
        <v>0.99510559311382896</v>
      </c>
      <c r="N1376">
        <v>0.99514771040771</v>
      </c>
      <c r="O1376" s="1">
        <v>1.62104709370478E-9</v>
      </c>
      <c r="P1376" s="2">
        <f t="shared" si="65"/>
        <v>1.0942719990988978</v>
      </c>
    </row>
    <row r="1377" spans="2:16" x14ac:dyDescent="0.25">
      <c r="B1377">
        <v>1376</v>
      </c>
      <c r="C1377">
        <v>-0.29210607116445197</v>
      </c>
      <c r="D1377">
        <v>-0.25802434371121102</v>
      </c>
      <c r="E1377">
        <v>0.34130382724452801</v>
      </c>
      <c r="F1377">
        <f t="shared" si="63"/>
        <v>-3.4081727453240951E-2</v>
      </c>
      <c r="G1377" s="2">
        <f t="shared" si="64"/>
        <v>3.4033141543554752E-3</v>
      </c>
      <c r="M1377">
        <v>0.24793992544294</v>
      </c>
      <c r="N1377">
        <v>0.247961149189554</v>
      </c>
      <c r="O1377" s="1">
        <v>1.9840994414398801E-10</v>
      </c>
      <c r="P1377" s="2">
        <f t="shared" si="65"/>
        <v>2.2702865135061012</v>
      </c>
    </row>
    <row r="1378" spans="2:16" x14ac:dyDescent="0.25">
      <c r="B1378">
        <v>1377</v>
      </c>
      <c r="C1378">
        <v>-0.25782179173777597</v>
      </c>
      <c r="D1378">
        <v>-0.25454488709874301</v>
      </c>
      <c r="E1378">
        <v>0.26588830517950901</v>
      </c>
      <c r="F1378">
        <f t="shared" si="63"/>
        <v>-3.2769046390329626E-3</v>
      </c>
      <c r="G1378" s="2">
        <f t="shared" si="64"/>
        <v>4.0385770280743046E-5</v>
      </c>
      <c r="M1378">
        <v>0.99519640176468604</v>
      </c>
      <c r="N1378">
        <v>0.99526931675006103</v>
      </c>
      <c r="O1378" s="1">
        <v>2.1158332171822398E-9</v>
      </c>
      <c r="P1378" s="2">
        <f t="shared" si="65"/>
        <v>2.5127666250151814</v>
      </c>
    </row>
    <row r="1379" spans="2:16" x14ac:dyDescent="0.25">
      <c r="B1379">
        <v>1378</v>
      </c>
      <c r="C1379">
        <v>-0.249239770168039</v>
      </c>
      <c r="D1379">
        <v>-0.25289162258198999</v>
      </c>
      <c r="E1379">
        <v>0.248481852133668</v>
      </c>
      <c r="F1379">
        <f t="shared" si="63"/>
        <v>3.6518524139509956E-3</v>
      </c>
      <c r="G1379" s="2">
        <f t="shared" si="64"/>
        <v>5.3670020320460869E-5</v>
      </c>
      <c r="M1379">
        <v>0.24797244377470601</v>
      </c>
      <c r="N1379">
        <v>0.247951956711883</v>
      </c>
      <c r="O1379" s="1">
        <v>4.01816222727024E-10</v>
      </c>
      <c r="P1379" s="2">
        <f t="shared" si="65"/>
        <v>1.044556489694316</v>
      </c>
    </row>
    <row r="1380" spans="2:16" x14ac:dyDescent="0.25">
      <c r="B1380">
        <v>1379</v>
      </c>
      <c r="C1380">
        <v>-0.25515416073616998</v>
      </c>
      <c r="D1380">
        <v>-0.25438385312677098</v>
      </c>
      <c r="E1380">
        <v>0.26041458296391801</v>
      </c>
      <c r="F1380">
        <f t="shared" si="63"/>
        <v>-7.7030760939900134E-4</v>
      </c>
      <c r="G1380" s="2">
        <f t="shared" si="64"/>
        <v>2.2785736741180117E-6</v>
      </c>
      <c r="M1380">
        <v>0.99532741981751505</v>
      </c>
      <c r="N1380">
        <v>0.99529417514933005</v>
      </c>
      <c r="O1380" s="1">
        <v>1.55734927782473E-9</v>
      </c>
      <c r="P1380" s="2">
        <f t="shared" si="65"/>
        <v>0.70967250472813592</v>
      </c>
    </row>
    <row r="1381" spans="2:16" x14ac:dyDescent="0.25">
      <c r="B1381">
        <v>1380</v>
      </c>
      <c r="C1381">
        <v>-0.24843279398634499</v>
      </c>
      <c r="D1381">
        <v>-0.26256273837479199</v>
      </c>
      <c r="E1381">
        <v>0.24687541251144601</v>
      </c>
      <c r="F1381">
        <f t="shared" si="63"/>
        <v>1.4129944388447002E-2</v>
      </c>
      <c r="G1381" s="2">
        <f t="shared" si="64"/>
        <v>8.0872909290368551E-4</v>
      </c>
      <c r="M1381">
        <v>0.24800348844028</v>
      </c>
      <c r="N1381">
        <v>0.24794813489772999</v>
      </c>
      <c r="O1381" s="1">
        <v>6.1719208260472596E-10</v>
      </c>
      <c r="P1381" s="2">
        <f t="shared" si="65"/>
        <v>4.9644426090255021</v>
      </c>
    </row>
    <row r="1382" spans="2:16" x14ac:dyDescent="0.25">
      <c r="B1382">
        <v>1381</v>
      </c>
      <c r="C1382">
        <v>-0.28836912238442303</v>
      </c>
      <c r="D1382">
        <v>-0.25418664464869301</v>
      </c>
      <c r="E1382">
        <v>0.33262700297905001</v>
      </c>
      <c r="F1382">
        <f t="shared" si="63"/>
        <v>-3.4182477735730021E-2</v>
      </c>
      <c r="G1382" s="2">
        <f t="shared" si="64"/>
        <v>3.5127688783200533E-3</v>
      </c>
      <c r="M1382">
        <v>0.995397894571876</v>
      </c>
      <c r="N1382">
        <v>0.99530451059517799</v>
      </c>
      <c r="O1382" s="1">
        <v>2.2898971830210001E-9</v>
      </c>
      <c r="P1382" s="2">
        <f t="shared" si="65"/>
        <v>3.808278890682899</v>
      </c>
    </row>
    <row r="1383" spans="2:16" x14ac:dyDescent="0.25">
      <c r="B1383">
        <v>1382</v>
      </c>
      <c r="C1383">
        <v>-0.255998228303918</v>
      </c>
      <c r="D1383">
        <v>-0.23180183444517199</v>
      </c>
      <c r="E1383">
        <v>0.26214037157898101</v>
      </c>
      <c r="F1383">
        <f t="shared" si="63"/>
        <v>-2.4196393858746001E-2</v>
      </c>
      <c r="G1383" s="2">
        <f t="shared" si="64"/>
        <v>2.2334044628115001E-3</v>
      </c>
      <c r="M1383">
        <v>0.247945944110705</v>
      </c>
      <c r="N1383">
        <v>0.247963664420736</v>
      </c>
      <c r="O1383" s="1">
        <v>7.9279720313287598E-10</v>
      </c>
      <c r="P1383" s="2">
        <f t="shared" si="65"/>
        <v>0.39607781959104627</v>
      </c>
    </row>
    <row r="1384" spans="2:16" x14ac:dyDescent="0.25">
      <c r="B1384">
        <v>1383</v>
      </c>
      <c r="C1384">
        <v>-0.22110179544372499</v>
      </c>
      <c r="D1384">
        <v>-0.22822777274734299</v>
      </c>
      <c r="E1384">
        <v>0.19554401579375599</v>
      </c>
      <c r="F1384">
        <f t="shared" si="63"/>
        <v>7.1259773036179974E-3</v>
      </c>
      <c r="G1384" s="2">
        <f t="shared" si="64"/>
        <v>2.596834903157404E-4</v>
      </c>
      <c r="M1384">
        <v>0.99523222565247704</v>
      </c>
      <c r="N1384">
        <v>0.99526251530297305</v>
      </c>
      <c r="O1384" s="1">
        <v>3.2231893634254599E-9</v>
      </c>
      <c r="P1384" s="2">
        <f t="shared" si="65"/>
        <v>0.28464443869820394</v>
      </c>
    </row>
    <row r="1385" spans="2:16" x14ac:dyDescent="0.25">
      <c r="B1385">
        <v>1384</v>
      </c>
      <c r="C1385">
        <v>-0.25963388273772903</v>
      </c>
      <c r="D1385">
        <v>-0.22919518219274199</v>
      </c>
      <c r="E1385">
        <v>0.26963901226187598</v>
      </c>
      <c r="F1385">
        <f t="shared" si="63"/>
        <v>-3.0438700544987041E-2</v>
      </c>
      <c r="G1385" s="2">
        <f t="shared" si="64"/>
        <v>3.436129227352141E-3</v>
      </c>
      <c r="M1385">
        <v>2.31649314</v>
      </c>
      <c r="N1385">
        <v>2.3165753791564301</v>
      </c>
      <c r="O1385" s="1">
        <v>6.7984551468142001E-9</v>
      </c>
      <c r="P1385" s="2">
        <f t="shared" si="65"/>
        <v>0.99482583973637062</v>
      </c>
    </row>
    <row r="1386" spans="2:16" x14ac:dyDescent="0.25">
      <c r="B1386">
        <v>1385</v>
      </c>
      <c r="C1386">
        <v>-0.225130086551005</v>
      </c>
      <c r="D1386">
        <v>-0.223288533234347</v>
      </c>
      <c r="E1386">
        <v>0.20273422348185199</v>
      </c>
      <c r="F1386">
        <f t="shared" si="63"/>
        <v>-1.8415533166580011E-3</v>
      </c>
      <c r="G1386" s="2">
        <f t="shared" si="64"/>
        <v>1.6727903951538118E-5</v>
      </c>
      <c r="M1386">
        <v>1.08289312</v>
      </c>
      <c r="N1386">
        <v>1.08306305423858</v>
      </c>
      <c r="O1386" s="1">
        <v>2.0775644653745999E-9</v>
      </c>
      <c r="P1386" s="2">
        <f t="shared" si="65"/>
        <v>13.899759031799316</v>
      </c>
    </row>
    <row r="1387" spans="2:16" x14ac:dyDescent="0.25">
      <c r="B1387">
        <v>1386</v>
      </c>
      <c r="C1387">
        <v>-0.226909155450356</v>
      </c>
      <c r="D1387">
        <v>-0.23247854311230101</v>
      </c>
      <c r="E1387">
        <v>0.205951059308775</v>
      </c>
      <c r="F1387">
        <f t="shared" si="63"/>
        <v>5.5693876619450078E-3</v>
      </c>
      <c r="G1387" s="2">
        <f t="shared" si="64"/>
        <v>1.5060897978932459E-4</v>
      </c>
      <c r="M1387">
        <v>2.3188914299999999</v>
      </c>
      <c r="N1387">
        <v>2.3188357256533201</v>
      </c>
      <c r="O1387" s="1">
        <v>3.64511501938892E-9</v>
      </c>
      <c r="P1387" s="2">
        <f t="shared" si="65"/>
        <v>0.8512692253924955</v>
      </c>
    </row>
    <row r="1388" spans="2:16" x14ac:dyDescent="0.25">
      <c r="B1388">
        <v>1387</v>
      </c>
      <c r="C1388">
        <v>-0.25205699915762603</v>
      </c>
      <c r="D1388">
        <v>-0.23301489890232699</v>
      </c>
      <c r="E1388">
        <v>0.25413092329738901</v>
      </c>
      <c r="F1388">
        <f t="shared" si="63"/>
        <v>-1.9042100255299038E-2</v>
      </c>
      <c r="G1388" s="2">
        <f t="shared" si="64"/>
        <v>1.4268298301837758E-3</v>
      </c>
      <c r="M1388">
        <v>2.3172866349999999</v>
      </c>
      <c r="N1388">
        <v>2.3173916419359202</v>
      </c>
      <c r="O1388" s="1">
        <v>5.5428853891951297E-9</v>
      </c>
      <c r="P1388" s="2">
        <f t="shared" si="65"/>
        <v>1.9892990414099148</v>
      </c>
    </row>
    <row r="1389" spans="2:16" x14ac:dyDescent="0.25">
      <c r="B1389">
        <v>1388</v>
      </c>
      <c r="C1389">
        <v>-0.24611038504872201</v>
      </c>
      <c r="D1389">
        <v>-0.23856906295229099</v>
      </c>
      <c r="E1389">
        <v>0.24228128651532099</v>
      </c>
      <c r="F1389">
        <f t="shared" si="63"/>
        <v>-7.541322096431019E-3</v>
      </c>
      <c r="G1389" s="2">
        <f t="shared" si="64"/>
        <v>2.3473351896091403E-4</v>
      </c>
      <c r="M1389">
        <v>1.083085455</v>
      </c>
      <c r="N1389">
        <v>1.08321065832033</v>
      </c>
      <c r="O1389" s="1">
        <v>2.5457618545703502E-9</v>
      </c>
      <c r="P1389" s="2">
        <f t="shared" si="65"/>
        <v>6.1576346560180699</v>
      </c>
    </row>
    <row r="1390" spans="2:16" x14ac:dyDescent="0.25">
      <c r="B1390">
        <v>1389</v>
      </c>
      <c r="C1390">
        <v>-0.21624601630784401</v>
      </c>
      <c r="D1390">
        <v>-0.24339106807076899</v>
      </c>
      <c r="E1390">
        <v>0.18704935827604999</v>
      </c>
      <c r="F1390">
        <f t="shared" si="63"/>
        <v>2.7145051762924977E-2</v>
      </c>
      <c r="G1390" s="2">
        <f t="shared" si="64"/>
        <v>3.9393550558158956E-3</v>
      </c>
      <c r="M1390">
        <v>2.318994365</v>
      </c>
      <c r="N1390">
        <v>2.3191226459314498</v>
      </c>
      <c r="O1390" s="1">
        <v>3.7212986301933302E-9</v>
      </c>
      <c r="P1390" s="2">
        <f t="shared" si="65"/>
        <v>4.4221114747702934</v>
      </c>
    </row>
    <row r="1391" spans="2:16" x14ac:dyDescent="0.25">
      <c r="B1391">
        <v>1390</v>
      </c>
      <c r="C1391">
        <v>-0.24152885509397901</v>
      </c>
      <c r="D1391">
        <v>-0.23823792996643001</v>
      </c>
      <c r="E1391">
        <v>0.233344751372034</v>
      </c>
      <c r="F1391">
        <f t="shared" si="63"/>
        <v>-3.2909251275489992E-3</v>
      </c>
      <c r="G1391" s="2">
        <f t="shared" si="64"/>
        <v>4.6412821078911901E-5</v>
      </c>
      <c r="M1391">
        <v>2.3182621000000001</v>
      </c>
      <c r="N1391">
        <v>2.3182307901146202</v>
      </c>
      <c r="O1391" s="1">
        <v>9.9623468144029994E-9</v>
      </c>
      <c r="P1391" s="2">
        <f t="shared" si="65"/>
        <v>9.8401404886463664E-2</v>
      </c>
    </row>
    <row r="1392" spans="2:16" x14ac:dyDescent="0.25">
      <c r="B1392">
        <v>1391</v>
      </c>
      <c r="C1392">
        <v>-0.241363297712819</v>
      </c>
      <c r="D1392">
        <v>-0.23731356165353601</v>
      </c>
      <c r="E1392">
        <v>0.23302496593122801</v>
      </c>
      <c r="F1392">
        <f t="shared" si="63"/>
        <v>-4.0497360592829934E-3</v>
      </c>
      <c r="G1392" s="2">
        <f t="shared" si="64"/>
        <v>7.0380279144412108E-5</v>
      </c>
      <c r="M1392">
        <v>1.08334832</v>
      </c>
      <c r="N1392">
        <v>1.0833623675193</v>
      </c>
      <c r="O1392" s="1">
        <v>3.1204301717444398E-9</v>
      </c>
      <c r="P1392" s="2">
        <f t="shared" si="65"/>
        <v>6.3238972713113573E-2</v>
      </c>
    </row>
    <row r="1393" spans="2:16" x14ac:dyDescent="0.25">
      <c r="B1393">
        <v>1392</v>
      </c>
      <c r="C1393">
        <v>-0.243390809488364</v>
      </c>
      <c r="D1393">
        <v>-0.24260048720516</v>
      </c>
      <c r="E1393">
        <v>0.23695634457360501</v>
      </c>
      <c r="F1393">
        <f t="shared" si="63"/>
        <v>-7.90322283203998E-4</v>
      </c>
      <c r="G1393" s="2">
        <f t="shared" si="64"/>
        <v>2.6359678718573412E-6</v>
      </c>
      <c r="M1393">
        <v>2.319475475</v>
      </c>
      <c r="N1393">
        <v>2.3194175421925398</v>
      </c>
      <c r="O1393" s="1">
        <v>6.15821683517952E-9</v>
      </c>
      <c r="P1393" s="2">
        <f t="shared" si="65"/>
        <v>0.54499707789446084</v>
      </c>
    </row>
    <row r="1394" spans="2:16" x14ac:dyDescent="0.25">
      <c r="B1394">
        <v>1393</v>
      </c>
      <c r="C1394">
        <v>-0.23225619553089399</v>
      </c>
      <c r="D1394">
        <v>-0.24201021203671799</v>
      </c>
      <c r="E1394">
        <v>0.21577176144993901</v>
      </c>
      <c r="F1394">
        <f t="shared" si="63"/>
        <v>9.754016505823998E-3</v>
      </c>
      <c r="G1394" s="2">
        <f t="shared" si="64"/>
        <v>4.4093275856192389E-4</v>
      </c>
      <c r="M1394">
        <v>2.3188200700000001</v>
      </c>
      <c r="N1394">
        <v>2.3188209374891402</v>
      </c>
      <c r="O1394" s="1">
        <v>8.2722433296392604E-9</v>
      </c>
      <c r="P1394" s="2">
        <f t="shared" si="65"/>
        <v>9.0971382025924939E-5</v>
      </c>
    </row>
    <row r="1395" spans="2:16" x14ac:dyDescent="0.25">
      <c r="B1395">
        <v>1394</v>
      </c>
      <c r="C1395">
        <v>-0.22836909192557101</v>
      </c>
      <c r="D1395">
        <v>-0.240857508417438</v>
      </c>
      <c r="E1395">
        <v>0.20860976858763899</v>
      </c>
      <c r="F1395">
        <f t="shared" si="63"/>
        <v>1.2488416491866994E-2</v>
      </c>
      <c r="G1395" s="2">
        <f t="shared" si="64"/>
        <v>7.4761861599407771E-4</v>
      </c>
      <c r="M1395">
        <v>1.0834759949999999</v>
      </c>
      <c r="N1395">
        <v>1.08346903981496</v>
      </c>
      <c r="O1395" s="1">
        <v>3.00350684072073E-9</v>
      </c>
      <c r="P1395" s="2">
        <f t="shared" si="65"/>
        <v>1.6106039208381624E-2</v>
      </c>
    </row>
    <row r="1396" spans="2:16" x14ac:dyDescent="0.25">
      <c r="B1396">
        <v>1395</v>
      </c>
      <c r="C1396">
        <v>-0.22092612689178401</v>
      </c>
      <c r="D1396">
        <v>-0.243195552843678</v>
      </c>
      <c r="E1396">
        <v>0.195233414173619</v>
      </c>
      <c r="F1396">
        <f t="shared" si="63"/>
        <v>2.226942595189399E-2</v>
      </c>
      <c r="G1396" s="2">
        <f t="shared" si="64"/>
        <v>2.5401765078280434E-3</v>
      </c>
      <c r="M1396">
        <v>2.3196096599999998</v>
      </c>
      <c r="N1396">
        <v>2.3196248922804701</v>
      </c>
      <c r="O1396" s="1">
        <v>8.4802615180037394E-9</v>
      </c>
      <c r="P1396" s="2">
        <f t="shared" si="65"/>
        <v>2.7360284565869159E-2</v>
      </c>
    </row>
    <row r="1397" spans="2:16" x14ac:dyDescent="0.25">
      <c r="B1397">
        <v>1396</v>
      </c>
      <c r="C1397">
        <v>-0.255947230939786</v>
      </c>
      <c r="D1397">
        <v>-0.23990026408500301</v>
      </c>
      <c r="E1397">
        <v>0.26203594010297598</v>
      </c>
      <c r="F1397">
        <f t="shared" si="63"/>
        <v>-1.604696685478299E-2</v>
      </c>
      <c r="G1397" s="2">
        <f t="shared" si="64"/>
        <v>9.8270926170398011E-4</v>
      </c>
      <c r="M1397">
        <v>2.319623725</v>
      </c>
      <c r="N1397">
        <v>2.3195165556491002</v>
      </c>
      <c r="O1397" s="1">
        <v>1.6495024591415402E-8</v>
      </c>
      <c r="P1397" s="2">
        <f t="shared" si="65"/>
        <v>0.69628691419275912</v>
      </c>
    </row>
    <row r="1398" spans="2:16" x14ac:dyDescent="0.25">
      <c r="B1398">
        <v>1397</v>
      </c>
      <c r="C1398">
        <v>-0.25706311076017901</v>
      </c>
      <c r="D1398">
        <v>-0.24269539079855401</v>
      </c>
      <c r="E1398">
        <v>0.26432577165479998</v>
      </c>
      <c r="F1398">
        <f t="shared" si="63"/>
        <v>-1.4367719961625003E-2</v>
      </c>
      <c r="G1398" s="2">
        <f t="shared" si="64"/>
        <v>7.8097332546623406E-4</v>
      </c>
      <c r="M1398">
        <v>1.08373856</v>
      </c>
      <c r="N1398">
        <v>1.08359475514618</v>
      </c>
      <c r="O1398" s="1">
        <v>4.3027388033244099E-9</v>
      </c>
      <c r="P1398" s="2">
        <f t="shared" si="65"/>
        <v>4.806202962221465</v>
      </c>
    </row>
    <row r="1399" spans="2:16" x14ac:dyDescent="0.25">
      <c r="B1399">
        <v>1398</v>
      </c>
      <c r="C1399">
        <v>-0.24095107967711299</v>
      </c>
      <c r="D1399">
        <v>-0.24355447277189299</v>
      </c>
      <c r="E1399">
        <v>0.23222969119026601</v>
      </c>
      <c r="F1399">
        <f t="shared" si="63"/>
        <v>2.6033930947799988E-3</v>
      </c>
      <c r="G1399" s="2">
        <f t="shared" si="64"/>
        <v>2.9185138089837273E-5</v>
      </c>
      <c r="M1399">
        <v>2.3199691800000002</v>
      </c>
      <c r="N1399">
        <v>2.3198692558935798</v>
      </c>
      <c r="O1399" s="1">
        <v>1.2688978869804401E-8</v>
      </c>
      <c r="P1399" s="2">
        <f t="shared" si="65"/>
        <v>0.78688972110003574</v>
      </c>
    </row>
    <row r="1400" spans="2:16" x14ac:dyDescent="0.25">
      <c r="B1400">
        <v>1399</v>
      </c>
      <c r="C1400">
        <v>-0.239370383864067</v>
      </c>
      <c r="D1400">
        <v>-0.23981436175675899</v>
      </c>
      <c r="E1400">
        <v>0.22919272268492399</v>
      </c>
      <c r="F1400">
        <f t="shared" si="63"/>
        <v>4.4397789269198795E-4</v>
      </c>
      <c r="G1400" s="2">
        <f t="shared" si="64"/>
        <v>8.6004637010311344E-7</v>
      </c>
      <c r="M1400">
        <v>2.3201726549999999</v>
      </c>
      <c r="N1400">
        <v>2.32004136443916</v>
      </c>
      <c r="O1400" s="1">
        <v>1.26700316606658E-8</v>
      </c>
      <c r="P1400" s="2">
        <f t="shared" si="65"/>
        <v>1.3604710570043816</v>
      </c>
    </row>
    <row r="1401" spans="2:16" x14ac:dyDescent="0.25">
      <c r="B1401">
        <v>1400</v>
      </c>
      <c r="C1401">
        <v>-0.23160737357198399</v>
      </c>
      <c r="D1401">
        <v>-0.24200993096651199</v>
      </c>
      <c r="E1401">
        <v>0.21456790197165099</v>
      </c>
      <c r="F1401">
        <f t="shared" si="63"/>
        <v>1.0402557394528E-2</v>
      </c>
      <c r="G1401" s="2">
        <f t="shared" si="64"/>
        <v>5.0433079389827122E-4</v>
      </c>
      <c r="M1401">
        <v>1.08390001</v>
      </c>
      <c r="N1401">
        <v>1.08368958571886</v>
      </c>
      <c r="O1401" s="1">
        <v>3.41670065927957E-9</v>
      </c>
      <c r="P1401" s="2">
        <f t="shared" si="65"/>
        <v>12.959396361822341</v>
      </c>
    </row>
    <row r="1402" spans="2:16" x14ac:dyDescent="0.25">
      <c r="B1402">
        <v>1401</v>
      </c>
      <c r="C1402">
        <v>-0.24856463510947799</v>
      </c>
      <c r="D1402">
        <v>-0.24252800217260201</v>
      </c>
      <c r="E1402">
        <v>0.24713751130843201</v>
      </c>
      <c r="F1402">
        <f t="shared" si="63"/>
        <v>-6.0366329368759797E-3</v>
      </c>
      <c r="G1402" s="2">
        <f t="shared" si="64"/>
        <v>1.4745206837134885E-4</v>
      </c>
      <c r="M1402">
        <v>2.3200836800000002</v>
      </c>
      <c r="N1402">
        <v>2.3200535844397301</v>
      </c>
      <c r="O1402" s="1">
        <v>1.21459267922425E-8</v>
      </c>
      <c r="P1402" s="2">
        <f t="shared" si="65"/>
        <v>7.4571727910517721E-2</v>
      </c>
    </row>
    <row r="1403" spans="2:16" x14ac:dyDescent="0.25">
      <c r="B1403">
        <v>1402</v>
      </c>
      <c r="C1403">
        <v>-0.245730711635059</v>
      </c>
      <c r="D1403">
        <v>-0.24161430387263499</v>
      </c>
      <c r="E1403">
        <v>0.24153433056269</v>
      </c>
      <c r="F1403">
        <f t="shared" si="63"/>
        <v>-4.1164077624240014E-3</v>
      </c>
      <c r="G1403" s="2">
        <f t="shared" si="64"/>
        <v>7.0154883684936728E-5</v>
      </c>
      <c r="M1403">
        <v>2.3206015149999999</v>
      </c>
      <c r="N1403">
        <v>2.3206538646353301</v>
      </c>
      <c r="O1403" s="1">
        <v>1.4806037522160201E-8</v>
      </c>
      <c r="P1403" s="2">
        <f t="shared" si="65"/>
        <v>0.18509235270419999</v>
      </c>
    </row>
    <row r="1404" spans="2:16" x14ac:dyDescent="0.25">
      <c r="B1404">
        <v>1403</v>
      </c>
      <c r="C1404">
        <v>-0.233443380194781</v>
      </c>
      <c r="D1404">
        <v>-0.24099805028659599</v>
      </c>
      <c r="E1404">
        <v>0.21798324702706001</v>
      </c>
      <c r="F1404">
        <f t="shared" si="63"/>
        <v>7.5546700918149856E-3</v>
      </c>
      <c r="G1404" s="2">
        <f t="shared" si="64"/>
        <v>2.6182305738880432E-4</v>
      </c>
      <c r="M1404">
        <v>1.083893545</v>
      </c>
      <c r="N1404">
        <v>1.0838002450992199</v>
      </c>
      <c r="O1404" s="1">
        <v>4.6955497216064604E-9</v>
      </c>
      <c r="P1404" s="2">
        <f t="shared" si="65"/>
        <v>1.853855672217205</v>
      </c>
    </row>
    <row r="1405" spans="2:16" x14ac:dyDescent="0.25">
      <c r="B1405">
        <v>1404</v>
      </c>
      <c r="C1405">
        <v>-0.25777264264668598</v>
      </c>
      <c r="D1405">
        <v>-0.24205036825819801</v>
      </c>
      <c r="E1405">
        <v>0.26578694118822399</v>
      </c>
      <c r="F1405">
        <f t="shared" si="63"/>
        <v>-1.5722274388487972E-2</v>
      </c>
      <c r="G1405" s="2">
        <f t="shared" si="64"/>
        <v>9.300303124066988E-4</v>
      </c>
      <c r="M1405">
        <v>2.320055365</v>
      </c>
      <c r="N1405">
        <v>2.3202686786236</v>
      </c>
      <c r="O1405" s="1">
        <v>1.6615860513850602E-8</v>
      </c>
      <c r="P1405" s="2">
        <f t="shared" si="65"/>
        <v>2.7385101105917142</v>
      </c>
    </row>
    <row r="1406" spans="2:16" x14ac:dyDescent="0.25">
      <c r="B1406">
        <v>1405</v>
      </c>
      <c r="C1406">
        <v>-0.24693918410360699</v>
      </c>
      <c r="D1406">
        <v>-0.24276640544641101</v>
      </c>
      <c r="E1406">
        <v>0.24391584258302099</v>
      </c>
      <c r="F1406">
        <f t="shared" si="63"/>
        <v>-4.1727786571959802E-3</v>
      </c>
      <c r="G1406" s="2">
        <f t="shared" si="64"/>
        <v>7.1385612092924152E-5</v>
      </c>
      <c r="M1406">
        <v>2.321339075</v>
      </c>
      <c r="N1406">
        <v>2.3212206030226099</v>
      </c>
      <c r="O1406" s="1">
        <v>6.20095916205152E-9</v>
      </c>
      <c r="P1406" s="2">
        <f t="shared" si="65"/>
        <v>2.2634578070793308</v>
      </c>
    </row>
    <row r="1407" spans="2:16" x14ac:dyDescent="0.25">
      <c r="B1407">
        <v>1406</v>
      </c>
      <c r="C1407">
        <v>-0.25426336755100598</v>
      </c>
      <c r="D1407">
        <v>-0.241795551609087</v>
      </c>
      <c r="E1407">
        <v>0.25859944031351201</v>
      </c>
      <c r="F1407">
        <f t="shared" si="63"/>
        <v>-1.246781594191898E-2</v>
      </c>
      <c r="G1407" s="2">
        <f t="shared" si="64"/>
        <v>6.011089357854534E-4</v>
      </c>
      <c r="M1407">
        <v>1.0844005249999999</v>
      </c>
      <c r="N1407">
        <v>1.08390262081967</v>
      </c>
      <c r="O1407" s="1">
        <v>3.47334564404476E-9</v>
      </c>
      <c r="P1407" s="2">
        <f t="shared" si="65"/>
        <v>71.374576041705893</v>
      </c>
    </row>
    <row r="1408" spans="2:16" x14ac:dyDescent="0.25">
      <c r="B1408">
        <v>1407</v>
      </c>
      <c r="C1408">
        <v>-0.25790373442090098</v>
      </c>
      <c r="D1408">
        <v>-0.24587976528993799</v>
      </c>
      <c r="E1408">
        <v>0.26605734491298499</v>
      </c>
      <c r="F1408">
        <f t="shared" si="63"/>
        <v>-1.2023969130962986E-2</v>
      </c>
      <c r="G1408" s="2">
        <f t="shared" si="64"/>
        <v>5.4340102397712345E-4</v>
      </c>
      <c r="M1408">
        <v>2.3207720049999998</v>
      </c>
      <c r="N1408">
        <v>2.3204676696417601</v>
      </c>
      <c r="O1408" s="1">
        <v>1.5904438475065902E-8</v>
      </c>
      <c r="P1408" s="2">
        <f t="shared" si="65"/>
        <v>5.8235322435365351</v>
      </c>
    </row>
    <row r="1409" spans="2:16" x14ac:dyDescent="0.25">
      <c r="B1409">
        <v>1408</v>
      </c>
      <c r="C1409">
        <v>-0.25097903250665898</v>
      </c>
      <c r="D1409">
        <v>-0.243882093130905</v>
      </c>
      <c r="E1409">
        <v>0.25196189903191502</v>
      </c>
      <c r="F1409">
        <f t="shared" si="63"/>
        <v>-7.09693937575398E-3</v>
      </c>
      <c r="G1409" s="2">
        <f t="shared" si="64"/>
        <v>1.9989747932780725E-4</v>
      </c>
      <c r="M1409">
        <v>2.3215980950000001</v>
      </c>
      <c r="N1409">
        <v>2.3215124484160898</v>
      </c>
      <c r="O1409" s="1">
        <v>1.30937608573374E-8</v>
      </c>
      <c r="P1409" s="2">
        <f t="shared" si="65"/>
        <v>0.56021622934973447</v>
      </c>
    </row>
    <row r="1410" spans="2:16" x14ac:dyDescent="0.25">
      <c r="B1410">
        <v>1409</v>
      </c>
      <c r="C1410">
        <v>-0.25041318822735498</v>
      </c>
      <c r="D1410">
        <v>-0.247401975505122</v>
      </c>
      <c r="E1410">
        <v>0.25082705935275401</v>
      </c>
      <c r="F1410">
        <f t="shared" si="63"/>
        <v>-3.011212722232981E-3</v>
      </c>
      <c r="G1410" s="2">
        <f t="shared" si="64"/>
        <v>3.615001540079333E-5</v>
      </c>
      <c r="M1410">
        <v>1.0842148549999999</v>
      </c>
      <c r="N1410">
        <v>1.08395533384368</v>
      </c>
      <c r="O1410" s="1">
        <v>4.5762803033241203E-9</v>
      </c>
      <c r="P1410" s="2">
        <f t="shared" si="65"/>
        <v>14.717461805975528</v>
      </c>
    </row>
    <row r="1411" spans="2:16" x14ac:dyDescent="0.25">
      <c r="B1411">
        <v>1410</v>
      </c>
      <c r="C1411">
        <v>-0.23414139874145201</v>
      </c>
      <c r="D1411">
        <v>-0.24496795798404</v>
      </c>
      <c r="E1411">
        <v>0.21928877841841399</v>
      </c>
      <c r="F1411">
        <f t="shared" ref="F1411:F1474" si="66">C1411-D1411</f>
        <v>1.0826559242587991E-2</v>
      </c>
      <c r="G1411" s="2">
        <f t="shared" ref="G1411:G1474" si="67">F1411^2/E1411</f>
        <v>5.345206712293163E-4</v>
      </c>
      <c r="M1411">
        <v>2.3207910100000002</v>
      </c>
      <c r="N1411">
        <v>2.3205701289863399</v>
      </c>
      <c r="O1411" s="1">
        <v>1.42975822659244E-8</v>
      </c>
      <c r="P1411" s="2">
        <f t="shared" ref="P1411:P1474" si="68">(M1411-N1411)^2/O1411</f>
        <v>3.4123547106215804</v>
      </c>
    </row>
    <row r="1412" spans="2:16" x14ac:dyDescent="0.25">
      <c r="B1412">
        <v>1411</v>
      </c>
      <c r="C1412">
        <v>-0.25406795394475701</v>
      </c>
      <c r="D1412">
        <v>-0.24305994299007799</v>
      </c>
      <c r="E1412">
        <v>0.25820210088669998</v>
      </c>
      <c r="F1412">
        <f t="shared" si="66"/>
        <v>-1.1008010954679015E-2</v>
      </c>
      <c r="G1412" s="2">
        <f t="shared" si="67"/>
        <v>4.6930797527284954E-4</v>
      </c>
      <c r="M1412">
        <v>0.24801920059729801</v>
      </c>
      <c r="N1412">
        <v>0.248055207367779</v>
      </c>
      <c r="O1412" s="1">
        <v>3.6697372992425801E-10</v>
      </c>
      <c r="P1412" s="2">
        <f t="shared" si="68"/>
        <v>3.5329164317518269</v>
      </c>
    </row>
    <row r="1413" spans="2:16" x14ac:dyDescent="0.25">
      <c r="B1413">
        <v>1412</v>
      </c>
      <c r="C1413">
        <v>-0.225974561314779</v>
      </c>
      <c r="D1413">
        <v>-0.23827365542873399</v>
      </c>
      <c r="E1413">
        <v>0.204258009445627</v>
      </c>
      <c r="F1413">
        <f t="shared" si="66"/>
        <v>1.2299094113954995E-2</v>
      </c>
      <c r="G1413" s="2">
        <f t="shared" si="67"/>
        <v>7.4057177211545044E-4</v>
      </c>
      <c r="M1413">
        <v>0.99511575684336395</v>
      </c>
      <c r="N1413">
        <v>0.99518376336838499</v>
      </c>
      <c r="O1413" s="1">
        <v>1.6688376942000901E-9</v>
      </c>
      <c r="P1413" s="2">
        <f t="shared" si="68"/>
        <v>2.7713224967953534</v>
      </c>
    </row>
    <row r="1414" spans="2:16" x14ac:dyDescent="0.25">
      <c r="B1414">
        <v>1413</v>
      </c>
      <c r="C1414">
        <v>-0.24793419284144599</v>
      </c>
      <c r="D1414">
        <v>-0.23905150553605001</v>
      </c>
      <c r="E1414">
        <v>0.245885455919757</v>
      </c>
      <c r="F1414">
        <f t="shared" si="66"/>
        <v>-8.8826873053959865E-3</v>
      </c>
      <c r="G1414" s="2">
        <f t="shared" si="67"/>
        <v>3.2088979590233339E-4</v>
      </c>
      <c r="M1414">
        <v>0.248043520011931</v>
      </c>
      <c r="N1414">
        <v>0.24806421571047499</v>
      </c>
      <c r="O1414" s="1">
        <v>3.14427753986357E-10</v>
      </c>
      <c r="P1414" s="2">
        <f t="shared" si="68"/>
        <v>1.362195075954389</v>
      </c>
    </row>
    <row r="1415" spans="2:16" x14ac:dyDescent="0.25">
      <c r="B1415">
        <v>1414</v>
      </c>
      <c r="C1415">
        <v>-0.25083077385956098</v>
      </c>
      <c r="D1415">
        <v>-0.232334629222611</v>
      </c>
      <c r="E1415">
        <v>0.25166430845994497</v>
      </c>
      <c r="F1415">
        <f t="shared" si="66"/>
        <v>-1.8496144636949985E-2</v>
      </c>
      <c r="G1415" s="2">
        <f t="shared" si="67"/>
        <v>1.3593797568057756E-3</v>
      </c>
      <c r="M1415">
        <v>0.99510607102738502</v>
      </c>
      <c r="N1415">
        <v>0.99515941573458799</v>
      </c>
      <c r="O1415" s="1">
        <v>2.1418955948283701E-9</v>
      </c>
      <c r="P1415" s="2">
        <f t="shared" si="68"/>
        <v>1.3285697927769458</v>
      </c>
    </row>
    <row r="1416" spans="2:16" x14ac:dyDescent="0.25">
      <c r="B1416">
        <v>1415</v>
      </c>
      <c r="C1416">
        <v>-0.273024319769403</v>
      </c>
      <c r="D1416">
        <v>-0.22669513968350599</v>
      </c>
      <c r="E1416">
        <v>0.29816911674218</v>
      </c>
      <c r="F1416">
        <f t="shared" si="66"/>
        <v>-4.6329180085897009E-2</v>
      </c>
      <c r="G1416" s="2">
        <f t="shared" si="67"/>
        <v>7.1985755965712998E-3</v>
      </c>
      <c r="M1416">
        <v>0.24800704217511799</v>
      </c>
      <c r="N1416">
        <v>0.248050603321878</v>
      </c>
      <c r="O1416" s="1">
        <v>3.6717975110112602E-10</v>
      </c>
      <c r="P1416" s="2">
        <f t="shared" si="68"/>
        <v>5.1679688255064988</v>
      </c>
    </row>
    <row r="1417" spans="2:16" x14ac:dyDescent="0.25">
      <c r="B1417">
        <v>1416</v>
      </c>
      <c r="C1417">
        <v>-0.21950153710518</v>
      </c>
      <c r="D1417">
        <v>-0.208534493997582</v>
      </c>
      <c r="E1417">
        <v>0.19272369916614701</v>
      </c>
      <c r="F1417">
        <f t="shared" si="66"/>
        <v>-1.0967043107597996E-2</v>
      </c>
      <c r="G1417" s="2">
        <f t="shared" si="67"/>
        <v>6.2408533586843823E-4</v>
      </c>
      <c r="M1417">
        <v>0.99514959847442197</v>
      </c>
      <c r="N1417">
        <v>0.99519620769642103</v>
      </c>
      <c r="O1417" s="1">
        <v>1.00203854350014E-9</v>
      </c>
      <c r="P1417" s="2">
        <f t="shared" si="68"/>
        <v>2.1680000130229042</v>
      </c>
    </row>
    <row r="1418" spans="2:16" x14ac:dyDescent="0.25">
      <c r="B1418">
        <v>1417</v>
      </c>
      <c r="C1418">
        <v>-0.18028928010858</v>
      </c>
      <c r="D1418">
        <v>-0.21179906589688599</v>
      </c>
      <c r="E1418">
        <v>0.13001689808827999</v>
      </c>
      <c r="F1418">
        <f t="shared" si="66"/>
        <v>3.1509785788305988E-2</v>
      </c>
      <c r="G1418" s="2">
        <f t="shared" si="67"/>
        <v>7.6364427626229399E-3</v>
      </c>
      <c r="M1418">
        <v>0.24800438895028201</v>
      </c>
      <c r="N1418">
        <v>0.248040839335881</v>
      </c>
      <c r="O1418" s="1">
        <v>2.21403290996034E-10</v>
      </c>
      <c r="P1418" s="2">
        <f t="shared" si="68"/>
        <v>6.000952399297903</v>
      </c>
    </row>
    <row r="1419" spans="2:16" x14ac:dyDescent="0.25">
      <c r="B1419">
        <v>1418</v>
      </c>
      <c r="C1419">
        <v>-0.202188517951081</v>
      </c>
      <c r="D1419">
        <v>-0.21210979558347601</v>
      </c>
      <c r="E1419">
        <v>0.163520787165019</v>
      </c>
      <c r="F1419">
        <f t="shared" si="66"/>
        <v>9.9212776323950036E-3</v>
      </c>
      <c r="G1419" s="2">
        <f t="shared" si="67"/>
        <v>6.0195251971070687E-4</v>
      </c>
      <c r="M1419">
        <v>0.995130607958847</v>
      </c>
      <c r="N1419">
        <v>0.99522260016455799</v>
      </c>
      <c r="O1419" s="1">
        <v>1.4711469423439199E-9</v>
      </c>
      <c r="P1419" s="2">
        <f t="shared" si="68"/>
        <v>5.7523593789277392</v>
      </c>
    </row>
    <row r="1420" spans="2:16" x14ac:dyDescent="0.25">
      <c r="B1420">
        <v>1419</v>
      </c>
      <c r="C1420">
        <v>-0.220085566850798</v>
      </c>
      <c r="D1420">
        <v>-0.21175236859476301</v>
      </c>
      <c r="E1420">
        <v>0.19375062694414799</v>
      </c>
      <c r="F1420">
        <f t="shared" si="66"/>
        <v>-8.3331982560349849E-3</v>
      </c>
      <c r="G1420" s="2">
        <f t="shared" si="67"/>
        <v>3.5841015985152116E-4</v>
      </c>
      <c r="M1420">
        <v>0.24806466200132099</v>
      </c>
      <c r="N1420">
        <v>0.24807104183064599</v>
      </c>
      <c r="O1420" s="1">
        <v>2.27903503491435E-10</v>
      </c>
      <c r="P1420" s="2">
        <f t="shared" si="68"/>
        <v>0.17859410492844288</v>
      </c>
    </row>
    <row r="1421" spans="2:16" x14ac:dyDescent="0.25">
      <c r="B1421">
        <v>1420</v>
      </c>
      <c r="C1421">
        <v>-0.21092454134755501</v>
      </c>
      <c r="D1421">
        <v>-0.21515418579782</v>
      </c>
      <c r="E1421">
        <v>0.17795664857070601</v>
      </c>
      <c r="F1421">
        <f t="shared" si="66"/>
        <v>4.2296444502649966E-3</v>
      </c>
      <c r="G1421" s="2">
        <f t="shared" si="67"/>
        <v>1.0052949591568333E-4</v>
      </c>
      <c r="M1421">
        <v>0.99512840340569197</v>
      </c>
      <c r="N1421">
        <v>0.99514096716952904</v>
      </c>
      <c r="O1421" s="1">
        <v>1.05529152383516E-9</v>
      </c>
      <c r="P1421" s="2">
        <f t="shared" si="68"/>
        <v>0.14957777845122525</v>
      </c>
    </row>
    <row r="1422" spans="2:16" x14ac:dyDescent="0.25">
      <c r="B1422">
        <v>1421</v>
      </c>
      <c r="C1422">
        <v>-0.192668361819675</v>
      </c>
      <c r="D1422">
        <v>-0.215991648743519</v>
      </c>
      <c r="E1422">
        <v>0.14848439058510901</v>
      </c>
      <c r="F1422">
        <f t="shared" si="66"/>
        <v>2.3323286923844E-2</v>
      </c>
      <c r="G1422" s="2">
        <f t="shared" si="67"/>
        <v>3.663521201039337E-3</v>
      </c>
      <c r="M1422">
        <v>0.24801142547846899</v>
      </c>
      <c r="N1422">
        <v>0.248040463965713</v>
      </c>
      <c r="O1422" s="1">
        <v>2.8475814672999098E-10</v>
      </c>
      <c r="P1422" s="2">
        <f t="shared" si="68"/>
        <v>2.9612278036763251</v>
      </c>
    </row>
    <row r="1423" spans="2:16" x14ac:dyDescent="0.25">
      <c r="B1423">
        <v>1422</v>
      </c>
      <c r="C1423">
        <v>-0.24059221502949499</v>
      </c>
      <c r="D1423">
        <v>-0.216877502180846</v>
      </c>
      <c r="E1423">
        <v>0.231538455731195</v>
      </c>
      <c r="F1423">
        <f t="shared" si="66"/>
        <v>-2.3714712848648983E-2</v>
      </c>
      <c r="G1423" s="2">
        <f t="shared" si="67"/>
        <v>2.4289166294983937E-3</v>
      </c>
      <c r="M1423">
        <v>0.99516807780668803</v>
      </c>
      <c r="N1423">
        <v>0.99522361484074795</v>
      </c>
      <c r="O1423" s="1">
        <v>1.32866681312697E-9</v>
      </c>
      <c r="P1423" s="2">
        <f t="shared" si="68"/>
        <v>2.3213962459958846</v>
      </c>
    </row>
    <row r="1424" spans="2:16" x14ac:dyDescent="0.25">
      <c r="B1424">
        <v>1423</v>
      </c>
      <c r="C1424">
        <v>-0.18933302116909301</v>
      </c>
      <c r="D1424">
        <v>-0.220458418254626</v>
      </c>
      <c r="E1424">
        <v>0.143387971620065</v>
      </c>
      <c r="F1424">
        <f t="shared" si="66"/>
        <v>3.1125397085532996E-2</v>
      </c>
      <c r="G1424" s="2">
        <f t="shared" si="67"/>
        <v>6.7564268661189303E-3</v>
      </c>
      <c r="M1424">
        <v>0.248065961043135</v>
      </c>
      <c r="N1424">
        <v>0.248047654828839</v>
      </c>
      <c r="O1424" s="1">
        <v>2.7944136742989299E-10</v>
      </c>
      <c r="P1424" s="2">
        <f t="shared" si="68"/>
        <v>1.1992407743098583</v>
      </c>
    </row>
    <row r="1425" spans="2:16" x14ac:dyDescent="0.25">
      <c r="B1425">
        <v>1424</v>
      </c>
      <c r="C1425">
        <v>-0.20129371682386801</v>
      </c>
      <c r="D1425">
        <v>-0.224741964748783</v>
      </c>
      <c r="E1425">
        <v>0.16207664173107</v>
      </c>
      <c r="F1425">
        <f t="shared" si="66"/>
        <v>2.3448247924914983E-2</v>
      </c>
      <c r="G1425" s="2">
        <f t="shared" si="67"/>
        <v>3.3923477490395183E-3</v>
      </c>
      <c r="M1425">
        <v>0.99525623982784595</v>
      </c>
      <c r="N1425">
        <v>0.995204177414859</v>
      </c>
      <c r="O1425" s="1">
        <v>2.2131791555059302E-9</v>
      </c>
      <c r="P1425" s="2">
        <f t="shared" si="68"/>
        <v>1.2247064767801281</v>
      </c>
    </row>
    <row r="1426" spans="2:16" x14ac:dyDescent="0.25">
      <c r="B1426">
        <v>1425</v>
      </c>
      <c r="C1426">
        <v>-0.19958061067399899</v>
      </c>
      <c r="D1426">
        <v>-0.22168588185054</v>
      </c>
      <c r="E1426">
        <v>0.15932968062802599</v>
      </c>
      <c r="F1426">
        <f t="shared" si="66"/>
        <v>2.2105271176541014E-2</v>
      </c>
      <c r="G1426" s="2">
        <f t="shared" si="67"/>
        <v>3.0668674653858744E-3</v>
      </c>
      <c r="M1426">
        <v>0.24801094251939801</v>
      </c>
      <c r="N1426">
        <v>0.24804092567935701</v>
      </c>
      <c r="O1426" s="1">
        <v>5.1488930582813102E-10</v>
      </c>
      <c r="P1426" s="2">
        <f t="shared" si="68"/>
        <v>1.7459867022896827</v>
      </c>
    </row>
    <row r="1427" spans="2:16" x14ac:dyDescent="0.25">
      <c r="B1427">
        <v>1426</v>
      </c>
      <c r="C1427">
        <v>-0.19070906946626801</v>
      </c>
      <c r="D1427">
        <v>-0.22964187449693299</v>
      </c>
      <c r="E1427">
        <v>0.14547979670676001</v>
      </c>
      <c r="F1427">
        <f t="shared" si="66"/>
        <v>3.8932805030664985E-2</v>
      </c>
      <c r="G1427" s="2">
        <f t="shared" si="67"/>
        <v>1.0419063965363238E-2</v>
      </c>
      <c r="M1427">
        <v>0.99516760896720002</v>
      </c>
      <c r="N1427">
        <v>0.99522236676686004</v>
      </c>
      <c r="O1427" s="1">
        <v>2.0598965787183502E-9</v>
      </c>
      <c r="P1427" s="2">
        <f t="shared" si="68"/>
        <v>1.4556151287326342</v>
      </c>
    </row>
    <row r="1428" spans="2:16" x14ac:dyDescent="0.25">
      <c r="B1428">
        <v>1427</v>
      </c>
      <c r="C1428">
        <v>-0.20327663491137199</v>
      </c>
      <c r="D1428">
        <v>-0.23033936606607899</v>
      </c>
      <c r="E1428">
        <v>0.16528556120356599</v>
      </c>
      <c r="F1428">
        <f t="shared" si="66"/>
        <v>2.7062731154707004E-2</v>
      </c>
      <c r="G1428" s="2">
        <f t="shared" si="67"/>
        <v>4.4310671314473412E-3</v>
      </c>
      <c r="M1428">
        <v>0.24800178388401201</v>
      </c>
      <c r="N1428">
        <v>0.24802392355394101</v>
      </c>
      <c r="O1428" s="1">
        <v>3.7460442033105202E-10</v>
      </c>
      <c r="P1428" s="2">
        <f t="shared" si="68"/>
        <v>1.3084869210356187</v>
      </c>
    </row>
    <row r="1429" spans="2:16" x14ac:dyDescent="0.25">
      <c r="B1429">
        <v>1428</v>
      </c>
      <c r="C1429">
        <v>-0.183801485497741</v>
      </c>
      <c r="D1429">
        <v>-0.23221217801643201</v>
      </c>
      <c r="E1429">
        <v>0.13513194428470501</v>
      </c>
      <c r="F1429">
        <f t="shared" si="66"/>
        <v>4.8410692518691012E-2</v>
      </c>
      <c r="G1429" s="2">
        <f t="shared" si="67"/>
        <v>1.7343013619352678E-2</v>
      </c>
      <c r="M1429">
        <v>0.99522303689810399</v>
      </c>
      <c r="N1429">
        <v>0.99526832835638901</v>
      </c>
      <c r="O1429" s="1">
        <v>1.7380320889904801E-9</v>
      </c>
      <c r="P1429" s="2">
        <f t="shared" si="68"/>
        <v>1.1802521982062759</v>
      </c>
    </row>
    <row r="1430" spans="2:16" x14ac:dyDescent="0.25">
      <c r="B1430">
        <v>1429</v>
      </c>
      <c r="C1430">
        <v>-0.247677910721783</v>
      </c>
      <c r="D1430">
        <v>-0.23833421084359699</v>
      </c>
      <c r="E1430">
        <v>0.24537738983803101</v>
      </c>
      <c r="F1430">
        <f t="shared" si="66"/>
        <v>-9.343699878186007E-3</v>
      </c>
      <c r="G1430" s="2">
        <f t="shared" si="67"/>
        <v>3.5579776715059775E-4</v>
      </c>
      <c r="M1430">
        <v>4.3197804299999998</v>
      </c>
      <c r="N1430">
        <v>4.3197353974846999</v>
      </c>
      <c r="O1430" s="1">
        <v>4.44906393961208E-8</v>
      </c>
      <c r="P1430" s="2">
        <f t="shared" si="68"/>
        <v>4.5580991007488865E-2</v>
      </c>
    </row>
    <row r="1431" spans="2:16" x14ac:dyDescent="0.25">
      <c r="B1431">
        <v>1430</v>
      </c>
      <c r="C1431">
        <v>-0.20139742713966899</v>
      </c>
      <c r="D1431">
        <v>-0.23635413685498799</v>
      </c>
      <c r="E1431">
        <v>0.162243694633914</v>
      </c>
      <c r="F1431">
        <f t="shared" si="66"/>
        <v>3.4956709715319001E-2</v>
      </c>
      <c r="G1431" s="2">
        <f t="shared" si="67"/>
        <v>7.5317044331265348E-3</v>
      </c>
      <c r="M1431">
        <v>2.0190170950000002</v>
      </c>
      <c r="N1431">
        <v>2.01906493261313</v>
      </c>
      <c r="O1431" s="1">
        <v>8.9575078379525604E-9</v>
      </c>
      <c r="P1431" s="2">
        <f t="shared" si="68"/>
        <v>0.25547700000524742</v>
      </c>
    </row>
    <row r="1432" spans="2:16" x14ac:dyDescent="0.25">
      <c r="B1432">
        <v>1431</v>
      </c>
      <c r="C1432">
        <v>-0.226456500865096</v>
      </c>
      <c r="D1432">
        <v>-0.232370433083566</v>
      </c>
      <c r="E1432">
        <v>0.205130187136253</v>
      </c>
      <c r="F1432">
        <f t="shared" si="66"/>
        <v>5.9139322184700027E-3</v>
      </c>
      <c r="G1432" s="2">
        <f t="shared" si="67"/>
        <v>1.7049949972222501E-4</v>
      </c>
      <c r="M1432">
        <v>4.3277097449999999</v>
      </c>
      <c r="N1432">
        <v>4.3277151846998096</v>
      </c>
      <c r="O1432" s="1">
        <v>3.7335310275623498E-8</v>
      </c>
      <c r="P1432" s="2">
        <f t="shared" si="68"/>
        <v>7.9255626379612365E-4</v>
      </c>
    </row>
    <row r="1433" spans="2:16" x14ac:dyDescent="0.25">
      <c r="B1433">
        <v>1432</v>
      </c>
      <c r="C1433">
        <v>-0.25703433738900899</v>
      </c>
      <c r="D1433">
        <v>-0.239274367960602</v>
      </c>
      <c r="E1433">
        <v>0.26426660238802802</v>
      </c>
      <c r="F1433">
        <f t="shared" si="66"/>
        <v>-1.7759969428406991E-2</v>
      </c>
      <c r="G1433" s="2">
        <f t="shared" si="67"/>
        <v>1.1935542033980461E-3</v>
      </c>
      <c r="M1433">
        <v>4.3209368750000001</v>
      </c>
      <c r="N1433">
        <v>4.3211147516425399</v>
      </c>
      <c r="O1433" s="1">
        <v>6.5457065145427007E-8</v>
      </c>
      <c r="P1433" s="2">
        <f t="shared" si="68"/>
        <v>0.48337180854234713</v>
      </c>
    </row>
    <row r="1434" spans="2:16" x14ac:dyDescent="0.25">
      <c r="B1434">
        <v>1433</v>
      </c>
      <c r="C1434">
        <v>-0.22416604745032501</v>
      </c>
      <c r="D1434">
        <v>-0.244660675397633</v>
      </c>
      <c r="E1434">
        <v>0.20100166731800501</v>
      </c>
      <c r="F1434">
        <f t="shared" si="66"/>
        <v>2.0494627947307997E-2</v>
      </c>
      <c r="G1434" s="2">
        <f t="shared" si="67"/>
        <v>2.0896830374747505E-3</v>
      </c>
      <c r="M1434">
        <v>2.01931043</v>
      </c>
      <c r="N1434">
        <v>2.0194859420960198</v>
      </c>
      <c r="O1434" s="1">
        <v>1.0498067540167101E-8</v>
      </c>
      <c r="P1434" s="2">
        <f t="shared" si="68"/>
        <v>2.9343015494440086</v>
      </c>
    </row>
    <row r="1435" spans="2:16" x14ac:dyDescent="0.25">
      <c r="B1435">
        <v>1434</v>
      </c>
      <c r="C1435">
        <v>-0.251900527034851</v>
      </c>
      <c r="D1435">
        <v>-0.24136412481977501</v>
      </c>
      <c r="E1435">
        <v>0.25381550208174197</v>
      </c>
      <c r="F1435">
        <f t="shared" si="66"/>
        <v>-1.0536402215075985E-2</v>
      </c>
      <c r="G1435" s="2">
        <f t="shared" si="67"/>
        <v>4.3738767225535812E-4</v>
      </c>
      <c r="M1435">
        <v>4.3279632350000004</v>
      </c>
      <c r="N1435">
        <v>4.3282044817273997</v>
      </c>
      <c r="O1435" s="1">
        <v>4.404713048615E-8</v>
      </c>
      <c r="P1435" s="2">
        <f t="shared" si="68"/>
        <v>1.3213115778152578</v>
      </c>
    </row>
    <row r="1436" spans="2:16" x14ac:dyDescent="0.25">
      <c r="B1436">
        <v>1435</v>
      </c>
      <c r="C1436">
        <v>-0.26366347188830402</v>
      </c>
      <c r="D1436">
        <v>-0.241164771580934</v>
      </c>
      <c r="E1436">
        <v>0.278073705632779</v>
      </c>
      <c r="F1436">
        <f t="shared" si="66"/>
        <v>-2.2498700307370029E-2</v>
      </c>
      <c r="G1436" s="2">
        <f t="shared" si="67"/>
        <v>1.8203501635257922E-3</v>
      </c>
      <c r="M1436">
        <v>4.3235922499999999</v>
      </c>
      <c r="N1436">
        <v>4.3231591877901803</v>
      </c>
      <c r="O1436" s="1">
        <v>5.0140473213302503E-8</v>
      </c>
      <c r="P1436" s="2">
        <f t="shared" si="68"/>
        <v>3.7403491741302286</v>
      </c>
    </row>
    <row r="1437" spans="2:16" x14ac:dyDescent="0.25">
      <c r="B1437">
        <v>1436</v>
      </c>
      <c r="C1437">
        <v>-0.25655995608593801</v>
      </c>
      <c r="D1437">
        <v>-0.237748840172748</v>
      </c>
      <c r="E1437">
        <v>0.26329204426727398</v>
      </c>
      <c r="F1437">
        <f t="shared" si="66"/>
        <v>-1.8811115913190013E-2</v>
      </c>
      <c r="G1437" s="2">
        <f t="shared" si="67"/>
        <v>1.3439755951769694E-3</v>
      </c>
      <c r="M1437">
        <v>2.0203498999999998</v>
      </c>
      <c r="N1437">
        <v>2.02010986359402</v>
      </c>
      <c r="O1437" s="1">
        <v>1.4801506315788101E-8</v>
      </c>
      <c r="P1437" s="2">
        <f t="shared" si="68"/>
        <v>3.8926765267291401</v>
      </c>
    </row>
    <row r="1438" spans="2:16" x14ac:dyDescent="0.25">
      <c r="B1438">
        <v>1437</v>
      </c>
      <c r="C1438">
        <v>-0.234474563027191</v>
      </c>
      <c r="D1438">
        <v>-0.23991040531612201</v>
      </c>
      <c r="E1438">
        <v>0.21991328282716799</v>
      </c>
      <c r="F1438">
        <f t="shared" si="66"/>
        <v>5.4358422889310143E-3</v>
      </c>
      <c r="G1438" s="2">
        <f t="shared" si="67"/>
        <v>1.3436378653559154E-4</v>
      </c>
      <c r="M1438">
        <v>4.3294678600000003</v>
      </c>
      <c r="N1438">
        <v>4.3289295171396702</v>
      </c>
      <c r="O1438" s="1">
        <v>5.1320286282544202E-8</v>
      </c>
      <c r="P1438" s="2">
        <f t="shared" si="68"/>
        <v>5.6471437761039898</v>
      </c>
    </row>
    <row r="1439" spans="2:16" x14ac:dyDescent="0.25">
      <c r="B1439">
        <v>1438</v>
      </c>
      <c r="C1439">
        <v>-0.234056932794387</v>
      </c>
      <c r="D1439">
        <v>-0.23971680901187301</v>
      </c>
      <c r="E1439">
        <v>0.21913059115646399</v>
      </c>
      <c r="F1439">
        <f t="shared" si="66"/>
        <v>5.6598762174860096E-3</v>
      </c>
      <c r="G1439" s="2">
        <f t="shared" si="67"/>
        <v>1.4618770765050611E-4</v>
      </c>
      <c r="M1439">
        <v>4.3242247100000002</v>
      </c>
      <c r="N1439">
        <v>4.3242262605909803</v>
      </c>
      <c r="O1439" s="1">
        <v>4.8888655950138901E-8</v>
      </c>
      <c r="P1439" s="2">
        <f t="shared" si="68"/>
        <v>4.9179760431418414E-5</v>
      </c>
    </row>
    <row r="1440" spans="2:16" x14ac:dyDescent="0.25">
      <c r="B1440">
        <v>1439</v>
      </c>
      <c r="C1440">
        <v>-0.25517499186724601</v>
      </c>
      <c r="D1440">
        <v>-0.238348159721509</v>
      </c>
      <c r="E1440">
        <v>0.26045710589779603</v>
      </c>
      <c r="F1440">
        <f t="shared" si="66"/>
        <v>-1.682683214573702E-2</v>
      </c>
      <c r="G1440" s="2">
        <f t="shared" si="67"/>
        <v>1.0870975437003987E-3</v>
      </c>
      <c r="M1440">
        <v>2.0204582549999999</v>
      </c>
      <c r="N1440">
        <v>2.0204354724592801</v>
      </c>
      <c r="O1440" s="1">
        <v>1.68498167576178E-8</v>
      </c>
      <c r="P1440" s="2">
        <f t="shared" si="68"/>
        <v>3.0804142805423228E-2</v>
      </c>
    </row>
    <row r="1441" spans="2:16" x14ac:dyDescent="0.25">
      <c r="B1441">
        <v>1440</v>
      </c>
      <c r="C1441">
        <v>-0.22028530202057101</v>
      </c>
      <c r="D1441">
        <v>-0.238778653033271</v>
      </c>
      <c r="E1441">
        <v>0.19410245714517599</v>
      </c>
      <c r="F1441">
        <f t="shared" si="66"/>
        <v>1.8493351012699999E-2</v>
      </c>
      <c r="G1441" s="2">
        <f t="shared" si="67"/>
        <v>1.7619768276459032E-3</v>
      </c>
      <c r="M1441">
        <v>4.3292928850000001</v>
      </c>
      <c r="N1441">
        <v>4.3293078540952399</v>
      </c>
      <c r="O1441" s="1">
        <v>5.2574047106643999E-8</v>
      </c>
      <c r="P1441" s="2">
        <f t="shared" si="68"/>
        <v>4.2620613140821268E-3</v>
      </c>
    </row>
    <row r="1442" spans="2:16" x14ac:dyDescent="0.25">
      <c r="B1442">
        <v>1441</v>
      </c>
      <c r="C1442">
        <v>-0.29257004321556801</v>
      </c>
      <c r="D1442">
        <v>-0.23871182658887699</v>
      </c>
      <c r="E1442">
        <v>0.34238892074863603</v>
      </c>
      <c r="F1442">
        <f t="shared" si="66"/>
        <v>-5.3858216626691019E-2</v>
      </c>
      <c r="G1442" s="2">
        <f t="shared" si="67"/>
        <v>8.4719665924503553E-3</v>
      </c>
      <c r="M1442">
        <v>4.3244406150000003</v>
      </c>
      <c r="N1442">
        <v>4.3248166264004402</v>
      </c>
      <c r="O1442" s="1">
        <v>5.7782541344885099E-8</v>
      </c>
      <c r="P1442" s="2">
        <f t="shared" si="68"/>
        <v>2.4468389581009333</v>
      </c>
    </row>
    <row r="1443" spans="2:16" x14ac:dyDescent="0.25">
      <c r="B1443">
        <v>1442</v>
      </c>
      <c r="C1443">
        <v>-0.24405953393972099</v>
      </c>
      <c r="D1443">
        <v>-0.25770006142074697</v>
      </c>
      <c r="E1443">
        <v>0.238260224427496</v>
      </c>
      <c r="F1443">
        <f t="shared" si="66"/>
        <v>1.3640527481025982E-2</v>
      </c>
      <c r="G1443" s="2">
        <f t="shared" si="67"/>
        <v>7.8092761982286063E-4</v>
      </c>
      <c r="M1443">
        <v>2.02044143</v>
      </c>
      <c r="N1443">
        <v>2.0206156059605398</v>
      </c>
      <c r="O1443" s="1">
        <v>1.5153430476454598E-8</v>
      </c>
      <c r="P1443" s="2">
        <f t="shared" si="68"/>
        <v>2.0020064286502346</v>
      </c>
    </row>
    <row r="1444" spans="2:16" x14ac:dyDescent="0.25">
      <c r="B1444">
        <v>1443</v>
      </c>
      <c r="C1444">
        <v>-0.27148828825917598</v>
      </c>
      <c r="D1444">
        <v>-0.249820124490989</v>
      </c>
      <c r="E1444">
        <v>0.29482356264759002</v>
      </c>
      <c r="F1444">
        <f t="shared" si="66"/>
        <v>-2.1668163768186977E-2</v>
      </c>
      <c r="G1444" s="2">
        <f t="shared" si="67"/>
        <v>1.592509488958951E-3</v>
      </c>
      <c r="M1444">
        <v>4.3289627450000001</v>
      </c>
      <c r="N1444">
        <v>4.32951714586601</v>
      </c>
      <c r="O1444" s="1">
        <v>6.9561921300546403E-8</v>
      </c>
      <c r="P1444" s="2">
        <f t="shared" si="68"/>
        <v>4.4185139582982824</v>
      </c>
    </row>
    <row r="1445" spans="2:16" x14ac:dyDescent="0.25">
      <c r="B1445">
        <v>1444</v>
      </c>
      <c r="C1445">
        <v>-0.21999253333947899</v>
      </c>
      <c r="D1445">
        <v>-0.24273246496951101</v>
      </c>
      <c r="E1445">
        <v>0.19358685890048599</v>
      </c>
      <c r="F1445">
        <f t="shared" si="66"/>
        <v>2.2739931630032018E-2</v>
      </c>
      <c r="G1445" s="2">
        <f t="shared" si="67"/>
        <v>2.6711755822452286E-3</v>
      </c>
      <c r="M1445">
        <v>4.3249245800000002</v>
      </c>
      <c r="N1445">
        <v>4.3249851830966701</v>
      </c>
      <c r="O1445" s="1">
        <v>7.7518504077567805E-8</v>
      </c>
      <c r="P1445" s="2">
        <f t="shared" si="68"/>
        <v>4.7378820962599641E-2</v>
      </c>
    </row>
    <row r="1446" spans="2:16" x14ac:dyDescent="0.25">
      <c r="B1446">
        <v>1445</v>
      </c>
      <c r="C1446">
        <v>-0.30459979134685</v>
      </c>
      <c r="D1446">
        <v>-0.24200612283348399</v>
      </c>
      <c r="E1446">
        <v>0.371124131554179</v>
      </c>
      <c r="F1446">
        <f t="shared" si="66"/>
        <v>-6.2593668513366008E-2</v>
      </c>
      <c r="G1446" s="2">
        <f t="shared" si="67"/>
        <v>1.0557026624902127E-2</v>
      </c>
      <c r="M1446">
        <v>2.020670805</v>
      </c>
      <c r="N1446">
        <v>2.0206670347239601</v>
      </c>
      <c r="O1446" s="1">
        <v>1.6772640247925199E-8</v>
      </c>
      <c r="P1446" s="2">
        <f t="shared" si="68"/>
        <v>8.4751006438418635E-4</v>
      </c>
    </row>
    <row r="1447" spans="2:16" x14ac:dyDescent="0.25">
      <c r="B1447">
        <v>1446</v>
      </c>
      <c r="C1447">
        <v>-0.18028276033724</v>
      </c>
      <c r="D1447">
        <v>-0.204896367596898</v>
      </c>
      <c r="E1447">
        <v>0.13000749469925801</v>
      </c>
      <c r="F1447">
        <f t="shared" si="66"/>
        <v>2.4613607259657999E-2</v>
      </c>
      <c r="G1447" s="2">
        <f t="shared" si="67"/>
        <v>4.6599595179811319E-3</v>
      </c>
      <c r="M1447">
        <v>4.329512545</v>
      </c>
      <c r="N1447">
        <v>4.3295768978530802</v>
      </c>
      <c r="O1447" s="1">
        <v>6.8308912103888199E-8</v>
      </c>
      <c r="P1447" s="2">
        <f t="shared" si="68"/>
        <v>6.0625906225197798E-2</v>
      </c>
    </row>
    <row r="1448" spans="2:16" x14ac:dyDescent="0.25">
      <c r="B1448">
        <v>1447</v>
      </c>
      <c r="C1448">
        <v>-0.23044005203724499</v>
      </c>
      <c r="D1448">
        <v>-0.22377601942094</v>
      </c>
      <c r="E1448">
        <v>0.21241047033171301</v>
      </c>
      <c r="F1448">
        <f t="shared" si="66"/>
        <v>-6.6640326163049934E-3</v>
      </c>
      <c r="G1448" s="2">
        <f t="shared" si="67"/>
        <v>2.0907317159000912E-4</v>
      </c>
      <c r="M1448">
        <v>4.3252446950000003</v>
      </c>
      <c r="N1448">
        <v>4.3253741065806901</v>
      </c>
      <c r="O1448" s="1">
        <v>4.7071022131573101E-8</v>
      </c>
      <c r="P1448" s="2">
        <f t="shared" si="68"/>
        <v>0.35578911309424632</v>
      </c>
    </row>
    <row r="1449" spans="2:16" x14ac:dyDescent="0.25">
      <c r="B1449">
        <v>1448</v>
      </c>
      <c r="C1449">
        <v>-0.24756070035897301</v>
      </c>
      <c r="D1449">
        <v>-0.22556647752674999</v>
      </c>
      <c r="E1449">
        <v>0.24514520144890101</v>
      </c>
      <c r="F1449">
        <f t="shared" si="66"/>
        <v>-2.199422283222302E-2</v>
      </c>
      <c r="G1449" s="2">
        <f t="shared" si="67"/>
        <v>1.9733033122180622E-3</v>
      </c>
      <c r="M1449">
        <v>2.0206939450000001</v>
      </c>
      <c r="N1449">
        <v>2.0207856975066298</v>
      </c>
      <c r="O1449" s="1">
        <v>1.37224710512473E-8</v>
      </c>
      <c r="P1449" s="2">
        <f t="shared" si="68"/>
        <v>0.61348444033154204</v>
      </c>
    </row>
    <row r="1450" spans="2:16" x14ac:dyDescent="0.25">
      <c r="B1450">
        <v>1449</v>
      </c>
      <c r="C1450">
        <v>-0.18511003646704499</v>
      </c>
      <c r="D1450">
        <v>-0.214120992791031</v>
      </c>
      <c r="E1450">
        <v>0.137062902403322</v>
      </c>
      <c r="F1450">
        <f t="shared" si="66"/>
        <v>2.9010956323986009E-2</v>
      </c>
      <c r="G1450" s="2">
        <f t="shared" si="67"/>
        <v>6.1405060893546717E-3</v>
      </c>
      <c r="M1450">
        <v>4.3295476349999999</v>
      </c>
      <c r="N1450">
        <v>4.32971476234726</v>
      </c>
      <c r="O1450" s="1">
        <v>5.36997147520796E-8</v>
      </c>
      <c r="P1450" s="2">
        <f t="shared" si="68"/>
        <v>0.52014336260726468</v>
      </c>
    </row>
    <row r="1451" spans="2:16" x14ac:dyDescent="0.25">
      <c r="B1451">
        <v>1450</v>
      </c>
      <c r="C1451">
        <v>-0.23729514177902999</v>
      </c>
      <c r="D1451">
        <v>-0.21335504846843401</v>
      </c>
      <c r="E1451">
        <v>0.22523593724772001</v>
      </c>
      <c r="F1451">
        <f t="shared" si="66"/>
        <v>-2.3940093310595989E-2</v>
      </c>
      <c r="G1451" s="2">
        <f t="shared" si="67"/>
        <v>2.5445675975308613E-3</v>
      </c>
      <c r="M1451">
        <v>4.3248531100000003</v>
      </c>
      <c r="N1451">
        <v>4.3247353650635301</v>
      </c>
      <c r="O1451" s="1">
        <v>1.2818019007755701E-7</v>
      </c>
      <c r="P1451" s="2">
        <f t="shared" si="68"/>
        <v>0.10815922535288219</v>
      </c>
    </row>
    <row r="1452" spans="2:16" x14ac:dyDescent="0.25">
      <c r="B1452">
        <v>1451</v>
      </c>
      <c r="C1452">
        <v>-0.212872833241953</v>
      </c>
      <c r="D1452">
        <v>-0.215077084345076</v>
      </c>
      <c r="E1452">
        <v>0.18125937252982599</v>
      </c>
      <c r="F1452">
        <f t="shared" si="66"/>
        <v>2.2042511031230005E-3</v>
      </c>
      <c r="G1452" s="2">
        <f t="shared" si="67"/>
        <v>2.6805361056954274E-5</v>
      </c>
      <c r="M1452">
        <v>2.020611095</v>
      </c>
      <c r="N1452">
        <v>2.02059081185836</v>
      </c>
      <c r="O1452" s="1">
        <v>2.89456669515235E-8</v>
      </c>
      <c r="P1452" s="2">
        <f t="shared" si="68"/>
        <v>1.421303697990579E-2</v>
      </c>
    </row>
    <row r="1453" spans="2:16" x14ac:dyDescent="0.25">
      <c r="B1453">
        <v>1452</v>
      </c>
      <c r="C1453">
        <v>-0.21552488469591999</v>
      </c>
      <c r="D1453">
        <v>-0.21459222563109001</v>
      </c>
      <c r="E1453">
        <v>0.18580390369275901</v>
      </c>
      <c r="F1453">
        <f t="shared" si="66"/>
        <v>-9.3265906482997707E-4</v>
      </c>
      <c r="G1453" s="2">
        <f t="shared" si="67"/>
        <v>4.6815643477969967E-6</v>
      </c>
      <c r="M1453">
        <v>4.3296267400000001</v>
      </c>
      <c r="N1453">
        <v>4.3294883388412</v>
      </c>
      <c r="O1453" s="1">
        <v>1.17170825783931E-7</v>
      </c>
      <c r="P1453" s="2">
        <f t="shared" si="68"/>
        <v>0.16347824323220947</v>
      </c>
    </row>
    <row r="1454" spans="2:16" x14ac:dyDescent="0.25">
      <c r="B1454">
        <v>1453</v>
      </c>
      <c r="C1454">
        <v>-0.21336695274332701</v>
      </c>
      <c r="D1454">
        <v>-0.21726880515892399</v>
      </c>
      <c r="E1454">
        <v>0.18210182609189299</v>
      </c>
      <c r="F1454">
        <f t="shared" si="66"/>
        <v>3.9018524155969847E-3</v>
      </c>
      <c r="G1454" s="2">
        <f t="shared" si="67"/>
        <v>8.3604061528836057E-5</v>
      </c>
      <c r="M1454">
        <v>4.3246568600000002</v>
      </c>
      <c r="N1454">
        <v>4.3247108661565203</v>
      </c>
      <c r="O1454" s="1">
        <v>5.8170914204973798E-8</v>
      </c>
      <c r="P1454" s="2">
        <f t="shared" si="68"/>
        <v>5.0139575455269508E-2</v>
      </c>
    </row>
    <row r="1455" spans="2:16" x14ac:dyDescent="0.25">
      <c r="B1455">
        <v>1454</v>
      </c>
      <c r="C1455">
        <v>-0.220804265422093</v>
      </c>
      <c r="D1455">
        <v>-0.217479557840279</v>
      </c>
      <c r="E1455">
        <v>0.195018094514361</v>
      </c>
      <c r="F1455">
        <f t="shared" si="66"/>
        <v>-3.3247075818139959E-3</v>
      </c>
      <c r="G1455" s="2">
        <f t="shared" si="67"/>
        <v>5.6680281550784415E-5</v>
      </c>
      <c r="M1455">
        <v>2.0204795</v>
      </c>
      <c r="N1455">
        <v>2.0205833368277499</v>
      </c>
      <c r="O1455" s="1">
        <v>1.8606229196678402E-8</v>
      </c>
      <c r="P1455" s="2">
        <f t="shared" si="68"/>
        <v>0.57948801356790702</v>
      </c>
    </row>
    <row r="1456" spans="2:16" x14ac:dyDescent="0.25">
      <c r="B1456">
        <v>1455</v>
      </c>
      <c r="C1456">
        <v>-0.20714375906621799</v>
      </c>
      <c r="D1456">
        <v>-0.216656072813079</v>
      </c>
      <c r="E1456">
        <v>0.171634147680333</v>
      </c>
      <c r="F1456">
        <f t="shared" si="66"/>
        <v>9.5123137468610119E-3</v>
      </c>
      <c r="G1456" s="2">
        <f t="shared" si="67"/>
        <v>5.271917857933889E-4</v>
      </c>
      <c r="M1456">
        <v>4.3294179350000004</v>
      </c>
      <c r="N1456">
        <v>4.3294796539459899</v>
      </c>
      <c r="O1456" s="1">
        <v>7.33359074944723E-8</v>
      </c>
      <c r="P1456" s="2">
        <f t="shared" si="68"/>
        <v>5.1942198906335356E-2</v>
      </c>
    </row>
    <row r="1457" spans="2:16" x14ac:dyDescent="0.25">
      <c r="B1457">
        <v>1456</v>
      </c>
      <c r="C1457">
        <v>-0.20093690333370501</v>
      </c>
      <c r="D1457">
        <v>-0.215433212667452</v>
      </c>
      <c r="E1457">
        <v>0.161502556485354</v>
      </c>
      <c r="F1457">
        <f t="shared" si="66"/>
        <v>1.4496309333746987E-2</v>
      </c>
      <c r="G1457" s="2">
        <f t="shared" si="67"/>
        <v>1.3011743521145873E-3</v>
      </c>
      <c r="M1457">
        <v>4.3240775300000003</v>
      </c>
      <c r="N1457">
        <v>4.3242733993283897</v>
      </c>
      <c r="O1457" s="1">
        <v>8.1896571252083597E-8</v>
      </c>
      <c r="P1457" s="2">
        <f t="shared" si="68"/>
        <v>0.46845421263903003</v>
      </c>
    </row>
    <row r="1458" spans="2:16" x14ac:dyDescent="0.25">
      <c r="B1458">
        <v>1457</v>
      </c>
      <c r="C1458">
        <v>-0.20623083846718901</v>
      </c>
      <c r="D1458">
        <v>-0.21649532848692801</v>
      </c>
      <c r="E1458">
        <v>0.17012463493951899</v>
      </c>
      <c r="F1458">
        <f t="shared" si="66"/>
        <v>1.0264490019739003E-2</v>
      </c>
      <c r="G1458" s="2">
        <f t="shared" si="67"/>
        <v>6.1930922234030401E-4</v>
      </c>
      <c r="M1458">
        <v>2.0203106700000002</v>
      </c>
      <c r="N1458">
        <v>2.0204498558309401</v>
      </c>
      <c r="O1458" s="1">
        <v>1.3579313080328299E-8</v>
      </c>
      <c r="P1458" s="2">
        <f t="shared" si="68"/>
        <v>1.4266329540986278</v>
      </c>
    </row>
    <row r="1459" spans="2:16" x14ac:dyDescent="0.25">
      <c r="B1459">
        <v>1458</v>
      </c>
      <c r="C1459">
        <v>-0.20815233432199501</v>
      </c>
      <c r="D1459">
        <v>-0.21547141882934201</v>
      </c>
      <c r="E1459">
        <v>0.17330957713478301</v>
      </c>
      <c r="F1459">
        <f t="shared" si="66"/>
        <v>7.3190845073470012E-3</v>
      </c>
      <c r="G1459" s="2">
        <f t="shared" si="67"/>
        <v>3.0909427459987533E-4</v>
      </c>
      <c r="M1459">
        <v>4.329058335</v>
      </c>
      <c r="N1459">
        <v>4.3293245660218203</v>
      </c>
      <c r="O1459" s="1">
        <v>6.2925214585883701E-8</v>
      </c>
      <c r="P1459" s="2">
        <f t="shared" si="68"/>
        <v>1.1263999248297831</v>
      </c>
    </row>
    <row r="1460" spans="2:16" x14ac:dyDescent="0.25">
      <c r="B1460">
        <v>1459</v>
      </c>
      <c r="C1460">
        <v>-0.226838212738558</v>
      </c>
      <c r="D1460">
        <v>-0.21757945355392799</v>
      </c>
      <c r="E1460">
        <v>0.20582229903369301</v>
      </c>
      <c r="F1460">
        <f t="shared" si="66"/>
        <v>-9.258759184630011E-3</v>
      </c>
      <c r="G1460" s="2">
        <f t="shared" si="67"/>
        <v>4.1649822221127511E-4</v>
      </c>
      <c r="M1460">
        <v>4.3238179150000002</v>
      </c>
      <c r="N1460">
        <v>4.3235163893122603</v>
      </c>
      <c r="O1460" s="1">
        <v>1.0951805619251999E-7</v>
      </c>
      <c r="P1460" s="2">
        <f t="shared" si="68"/>
        <v>0.83016210776413613</v>
      </c>
    </row>
    <row r="1461" spans="2:16" x14ac:dyDescent="0.25">
      <c r="B1461">
        <v>1460</v>
      </c>
      <c r="C1461">
        <v>-0.227338779609918</v>
      </c>
      <c r="D1461">
        <v>-0.21792058186318899</v>
      </c>
      <c r="E1461">
        <v>0.206731682858107</v>
      </c>
      <c r="F1461">
        <f t="shared" si="66"/>
        <v>-9.4181977467290012E-3</v>
      </c>
      <c r="G1461" s="2">
        <f t="shared" si="67"/>
        <v>4.2907041422080103E-4</v>
      </c>
      <c r="M1461">
        <v>2.02041732</v>
      </c>
      <c r="N1461">
        <v>2.0202188639310701</v>
      </c>
      <c r="O1461" s="1">
        <v>1.78563338282558E-8</v>
      </c>
      <c r="P1461" s="2">
        <f t="shared" si="68"/>
        <v>2.2056493608322354</v>
      </c>
    </row>
    <row r="1462" spans="2:16" x14ac:dyDescent="0.25">
      <c r="B1462">
        <v>1461</v>
      </c>
      <c r="C1462">
        <v>-0.248565758623183</v>
      </c>
      <c r="D1462">
        <v>-0.21911874932023301</v>
      </c>
      <c r="E1462">
        <v>0.24713974543967401</v>
      </c>
      <c r="F1462">
        <f t="shared" si="66"/>
        <v>-2.9447009302949995E-2</v>
      </c>
      <c r="G1462" s="2">
        <f t="shared" si="67"/>
        <v>3.5086479325507204E-3</v>
      </c>
      <c r="M1462">
        <v>4.3293596250000004</v>
      </c>
      <c r="N1462">
        <v>4.3290561717614704</v>
      </c>
      <c r="O1462" s="1">
        <v>7.7707531959830898E-8</v>
      </c>
      <c r="P1462" s="2">
        <f t="shared" si="68"/>
        <v>1.185005695740474</v>
      </c>
    </row>
    <row r="1463" spans="2:16" x14ac:dyDescent="0.25">
      <c r="B1463">
        <v>1462</v>
      </c>
      <c r="C1463">
        <v>-0.22722149114736101</v>
      </c>
      <c r="D1463">
        <v>-0.219336549834098</v>
      </c>
      <c r="E1463">
        <v>0.20651842415692101</v>
      </c>
      <c r="F1463">
        <f t="shared" si="66"/>
        <v>-7.8849413132630053E-3</v>
      </c>
      <c r="G1463" s="2">
        <f t="shared" si="67"/>
        <v>3.0104965098107044E-4</v>
      </c>
      <c r="M1463">
        <v>4.3237665349999999</v>
      </c>
      <c r="N1463">
        <v>4.3236904737176598</v>
      </c>
      <c r="O1463" s="1">
        <v>5.0404338630195399E-8</v>
      </c>
      <c r="P1463" s="2">
        <f t="shared" si="68"/>
        <v>0.11477818831547963</v>
      </c>
    </row>
    <row r="1464" spans="2:16" x14ac:dyDescent="0.25">
      <c r="B1464">
        <v>1463</v>
      </c>
      <c r="C1464">
        <v>-0.20141449231425601</v>
      </c>
      <c r="D1464">
        <v>-0.21904215499106799</v>
      </c>
      <c r="E1464">
        <v>0.162271190856838</v>
      </c>
      <c r="F1464">
        <f t="shared" si="66"/>
        <v>1.7627662676811984E-2</v>
      </c>
      <c r="G1464" s="2">
        <f t="shared" si="67"/>
        <v>1.9149085540489585E-3</v>
      </c>
      <c r="M1464">
        <v>2.0202727899999999</v>
      </c>
      <c r="N1464">
        <v>2.0202719847975601</v>
      </c>
      <c r="O1464" s="1">
        <v>1.6314940437673E-8</v>
      </c>
      <c r="P1464" s="2">
        <f t="shared" si="68"/>
        <v>3.9739708005282101E-5</v>
      </c>
    </row>
    <row r="1465" spans="2:16" x14ac:dyDescent="0.25">
      <c r="B1465">
        <v>1464</v>
      </c>
      <c r="C1465">
        <v>-0.216887893125598</v>
      </c>
      <c r="D1465">
        <v>-0.21922975439418599</v>
      </c>
      <c r="E1465">
        <v>0.188161432737843</v>
      </c>
      <c r="F1465">
        <f t="shared" si="66"/>
        <v>2.3418612685879858E-3</v>
      </c>
      <c r="G1465" s="2">
        <f t="shared" si="67"/>
        <v>2.9146856087950724E-5</v>
      </c>
      <c r="M1465">
        <v>4.3292158250000004</v>
      </c>
      <c r="N1465">
        <v>4.3291178952373901</v>
      </c>
      <c r="O1465" s="1">
        <v>5.3635419660668402E-8</v>
      </c>
      <c r="P1465" s="2">
        <f t="shared" si="68"/>
        <v>0.17880420187953597</v>
      </c>
    </row>
    <row r="1466" spans="2:16" x14ac:dyDescent="0.25">
      <c r="B1466">
        <v>1465</v>
      </c>
      <c r="C1466">
        <v>-0.20186705492682999</v>
      </c>
      <c r="D1466">
        <v>-0.219390884228954</v>
      </c>
      <c r="E1466">
        <v>0.16300123145932799</v>
      </c>
      <c r="F1466">
        <f t="shared" si="66"/>
        <v>1.7523829302124011E-2</v>
      </c>
      <c r="G1466" s="2">
        <f t="shared" si="67"/>
        <v>1.883940327693805E-3</v>
      </c>
      <c r="M1466">
        <v>4.3236220049999998</v>
      </c>
      <c r="N1466">
        <v>4.3231181557501497</v>
      </c>
      <c r="O1466" s="1">
        <v>7.6726453710537E-8</v>
      </c>
      <c r="P1466" s="2">
        <f t="shared" si="68"/>
        <v>3.3086902143593582</v>
      </c>
    </row>
    <row r="1467" spans="2:16" x14ac:dyDescent="0.25">
      <c r="B1467">
        <v>1466</v>
      </c>
      <c r="C1467">
        <v>-0.220367202081308</v>
      </c>
      <c r="D1467">
        <v>-0.220756161609</v>
      </c>
      <c r="E1467">
        <v>0.19424681501257601</v>
      </c>
      <c r="F1467">
        <f t="shared" si="66"/>
        <v>3.8895952769199549E-4</v>
      </c>
      <c r="G1467" s="2">
        <f t="shared" si="67"/>
        <v>7.7885196816527138E-7</v>
      </c>
      <c r="M1467">
        <v>2.0203506450000002</v>
      </c>
      <c r="N1467">
        <v>2.0200973424333202</v>
      </c>
      <c r="O1467" s="1">
        <v>2.1261560247921399E-8</v>
      </c>
      <c r="P1467" s="2">
        <f t="shared" si="68"/>
        <v>3.0177554957634989</v>
      </c>
    </row>
    <row r="1468" spans="2:16" x14ac:dyDescent="0.25">
      <c r="B1468">
        <v>1467</v>
      </c>
      <c r="C1468">
        <v>-0.22951557278378201</v>
      </c>
      <c r="D1468">
        <v>-0.216674811478969</v>
      </c>
      <c r="E1468">
        <v>0.21070959260107</v>
      </c>
      <c r="F1468">
        <f t="shared" si="66"/>
        <v>-1.2840761304813014E-2</v>
      </c>
      <c r="G1468" s="2">
        <f t="shared" si="67"/>
        <v>7.8252322949223872E-4</v>
      </c>
      <c r="M1468">
        <v>4.3294469749999998</v>
      </c>
      <c r="N1468">
        <v>4.3289149677836702</v>
      </c>
      <c r="O1468" s="1">
        <v>6.9012985976451901E-8</v>
      </c>
      <c r="P1468" s="2">
        <f t="shared" si="68"/>
        <v>4.1011365357129881</v>
      </c>
    </row>
    <row r="1469" spans="2:16" x14ac:dyDescent="0.25">
      <c r="B1469">
        <v>1468</v>
      </c>
      <c r="C1469">
        <v>-0.231067675559572</v>
      </c>
      <c r="D1469">
        <v>-0.21894239583985201</v>
      </c>
      <c r="E1469">
        <v>0.21356908275401501</v>
      </c>
      <c r="F1469">
        <f t="shared" si="66"/>
        <v>-1.2125279719719995E-2</v>
      </c>
      <c r="G1469" s="2">
        <f t="shared" si="67"/>
        <v>6.8840679739581368E-4</v>
      </c>
      <c r="M1469">
        <v>4.322897255</v>
      </c>
      <c r="N1469">
        <v>4.32353451360565</v>
      </c>
      <c r="O1469" s="1">
        <v>1.0077249997092699E-7</v>
      </c>
      <c r="P1469" s="2">
        <f t="shared" si="68"/>
        <v>4.0298546785298308</v>
      </c>
    </row>
    <row r="1470" spans="2:16" x14ac:dyDescent="0.25">
      <c r="B1470">
        <v>1469</v>
      </c>
      <c r="C1470">
        <v>-0.182014319185139</v>
      </c>
      <c r="D1470">
        <v>-0.22087178329547899</v>
      </c>
      <c r="E1470">
        <v>0.13251684955371901</v>
      </c>
      <c r="F1470">
        <f t="shared" si="66"/>
        <v>3.8857464110339995E-2</v>
      </c>
      <c r="G1470" s="2">
        <f t="shared" si="67"/>
        <v>1.1394041755228146E-2</v>
      </c>
      <c r="M1470">
        <v>2.020125535</v>
      </c>
      <c r="N1470">
        <v>2.0202243944907599</v>
      </c>
      <c r="O1470" s="1">
        <v>1.6550965499998998E-8</v>
      </c>
      <c r="P1470" s="2">
        <f t="shared" si="68"/>
        <v>0.59049116580499061</v>
      </c>
    </row>
    <row r="1471" spans="2:16" x14ac:dyDescent="0.25">
      <c r="B1471">
        <v>1470</v>
      </c>
      <c r="C1471">
        <v>-0.21890562152941101</v>
      </c>
      <c r="D1471">
        <v>-0.219180205707251</v>
      </c>
      <c r="E1471">
        <v>0.19167868454871101</v>
      </c>
      <c r="F1471">
        <f t="shared" si="66"/>
        <v>2.7458417783998712E-4</v>
      </c>
      <c r="G1471" s="2">
        <f t="shared" si="67"/>
        <v>3.9334822699548149E-7</v>
      </c>
      <c r="M1471">
        <v>4.328395725</v>
      </c>
      <c r="N1471">
        <v>4.3290625979971598</v>
      </c>
      <c r="O1471" s="1">
        <v>7.3831280048470605E-8</v>
      </c>
      <c r="P1471" s="2">
        <f t="shared" si="68"/>
        <v>6.0234577275219783</v>
      </c>
    </row>
    <row r="1472" spans="2:16" x14ac:dyDescent="0.25">
      <c r="B1472">
        <v>1471</v>
      </c>
      <c r="C1472">
        <v>-0.20874560842637199</v>
      </c>
      <c r="D1472">
        <v>-0.21751414138719699</v>
      </c>
      <c r="E1472">
        <v>0.174298916149185</v>
      </c>
      <c r="F1472">
        <f t="shared" si="66"/>
        <v>8.7685329608249984E-3</v>
      </c>
      <c r="G1472" s="2">
        <f t="shared" si="67"/>
        <v>4.4112248075751405E-4</v>
      </c>
      <c r="M1472">
        <v>4.3233733499999998</v>
      </c>
      <c r="N1472">
        <v>4.3233741348856203</v>
      </c>
      <c r="O1472" s="1">
        <v>3.7983309279789699E-8</v>
      </c>
      <c r="P1472" s="2">
        <f t="shared" si="68"/>
        <v>1.6218845828454033E-5</v>
      </c>
    </row>
    <row r="1473" spans="2:16" x14ac:dyDescent="0.25">
      <c r="B1473">
        <v>1472</v>
      </c>
      <c r="C1473">
        <v>-0.229724362045747</v>
      </c>
      <c r="D1473">
        <v>-0.219850565936895</v>
      </c>
      <c r="E1473">
        <v>0.211093130069301</v>
      </c>
      <c r="F1473">
        <f t="shared" si="66"/>
        <v>-9.873796108852001E-3</v>
      </c>
      <c r="G1473" s="2">
        <f t="shared" si="67"/>
        <v>4.6184283480554171E-4</v>
      </c>
      <c r="M1473">
        <v>2.0203207750000001</v>
      </c>
      <c r="N1473">
        <v>2.0201754552506501</v>
      </c>
      <c r="O1473" s="1">
        <v>1.24184644806119E-8</v>
      </c>
      <c r="P1473" s="2">
        <f t="shared" si="68"/>
        <v>1.7005185773250433</v>
      </c>
    </row>
    <row r="1474" spans="2:16" x14ac:dyDescent="0.25">
      <c r="B1474">
        <v>1473</v>
      </c>
      <c r="C1474">
        <v>-0.22013217018530901</v>
      </c>
      <c r="D1474">
        <v>-0.220170621900946</v>
      </c>
      <c r="E1474">
        <v>0.19383268940197501</v>
      </c>
      <c r="F1474">
        <f t="shared" si="66"/>
        <v>3.8451715636989015E-5</v>
      </c>
      <c r="G1474" s="2">
        <f t="shared" si="67"/>
        <v>7.6278900116875759E-9</v>
      </c>
      <c r="M1474">
        <v>4.3291781150000004</v>
      </c>
      <c r="N1474">
        <v>4.3290057327509697</v>
      </c>
      <c r="O1474" s="1">
        <v>6.9407016912737398E-8</v>
      </c>
      <c r="P1474" s="2">
        <f t="shared" si="68"/>
        <v>0.42813595948442024</v>
      </c>
    </row>
    <row r="1475" spans="2:16" x14ac:dyDescent="0.25">
      <c r="B1475">
        <v>1474</v>
      </c>
      <c r="C1475">
        <v>-0.232450997780911</v>
      </c>
      <c r="D1475">
        <v>-0.21731581558633201</v>
      </c>
      <c r="E1475">
        <v>0.21613386547736499</v>
      </c>
      <c r="F1475">
        <f t="shared" ref="F1475:F1538" si="69">C1475-D1475</f>
        <v>-1.5135182194578989E-2</v>
      </c>
      <c r="G1475" s="2">
        <f t="shared" ref="G1475:G1538" si="70">F1475^2/E1475</f>
        <v>1.0598697226700507E-3</v>
      </c>
      <c r="M1475">
        <v>4.3229910949999999</v>
      </c>
      <c r="N1475">
        <v>4.32308793772697</v>
      </c>
      <c r="O1475" s="1">
        <v>9.3990612270065106E-8</v>
      </c>
      <c r="P1475" s="2">
        <f t="shared" ref="P1475:P1538" si="71">(M1475-N1475)^2/O1475</f>
        <v>9.9781388167301283E-2</v>
      </c>
    </row>
    <row r="1476" spans="2:16" x14ac:dyDescent="0.25">
      <c r="B1476">
        <v>1475</v>
      </c>
      <c r="C1476">
        <v>-0.181872588030803</v>
      </c>
      <c r="D1476">
        <v>-0.21981100873804699</v>
      </c>
      <c r="E1476">
        <v>0.13231055310808901</v>
      </c>
      <c r="F1476">
        <f t="shared" si="69"/>
        <v>3.7938420707243986E-2</v>
      </c>
      <c r="G1476" s="2">
        <f t="shared" si="70"/>
        <v>1.0878374641696241E-2</v>
      </c>
      <c r="M1476">
        <v>2.0198700999999999</v>
      </c>
      <c r="N1476">
        <v>2.0200881212050801</v>
      </c>
      <c r="O1476" s="1">
        <v>2.35595918559585E-8</v>
      </c>
      <c r="P1476" s="2">
        <f t="shared" si="71"/>
        <v>2.0175750987212266</v>
      </c>
    </row>
    <row r="1477" spans="2:16" x14ac:dyDescent="0.25">
      <c r="B1477">
        <v>1476</v>
      </c>
      <c r="C1477">
        <v>-0.19938298077736699</v>
      </c>
      <c r="D1477">
        <v>-0.218610494117255</v>
      </c>
      <c r="E1477">
        <v>0.15901429209467099</v>
      </c>
      <c r="F1477">
        <f t="shared" si="69"/>
        <v>1.9227513339888008E-2</v>
      </c>
      <c r="G1477" s="2">
        <f t="shared" si="70"/>
        <v>2.3249310761039505E-3</v>
      </c>
      <c r="M1477">
        <v>4.3287706799999999</v>
      </c>
      <c r="N1477">
        <v>4.3289042528614603</v>
      </c>
      <c r="O1477" s="1">
        <v>1.02675394493067E-7</v>
      </c>
      <c r="P1477" s="2">
        <f t="shared" si="71"/>
        <v>0.17376811072229925</v>
      </c>
    </row>
    <row r="1478" spans="2:16" x14ac:dyDescent="0.25">
      <c r="B1478">
        <v>1477</v>
      </c>
      <c r="C1478">
        <v>-0.208883606826262</v>
      </c>
      <c r="D1478">
        <v>-0.215584543388738</v>
      </c>
      <c r="E1478">
        <v>0.17452944480299401</v>
      </c>
      <c r="F1478">
        <f t="shared" si="69"/>
        <v>6.7009365624760009E-3</v>
      </c>
      <c r="G1478" s="2">
        <f t="shared" si="70"/>
        <v>2.5727779553193989E-4</v>
      </c>
      <c r="M1478">
        <v>4.32346904</v>
      </c>
      <c r="N1478">
        <v>4.3230821166199398</v>
      </c>
      <c r="O1478" s="1">
        <v>1.3586009259834099E-7</v>
      </c>
      <c r="P1478" s="2">
        <f t="shared" si="71"/>
        <v>1.1019402325876937</v>
      </c>
    </row>
    <row r="1479" spans="2:16" x14ac:dyDescent="0.25">
      <c r="B1479">
        <v>1478</v>
      </c>
      <c r="C1479">
        <v>-0.198440222472899</v>
      </c>
      <c r="D1479">
        <v>-0.21797857892525099</v>
      </c>
      <c r="E1479">
        <v>0.157514087580375</v>
      </c>
      <c r="F1479">
        <f t="shared" si="69"/>
        <v>1.9538356452351996E-2</v>
      </c>
      <c r="G1479" s="2">
        <f t="shared" si="70"/>
        <v>2.4235760668985876E-3</v>
      </c>
      <c r="M1479">
        <v>2.020452605</v>
      </c>
      <c r="N1479">
        <v>2.0200863448534698</v>
      </c>
      <c r="O1479" s="1">
        <v>4.7528227062321101E-8</v>
      </c>
      <c r="P1479" s="2">
        <f t="shared" si="71"/>
        <v>2.8224594778259471</v>
      </c>
    </row>
    <row r="1480" spans="2:16" x14ac:dyDescent="0.25">
      <c r="B1480">
        <v>1479</v>
      </c>
      <c r="C1480">
        <v>-0.24170696225746699</v>
      </c>
      <c r="D1480">
        <v>-0.21948157969170501</v>
      </c>
      <c r="E1480">
        <v>0.23368902241493</v>
      </c>
      <c r="F1480">
        <f t="shared" si="69"/>
        <v>-2.2225382565761981E-2</v>
      </c>
      <c r="G1480" s="2">
        <f t="shared" si="70"/>
        <v>2.1137819187646949E-3</v>
      </c>
      <c r="M1480">
        <v>4.3291367550000004</v>
      </c>
      <c r="N1480">
        <v>4.32890218876625</v>
      </c>
      <c r="O1480" s="1">
        <v>8.5310823572006599E-8</v>
      </c>
      <c r="P1480" s="2">
        <f t="shared" si="71"/>
        <v>0.64495119976665483</v>
      </c>
    </row>
    <row r="1481" spans="2:16" x14ac:dyDescent="0.25">
      <c r="B1481">
        <v>1480</v>
      </c>
      <c r="C1481">
        <v>-0.23049196713351899</v>
      </c>
      <c r="D1481">
        <v>-0.22510934110153599</v>
      </c>
      <c r="E1481">
        <v>0.21250618765231699</v>
      </c>
      <c r="F1481">
        <f t="shared" si="69"/>
        <v>-5.382626031983001E-3</v>
      </c>
      <c r="G1481" s="2">
        <f t="shared" si="70"/>
        <v>1.3633797359154296E-4</v>
      </c>
      <c r="M1481">
        <v>4.32360392</v>
      </c>
      <c r="N1481">
        <v>4.3235450460172498</v>
      </c>
      <c r="O1481" s="1">
        <v>7.9044492166198202E-8</v>
      </c>
      <c r="P1481" s="2">
        <f t="shared" si="71"/>
        <v>4.3850567571399615E-2</v>
      </c>
    </row>
    <row r="1482" spans="2:16" x14ac:dyDescent="0.25">
      <c r="B1482">
        <v>1481</v>
      </c>
      <c r="C1482">
        <v>-0.21011891249185399</v>
      </c>
      <c r="D1482">
        <v>-0.22729189204009501</v>
      </c>
      <c r="E1482">
        <v>0.17659982954703701</v>
      </c>
      <c r="F1482">
        <f t="shared" si="69"/>
        <v>1.7172979548241013E-2</v>
      </c>
      <c r="G1482" s="2">
        <f t="shared" si="70"/>
        <v>1.6699406070817021E-3</v>
      </c>
      <c r="M1482">
        <v>2.0203380050000002</v>
      </c>
      <c r="N1482">
        <v>2.0202276084126898</v>
      </c>
      <c r="O1482" s="1">
        <v>1.52759741537394E-8</v>
      </c>
      <c r="P1482" s="2">
        <f t="shared" si="71"/>
        <v>0.79781533846042252</v>
      </c>
    </row>
    <row r="1483" spans="2:16" x14ac:dyDescent="0.25">
      <c r="B1483">
        <v>1482</v>
      </c>
      <c r="C1483">
        <v>-0.17864349303375099</v>
      </c>
      <c r="D1483">
        <v>-0.228076924333982</v>
      </c>
      <c r="E1483">
        <v>0.127653990413199</v>
      </c>
      <c r="F1483">
        <f t="shared" si="69"/>
        <v>4.9433431300231007E-2</v>
      </c>
      <c r="G1483" s="2">
        <f t="shared" si="70"/>
        <v>1.9142873028918584E-2</v>
      </c>
      <c r="M1483">
        <v>4.3291465149999997</v>
      </c>
      <c r="N1483">
        <v>4.3290663324111298</v>
      </c>
      <c r="O1483" s="1">
        <v>7.3599324391976706E-8</v>
      </c>
      <c r="P1483" s="2">
        <f t="shared" si="71"/>
        <v>8.7354708905144754E-2</v>
      </c>
    </row>
    <row r="1484" spans="2:16" x14ac:dyDescent="0.25">
      <c r="B1484">
        <v>1483</v>
      </c>
      <c r="C1484">
        <v>-0.194108896202772</v>
      </c>
      <c r="D1484">
        <v>-0.23414257275319</v>
      </c>
      <c r="E1484">
        <v>0.15071305434023399</v>
      </c>
      <c r="F1484">
        <f t="shared" si="69"/>
        <v>4.0033676550418007E-2</v>
      </c>
      <c r="G1484" s="2">
        <f t="shared" si="70"/>
        <v>1.0634083856634023E-2</v>
      </c>
      <c r="M1484">
        <v>4.3236117800000002</v>
      </c>
      <c r="N1484">
        <v>4.3233053055818198</v>
      </c>
      <c r="O1484" s="1">
        <v>9.1244278759000306E-8</v>
      </c>
      <c r="P1484" s="2">
        <f t="shared" si="71"/>
        <v>1.0293968046711282</v>
      </c>
    </row>
    <row r="1485" spans="2:16" x14ac:dyDescent="0.25">
      <c r="B1485">
        <v>1484</v>
      </c>
      <c r="C1485">
        <v>-0.21253575893641599</v>
      </c>
      <c r="D1485">
        <v>-0.243914638482461</v>
      </c>
      <c r="E1485">
        <v>0.180685795306714</v>
      </c>
      <c r="F1485">
        <f t="shared" si="69"/>
        <v>3.1378879546045013E-2</v>
      </c>
      <c r="G1485" s="2">
        <f t="shared" si="70"/>
        <v>5.4494271666114457E-3</v>
      </c>
      <c r="M1485">
        <v>2.0204740399999999</v>
      </c>
      <c r="N1485">
        <v>2.0201544519354799</v>
      </c>
      <c r="O1485" s="1">
        <v>1.6903900686981299E-8</v>
      </c>
      <c r="P1485" s="2">
        <f t="shared" si="71"/>
        <v>6.042187118518406</v>
      </c>
    </row>
    <row r="1486" spans="2:16" x14ac:dyDescent="0.25">
      <c r="B1486">
        <v>1485</v>
      </c>
      <c r="C1486">
        <v>-0.18296603392994701</v>
      </c>
      <c r="D1486">
        <v>-0.24352027074473501</v>
      </c>
      <c r="E1486">
        <v>0.13390627828821799</v>
      </c>
      <c r="F1486">
        <f t="shared" si="69"/>
        <v>6.0554236814787998E-2</v>
      </c>
      <c r="G1486" s="2">
        <f t="shared" si="70"/>
        <v>2.7383447909208738E-2</v>
      </c>
      <c r="M1486">
        <v>4.3294202500000001</v>
      </c>
      <c r="N1486">
        <v>4.3289813276284201</v>
      </c>
      <c r="O1486" s="1">
        <v>8.8449870277007904E-8</v>
      </c>
      <c r="P1486" s="2">
        <f t="shared" si="71"/>
        <v>2.1781021008850434</v>
      </c>
    </row>
    <row r="1487" spans="2:16" x14ac:dyDescent="0.25">
      <c r="B1487">
        <v>1486</v>
      </c>
      <c r="C1487">
        <v>-0.25478906047382899</v>
      </c>
      <c r="D1487">
        <v>-0.246636022117075</v>
      </c>
      <c r="E1487">
        <v>0.25966986134854603</v>
      </c>
      <c r="F1487">
        <f t="shared" si="69"/>
        <v>-8.1530383567539888E-3</v>
      </c>
      <c r="G1487" s="2">
        <f t="shared" si="70"/>
        <v>2.5598671367363124E-4</v>
      </c>
      <c r="M1487">
        <v>4.3228853950000001</v>
      </c>
      <c r="N1487">
        <v>4.3233166384724502</v>
      </c>
      <c r="O1487" s="1">
        <v>9.7230706619120797E-8</v>
      </c>
      <c r="P1487" s="2">
        <f t="shared" si="71"/>
        <v>1.9126769618087336</v>
      </c>
    </row>
    <row r="1488" spans="2:16" x14ac:dyDescent="0.25">
      <c r="B1488">
        <v>1487</v>
      </c>
      <c r="C1488">
        <v>-0.228788175503156</v>
      </c>
      <c r="D1488">
        <v>-0.24690606122987799</v>
      </c>
      <c r="E1488">
        <v>0.20937611700025199</v>
      </c>
      <c r="F1488">
        <f t="shared" si="69"/>
        <v>1.8117885726721988E-2</v>
      </c>
      <c r="G1488" s="2">
        <f t="shared" si="70"/>
        <v>1.5677900035091456E-3</v>
      </c>
      <c r="M1488">
        <v>2.0199833300000001</v>
      </c>
      <c r="N1488">
        <v>2.0201579101837801</v>
      </c>
      <c r="O1488" s="1">
        <v>2.18490213905819E-8</v>
      </c>
      <c r="P1488" s="2">
        <f t="shared" si="71"/>
        <v>1.3949476282633684</v>
      </c>
    </row>
    <row r="1489" spans="2:16" x14ac:dyDescent="0.25">
      <c r="B1489">
        <v>1488</v>
      </c>
      <c r="C1489">
        <v>-0.23239620997041699</v>
      </c>
      <c r="D1489">
        <v>-0.24770017864889399</v>
      </c>
      <c r="E1489">
        <v>0.21603199363445599</v>
      </c>
      <c r="F1489">
        <f t="shared" si="69"/>
        <v>1.5303968678476998E-2</v>
      </c>
      <c r="G1489" s="2">
        <f t="shared" si="70"/>
        <v>1.0841517192500206E-3</v>
      </c>
      <c r="M1489">
        <v>4.3284930499999996</v>
      </c>
      <c r="N1489">
        <v>4.3289853460007901</v>
      </c>
      <c r="O1489" s="1">
        <v>7.9934364847655599E-8</v>
      </c>
      <c r="P1489" s="2">
        <f t="shared" si="71"/>
        <v>3.0319294192954396</v>
      </c>
    </row>
    <row r="1490" spans="2:16" x14ac:dyDescent="0.25">
      <c r="B1490">
        <v>1489</v>
      </c>
      <c r="C1490">
        <v>-0.25589666959386898</v>
      </c>
      <c r="D1490">
        <v>-0.24556480338657</v>
      </c>
      <c r="E1490">
        <v>0.26193242203693501</v>
      </c>
      <c r="F1490">
        <f t="shared" si="69"/>
        <v>-1.0331866207298979E-2</v>
      </c>
      <c r="G1490" s="2">
        <f t="shared" si="70"/>
        <v>4.0753816765178524E-4</v>
      </c>
      <c r="M1490">
        <v>0.45970742967375799</v>
      </c>
      <c r="N1490">
        <v>0.459674715770928</v>
      </c>
      <c r="O1490" s="1">
        <v>4.1266910386141502E-10</v>
      </c>
      <c r="P1490" s="2">
        <f t="shared" si="71"/>
        <v>2.5933597363028036</v>
      </c>
    </row>
    <row r="1491" spans="2:16" x14ac:dyDescent="0.25">
      <c r="B1491">
        <v>1490</v>
      </c>
      <c r="C1491">
        <v>-0.21903938772534701</v>
      </c>
      <c r="D1491">
        <v>-0.24344503674762699</v>
      </c>
      <c r="E1491">
        <v>0.19191301350038001</v>
      </c>
      <c r="F1491">
        <f t="shared" si="69"/>
        <v>2.4405649022279985E-2</v>
      </c>
      <c r="G1491" s="2">
        <f t="shared" si="70"/>
        <v>3.1036754273963637E-3</v>
      </c>
      <c r="M1491">
        <v>0.99398176392578996</v>
      </c>
      <c r="N1491">
        <v>0.99390136363886605</v>
      </c>
      <c r="O1491" s="1">
        <v>1.8993756904277501E-9</v>
      </c>
      <c r="P1491" s="2">
        <f t="shared" si="71"/>
        <v>3.4033320369553666</v>
      </c>
    </row>
    <row r="1492" spans="2:16" x14ac:dyDescent="0.25">
      <c r="B1492">
        <v>1491</v>
      </c>
      <c r="C1492">
        <v>-0.24814734732141799</v>
      </c>
      <c r="D1492">
        <v>-0.24803123038014799</v>
      </c>
      <c r="E1492">
        <v>0.24630842393062699</v>
      </c>
      <c r="F1492">
        <f t="shared" si="69"/>
        <v>-1.1611694127000582E-4</v>
      </c>
      <c r="G1492" s="2">
        <f t="shared" si="70"/>
        <v>5.4740896940250498E-8</v>
      </c>
      <c r="M1492">
        <v>0.45967462823358501</v>
      </c>
      <c r="N1492">
        <v>0.45964905319490001</v>
      </c>
      <c r="O1492" s="1">
        <v>6.2611315660538698E-10</v>
      </c>
      <c r="P1492" s="2">
        <f t="shared" si="71"/>
        <v>1.0446715531190549</v>
      </c>
    </row>
    <row r="1493" spans="2:16" x14ac:dyDescent="0.25">
      <c r="B1493">
        <v>1492</v>
      </c>
      <c r="C1493">
        <v>-0.19111758061342499</v>
      </c>
      <c r="D1493">
        <v>-0.24436963006454501</v>
      </c>
      <c r="E1493">
        <v>0.14610371847811601</v>
      </c>
      <c r="F1493">
        <f t="shared" si="69"/>
        <v>5.3252049451120026E-2</v>
      </c>
      <c r="G1493" s="2">
        <f t="shared" si="70"/>
        <v>1.9409367538919191E-2</v>
      </c>
      <c r="M1493">
        <v>0.99398361153862003</v>
      </c>
      <c r="N1493">
        <v>0.99393874742958599</v>
      </c>
      <c r="O1493" s="1">
        <v>1.76940096971589E-9</v>
      </c>
      <c r="P1493" s="2">
        <f t="shared" si="71"/>
        <v>1.1375535075812599</v>
      </c>
    </row>
    <row r="1494" spans="2:16" x14ac:dyDescent="0.25">
      <c r="B1494">
        <v>1493</v>
      </c>
      <c r="C1494">
        <v>-0.25422540475393901</v>
      </c>
      <c r="D1494">
        <v>-0.24346094468242299</v>
      </c>
      <c r="E1494">
        <v>0.25852222568921601</v>
      </c>
      <c r="F1494">
        <f t="shared" si="69"/>
        <v>-1.0764460071516019E-2</v>
      </c>
      <c r="G1494" s="2">
        <f t="shared" si="70"/>
        <v>4.4821523690021442E-4</v>
      </c>
      <c r="M1494">
        <v>0.45960167924358802</v>
      </c>
      <c r="N1494">
        <v>0.45964880840809202</v>
      </c>
      <c r="O1494" s="1">
        <v>3.5611115835710802E-10</v>
      </c>
      <c r="P1494" s="2">
        <f t="shared" si="71"/>
        <v>6.2372607392935899</v>
      </c>
    </row>
    <row r="1495" spans="2:16" x14ac:dyDescent="0.25">
      <c r="B1495">
        <v>1494</v>
      </c>
      <c r="C1495">
        <v>-0.26312308992733202</v>
      </c>
      <c r="D1495">
        <v>-0.237857562230255</v>
      </c>
      <c r="E1495">
        <v>0.27693504181162698</v>
      </c>
      <c r="F1495">
        <f t="shared" si="69"/>
        <v>-2.5265527697077017E-2</v>
      </c>
      <c r="G1495" s="2">
        <f t="shared" si="70"/>
        <v>2.3050419536505373E-3</v>
      </c>
      <c r="M1495">
        <v>0.99385748291445497</v>
      </c>
      <c r="N1495">
        <v>0.99393910403799801</v>
      </c>
      <c r="O1495" s="1">
        <v>9.7995548554908398E-10</v>
      </c>
      <c r="P1495" s="2">
        <f t="shared" si="71"/>
        <v>6.7982759489279392</v>
      </c>
    </row>
    <row r="1496" spans="2:16" x14ac:dyDescent="0.25">
      <c r="B1496">
        <v>1495</v>
      </c>
      <c r="C1496">
        <v>-0.25226167121915299</v>
      </c>
      <c r="D1496">
        <v>-0.23936065772433501</v>
      </c>
      <c r="E1496">
        <v>0.25454380306512098</v>
      </c>
      <c r="F1496">
        <f t="shared" si="69"/>
        <v>-1.2901013494817981E-2</v>
      </c>
      <c r="G1496" s="2">
        <f t="shared" si="70"/>
        <v>6.538605426229749E-4</v>
      </c>
      <c r="M1496">
        <v>0.45963010324972697</v>
      </c>
      <c r="N1496">
        <v>0.45963594896908599</v>
      </c>
      <c r="O1496" s="1">
        <v>4.6003350550036498E-10</v>
      </c>
      <c r="P1496" s="2">
        <f t="shared" si="71"/>
        <v>7.4282491200865705E-2</v>
      </c>
    </row>
    <row r="1497" spans="2:16" x14ac:dyDescent="0.25">
      <c r="B1497">
        <v>1496</v>
      </c>
      <c r="C1497">
        <v>-0.23118266525457501</v>
      </c>
      <c r="D1497">
        <v>-0.24660497275082199</v>
      </c>
      <c r="E1497">
        <v>0.21378169885683501</v>
      </c>
      <c r="F1497">
        <f t="shared" si="69"/>
        <v>1.5422307496246984E-2</v>
      </c>
      <c r="G1497" s="2">
        <f t="shared" si="70"/>
        <v>1.1125721695573075E-3</v>
      </c>
      <c r="M1497">
        <v>0.99394651611631801</v>
      </c>
      <c r="N1497">
        <v>0.99395783827268203</v>
      </c>
      <c r="O1497" s="1">
        <v>1.4067332819916E-9</v>
      </c>
      <c r="P1497" s="2">
        <f t="shared" si="71"/>
        <v>9.112688693173919E-2</v>
      </c>
    </row>
    <row r="1498" spans="2:16" x14ac:dyDescent="0.25">
      <c r="B1498">
        <v>1497</v>
      </c>
      <c r="C1498">
        <v>-0.25707161219903601</v>
      </c>
      <c r="D1498">
        <v>-0.25002933936864502</v>
      </c>
      <c r="E1498">
        <v>0.26434325519444601</v>
      </c>
      <c r="F1498">
        <f t="shared" si="69"/>
        <v>-7.0422728303909943E-3</v>
      </c>
      <c r="G1498" s="2">
        <f t="shared" si="70"/>
        <v>1.8761063746900993E-4</v>
      </c>
      <c r="M1498">
        <v>0.45966628526939002</v>
      </c>
      <c r="N1498">
        <v>0.45964186157037001</v>
      </c>
      <c r="O1498" s="1">
        <v>4.4224615926583901E-10</v>
      </c>
      <c r="P1498" s="2">
        <f t="shared" si="71"/>
        <v>1.3488349447963899</v>
      </c>
    </row>
    <row r="1499" spans="2:16" x14ac:dyDescent="0.25">
      <c r="B1499">
        <v>1498</v>
      </c>
      <c r="C1499">
        <v>-0.26598799455081801</v>
      </c>
      <c r="D1499">
        <v>-0.245924748477861</v>
      </c>
      <c r="E1499">
        <v>0.28299845298066301</v>
      </c>
      <c r="F1499">
        <f t="shared" si="69"/>
        <v>-2.0063246072957008E-2</v>
      </c>
      <c r="G1499" s="2">
        <f t="shared" si="70"/>
        <v>1.4223888461027366E-3</v>
      </c>
      <c r="M1499">
        <v>0.99398717569223605</v>
      </c>
      <c r="N1499">
        <v>0.99394922440850098</v>
      </c>
      <c r="O1499" s="1">
        <v>1.03600111472353E-9</v>
      </c>
      <c r="P1499" s="2">
        <f t="shared" si="71"/>
        <v>1.3902494086835662</v>
      </c>
    </row>
    <row r="1500" spans="2:16" x14ac:dyDescent="0.25">
      <c r="B1500">
        <v>1499</v>
      </c>
      <c r="C1500">
        <v>-0.218922704525052</v>
      </c>
      <c r="D1500">
        <v>-0.24981163260129399</v>
      </c>
      <c r="E1500">
        <v>0.19170860222625399</v>
      </c>
      <c r="F1500">
        <f t="shared" si="69"/>
        <v>3.0888928076241995E-2</v>
      </c>
      <c r="G1500" s="2">
        <f t="shared" si="70"/>
        <v>4.9769591276514246E-3</v>
      </c>
      <c r="M1500">
        <v>0.45966033641404203</v>
      </c>
      <c r="N1500">
        <v>0.45966219175464501</v>
      </c>
      <c r="O1500" s="1">
        <v>4.7788358774616896E-10</v>
      </c>
      <c r="P1500" s="2">
        <f t="shared" si="71"/>
        <v>7.2031951742069318E-3</v>
      </c>
    </row>
    <row r="1501" spans="2:16" x14ac:dyDescent="0.25">
      <c r="B1501">
        <v>1500</v>
      </c>
      <c r="C1501">
        <v>-0.23527673957263601</v>
      </c>
      <c r="D1501">
        <v>-0.24174399009852901</v>
      </c>
      <c r="E1501">
        <v>0.22142057673571899</v>
      </c>
      <c r="F1501">
        <f t="shared" si="69"/>
        <v>6.4672505258930035E-3</v>
      </c>
      <c r="G1501" s="2">
        <f t="shared" si="70"/>
        <v>1.8889540430826714E-4</v>
      </c>
      <c r="M1501">
        <v>0.993916722426745</v>
      </c>
      <c r="N1501">
        <v>0.99391960748173003</v>
      </c>
      <c r="O1501" s="1">
        <v>1.1188435779664301E-9</v>
      </c>
      <c r="P1501" s="2">
        <f t="shared" si="71"/>
        <v>7.4394155094884987E-3</v>
      </c>
    </row>
    <row r="1502" spans="2:16" x14ac:dyDescent="0.25">
      <c r="B1502">
        <v>1501</v>
      </c>
      <c r="C1502">
        <v>-0.28544548719733198</v>
      </c>
      <c r="D1502">
        <v>-0.24850139999016599</v>
      </c>
      <c r="E1502">
        <v>0.32591650464528898</v>
      </c>
      <c r="F1502">
        <f t="shared" si="69"/>
        <v>-3.6944087207165993E-2</v>
      </c>
      <c r="G1502" s="2">
        <f t="shared" si="70"/>
        <v>4.1877768082231263E-3</v>
      </c>
      <c r="M1502">
        <v>0.45965412611933198</v>
      </c>
      <c r="N1502">
        <v>0.45967185196097199</v>
      </c>
      <c r="O1502" s="1">
        <v>6.27259060408556E-10</v>
      </c>
      <c r="P1502" s="2">
        <f t="shared" si="71"/>
        <v>0.50091817189829524</v>
      </c>
    </row>
    <row r="1503" spans="2:16" x14ac:dyDescent="0.25">
      <c r="B1503">
        <v>1502</v>
      </c>
      <c r="C1503">
        <v>-0.236760626087515</v>
      </c>
      <c r="D1503">
        <v>-0.249359184497769</v>
      </c>
      <c r="E1503">
        <v>0.22422237626140901</v>
      </c>
      <c r="F1503">
        <f t="shared" si="69"/>
        <v>1.2598558410254007E-2</v>
      </c>
      <c r="G1503" s="2">
        <f t="shared" si="70"/>
        <v>7.0788507669517539E-4</v>
      </c>
      <c r="M1503">
        <v>0.99387415325611606</v>
      </c>
      <c r="N1503">
        <v>0.99390553530223602</v>
      </c>
      <c r="O1503" s="1">
        <v>1.7135529911359599E-9</v>
      </c>
      <c r="P1503" s="2">
        <f t="shared" si="71"/>
        <v>0.57473146367231098</v>
      </c>
    </row>
    <row r="1504" spans="2:16" x14ac:dyDescent="0.25">
      <c r="B1504">
        <v>1503</v>
      </c>
      <c r="C1504">
        <v>-0.261079993780167</v>
      </c>
      <c r="D1504">
        <v>-0.247653215155787</v>
      </c>
      <c r="E1504">
        <v>0.27265105260900702</v>
      </c>
      <c r="F1504">
        <f t="shared" si="69"/>
        <v>-1.3426778624379992E-2</v>
      </c>
      <c r="G1504" s="2">
        <f t="shared" si="70"/>
        <v>6.6120553177043552E-4</v>
      </c>
      <c r="M1504">
        <v>0.45971863760692699</v>
      </c>
      <c r="N1504">
        <v>0.45966313268492298</v>
      </c>
      <c r="O1504" s="1">
        <v>6.5647970164646599E-10</v>
      </c>
      <c r="P1504" s="2">
        <f t="shared" si="71"/>
        <v>4.6929042268097927</v>
      </c>
    </row>
    <row r="1505" spans="2:16" x14ac:dyDescent="0.25">
      <c r="B1505">
        <v>1504</v>
      </c>
      <c r="C1505">
        <v>-0.23395083024534</v>
      </c>
      <c r="D1505">
        <v>-0.24779424458979499</v>
      </c>
      <c r="E1505">
        <v>0.21893196388993499</v>
      </c>
      <c r="F1505">
        <f t="shared" si="69"/>
        <v>1.3843414344454991E-2</v>
      </c>
      <c r="G1505" s="2">
        <f t="shared" si="70"/>
        <v>8.7534098405387078E-4</v>
      </c>
      <c r="M1505">
        <v>0.99400401392489801</v>
      </c>
      <c r="N1505">
        <v>0.993918236791549</v>
      </c>
      <c r="O1505" s="1">
        <v>1.50307809692902E-9</v>
      </c>
      <c r="P1505" s="2">
        <f t="shared" si="71"/>
        <v>4.8950993435445467</v>
      </c>
    </row>
    <row r="1506" spans="2:16" x14ac:dyDescent="0.25">
      <c r="B1506">
        <v>1505</v>
      </c>
      <c r="C1506">
        <v>-0.24086553253247101</v>
      </c>
      <c r="D1506">
        <v>-0.24861471847063299</v>
      </c>
      <c r="E1506">
        <v>0.23206481904860299</v>
      </c>
      <c r="F1506">
        <f t="shared" si="69"/>
        <v>7.7491859381619843E-3</v>
      </c>
      <c r="G1506" s="2">
        <f t="shared" si="70"/>
        <v>2.5876340476938366E-4</v>
      </c>
      <c r="M1506">
        <v>0.45960468835169599</v>
      </c>
      <c r="N1506">
        <v>0.45961534544778598</v>
      </c>
      <c r="O1506" s="1">
        <v>4.3447607911588899E-10</v>
      </c>
      <c r="P1506" s="2">
        <f t="shared" si="71"/>
        <v>0.26140379765551708</v>
      </c>
    </row>
    <row r="1507" spans="2:16" x14ac:dyDescent="0.25">
      <c r="B1507">
        <v>1506</v>
      </c>
      <c r="C1507">
        <v>-0.239402702354307</v>
      </c>
      <c r="D1507">
        <v>-0.24710118523671301</v>
      </c>
      <c r="E1507">
        <v>0.22925461557818</v>
      </c>
      <c r="F1507">
        <f t="shared" si="69"/>
        <v>7.6984828824060159E-3</v>
      </c>
      <c r="G1507" s="2">
        <f t="shared" si="70"/>
        <v>2.5851884613632757E-4</v>
      </c>
      <c r="M1507">
        <v>0.99396148757412095</v>
      </c>
      <c r="N1507">
        <v>0.99398785627897601</v>
      </c>
      <c r="O1507" s="1">
        <v>2.1207922264664799E-9</v>
      </c>
      <c r="P1507" s="2">
        <f t="shared" si="71"/>
        <v>0.32785323666140015</v>
      </c>
    </row>
    <row r="1508" spans="2:16" x14ac:dyDescent="0.25">
      <c r="B1508">
        <v>1507</v>
      </c>
      <c r="C1508">
        <v>-0.240519517814068</v>
      </c>
      <c r="D1508">
        <v>-0.24708961905943899</v>
      </c>
      <c r="E1508">
        <v>0.231398553798047</v>
      </c>
      <c r="F1508">
        <f t="shared" si="69"/>
        <v>6.5701012453709962E-3</v>
      </c>
      <c r="G1508" s="2">
        <f t="shared" si="70"/>
        <v>1.8654494449476476E-4</v>
      </c>
      <c r="M1508">
        <v>0.45964060464186102</v>
      </c>
      <c r="N1508">
        <v>0.459664284987435</v>
      </c>
      <c r="O1508" s="1">
        <v>4.9198054240603505E-10</v>
      </c>
      <c r="P1508" s="2">
        <f t="shared" si="71"/>
        <v>1.1397986671605334</v>
      </c>
    </row>
    <row r="1509" spans="2:16" x14ac:dyDescent="0.25">
      <c r="B1509">
        <v>1508</v>
      </c>
      <c r="C1509">
        <v>-0.26490943559007302</v>
      </c>
      <c r="D1509">
        <v>-0.244346783532224</v>
      </c>
      <c r="E1509">
        <v>0.28070803625860402</v>
      </c>
      <c r="F1509">
        <f t="shared" si="69"/>
        <v>-2.0562652057849018E-2</v>
      </c>
      <c r="G1509" s="2">
        <f t="shared" si="70"/>
        <v>1.5062720158913955E-3</v>
      </c>
      <c r="M1509">
        <v>0.99383570278481403</v>
      </c>
      <c r="N1509">
        <v>0.99391655819351199</v>
      </c>
      <c r="O1509" s="1">
        <v>2.8348072428321202E-9</v>
      </c>
      <c r="P1509" s="2">
        <f t="shared" si="71"/>
        <v>2.3061875308255391</v>
      </c>
    </row>
    <row r="1510" spans="2:16" x14ac:dyDescent="0.25">
      <c r="B1510">
        <v>1509</v>
      </c>
      <c r="C1510">
        <v>-0.27882526907176702</v>
      </c>
      <c r="D1510">
        <v>-0.248668228038322</v>
      </c>
      <c r="E1510">
        <v>0.31097412269177299</v>
      </c>
      <c r="F1510">
        <f t="shared" si="69"/>
        <v>-3.015704103344502E-2</v>
      </c>
      <c r="G1510" s="2">
        <f t="shared" si="70"/>
        <v>2.9245106185066721E-3</v>
      </c>
      <c r="M1510">
        <v>4.3215358500000001</v>
      </c>
      <c r="N1510">
        <v>4.32121569622793</v>
      </c>
      <c r="O1510" s="1">
        <v>1.2137093842105099E-7</v>
      </c>
      <c r="P1510" s="2">
        <f t="shared" si="71"/>
        <v>0.84450560491763449</v>
      </c>
    </row>
    <row r="1511" spans="2:16" x14ac:dyDescent="0.25">
      <c r="B1511">
        <v>1510</v>
      </c>
      <c r="C1511">
        <v>-0.28198862578106398</v>
      </c>
      <c r="D1511">
        <v>-0.24867530842762101</v>
      </c>
      <c r="E1511">
        <v>0.31807034027957198</v>
      </c>
      <c r="F1511">
        <f t="shared" si="69"/>
        <v>-3.3313317353442978E-2</v>
      </c>
      <c r="G1511" s="2">
        <f t="shared" si="70"/>
        <v>3.4890933625428655E-3</v>
      </c>
      <c r="M1511">
        <v>2.0196518700000001</v>
      </c>
      <c r="N1511">
        <v>2.0195592199630501</v>
      </c>
      <c r="O1511" s="1">
        <v>2.85691350193881E-8</v>
      </c>
      <c r="P1511" s="2">
        <f t="shared" si="71"/>
        <v>0.30046514677520841</v>
      </c>
    </row>
    <row r="1512" spans="2:16" x14ac:dyDescent="0.25">
      <c r="B1512">
        <v>1511</v>
      </c>
      <c r="C1512">
        <v>-0.27647102562387399</v>
      </c>
      <c r="D1512">
        <v>-0.25061268105815998</v>
      </c>
      <c r="E1512">
        <v>0.30574491203806797</v>
      </c>
      <c r="F1512">
        <f t="shared" si="69"/>
        <v>-2.5858344565714009E-2</v>
      </c>
      <c r="G1512" s="2">
        <f t="shared" si="70"/>
        <v>2.1869668385387157E-3</v>
      </c>
      <c r="M1512">
        <v>4.3279427000000004</v>
      </c>
      <c r="N1512">
        <v>4.3275724536496503</v>
      </c>
      <c r="O1512" s="1">
        <v>9.0676015734070806E-8</v>
      </c>
      <c r="P1512" s="2">
        <f t="shared" si="71"/>
        <v>1.5117819065804183</v>
      </c>
    </row>
    <row r="1513" spans="2:16" x14ac:dyDescent="0.25">
      <c r="B1513">
        <v>1512</v>
      </c>
      <c r="C1513">
        <v>-0.26191685851792901</v>
      </c>
      <c r="D1513">
        <v>-0.25377192381494501</v>
      </c>
      <c r="E1513">
        <v>0.27440176310360298</v>
      </c>
      <c r="F1513">
        <f t="shared" si="69"/>
        <v>-8.1449347029839969E-3</v>
      </c>
      <c r="G1513" s="2">
        <f t="shared" si="70"/>
        <v>2.4176215402386364E-4</v>
      </c>
      <c r="M1513">
        <v>4.3233556999999996</v>
      </c>
      <c r="N1513">
        <v>4.3229822149740302</v>
      </c>
      <c r="O1513" s="1">
        <v>4.7714545096943799E-8</v>
      </c>
      <c r="P1513" s="2">
        <f t="shared" si="71"/>
        <v>2.9234495338876569</v>
      </c>
    </row>
    <row r="1514" spans="2:16" x14ac:dyDescent="0.25">
      <c r="B1514">
        <v>1513</v>
      </c>
      <c r="C1514">
        <v>-0.232150433495832</v>
      </c>
      <c r="D1514">
        <v>-0.24993614514118401</v>
      </c>
      <c r="E1514">
        <v>0.21557529508921</v>
      </c>
      <c r="F1514">
        <f t="shared" si="69"/>
        <v>1.7785711645352004E-2</v>
      </c>
      <c r="G1514" s="2">
        <f t="shared" si="70"/>
        <v>1.4673830718900541E-3</v>
      </c>
      <c r="M1514">
        <v>2.0203915800000001</v>
      </c>
      <c r="N1514">
        <v>2.02009773855317</v>
      </c>
      <c r="O1514" s="1">
        <v>1.62328728310245E-8</v>
      </c>
      <c r="P1514" s="2">
        <f t="shared" si="71"/>
        <v>5.3190089501706019</v>
      </c>
    </row>
    <row r="1515" spans="2:16" x14ac:dyDescent="0.25">
      <c r="B1515">
        <v>1514</v>
      </c>
      <c r="C1515">
        <v>-0.23122085069432899</v>
      </c>
      <c r="D1515">
        <v>-0.248357600818577</v>
      </c>
      <c r="E1515">
        <v>0.21385232718323599</v>
      </c>
      <c r="F1515">
        <f t="shared" si="69"/>
        <v>1.7136750124248007E-2</v>
      </c>
      <c r="G1515" s="2">
        <f t="shared" si="70"/>
        <v>1.3732289411528785E-3</v>
      </c>
      <c r="M1515">
        <v>4.328834445</v>
      </c>
      <c r="N1515">
        <v>4.3283000985753501</v>
      </c>
      <c r="O1515" s="1">
        <v>6.7960495372573705E-8</v>
      </c>
      <c r="P1515" s="2">
        <f t="shared" si="71"/>
        <v>4.201354036205978</v>
      </c>
    </row>
    <row r="1516" spans="2:16" x14ac:dyDescent="0.25">
      <c r="B1516">
        <v>1515</v>
      </c>
      <c r="C1516">
        <v>-0.23290768820548999</v>
      </c>
      <c r="D1516">
        <v>-0.24659788725849899</v>
      </c>
      <c r="E1516">
        <v>0.21698396490090199</v>
      </c>
      <c r="F1516">
        <f t="shared" si="69"/>
        <v>1.3690199053009E-2</v>
      </c>
      <c r="G1516" s="2">
        <f t="shared" si="70"/>
        <v>8.6375760622037288E-4</v>
      </c>
      <c r="M1516">
        <v>4.3236771550000004</v>
      </c>
      <c r="N1516">
        <v>4.3233481048348503</v>
      </c>
      <c r="O1516" s="1">
        <v>1.70004034209147E-7</v>
      </c>
      <c r="P1516" s="2">
        <f t="shared" si="71"/>
        <v>0.6368908343202988</v>
      </c>
    </row>
    <row r="1517" spans="2:16" x14ac:dyDescent="0.25">
      <c r="B1517">
        <v>1516</v>
      </c>
      <c r="C1517">
        <v>-0.21504206391941699</v>
      </c>
      <c r="D1517">
        <v>-0.24530371880753099</v>
      </c>
      <c r="E1517">
        <v>0.18497235701889</v>
      </c>
      <c r="F1517">
        <f t="shared" si="69"/>
        <v>3.0261654888113998E-2</v>
      </c>
      <c r="G1517" s="2">
        <f t="shared" si="70"/>
        <v>4.9508357428444975E-3</v>
      </c>
      <c r="M1517">
        <v>2.0203417749999999</v>
      </c>
      <c r="N1517">
        <v>2.0202092695488898</v>
      </c>
      <c r="O1517" s="1">
        <v>4.6157126475071301E-8</v>
      </c>
      <c r="P1517" s="2">
        <f t="shared" si="71"/>
        <v>0.38038968009356861</v>
      </c>
    </row>
    <row r="1518" spans="2:16" x14ac:dyDescent="0.25">
      <c r="B1518">
        <v>1517</v>
      </c>
      <c r="C1518">
        <v>-0.26337782750528599</v>
      </c>
      <c r="D1518">
        <v>-0.24344363663620699</v>
      </c>
      <c r="E1518">
        <v>0.27747152008561599</v>
      </c>
      <c r="F1518">
        <f t="shared" si="69"/>
        <v>-1.9934190869078994E-2</v>
      </c>
      <c r="G1518" s="2">
        <f t="shared" si="70"/>
        <v>1.4321180259590611E-3</v>
      </c>
      <c r="M1518">
        <v>4.3287938849999996</v>
      </c>
      <c r="N1518">
        <v>4.32845079001088</v>
      </c>
      <c r="O1518" s="1">
        <v>1.62880269710516E-7</v>
      </c>
      <c r="P1518" s="2">
        <f t="shared" si="71"/>
        <v>0.72270368761196813</v>
      </c>
    </row>
    <row r="1519" spans="2:16" x14ac:dyDescent="0.25">
      <c r="B1519">
        <v>1518</v>
      </c>
      <c r="C1519">
        <v>-0.241907442442167</v>
      </c>
      <c r="D1519">
        <v>-0.246660449987401</v>
      </c>
      <c r="E1519">
        <v>0.23407684283564201</v>
      </c>
      <c r="F1519">
        <f t="shared" si="69"/>
        <v>4.7530075452340004E-3</v>
      </c>
      <c r="G1519" s="2">
        <f t="shared" si="70"/>
        <v>9.6511386822291332E-5</v>
      </c>
      <c r="M1519">
        <v>4.3236754749999999</v>
      </c>
      <c r="N1519">
        <v>4.3242032464103</v>
      </c>
      <c r="O1519" s="1">
        <v>1.8146013500691499E-7</v>
      </c>
      <c r="P1519" s="2">
        <f t="shared" si="71"/>
        <v>1.5350074633167459</v>
      </c>
    </row>
    <row r="1520" spans="2:16" x14ac:dyDescent="0.25">
      <c r="B1520">
        <v>1519</v>
      </c>
      <c r="C1520">
        <v>-0.24869699103673901</v>
      </c>
      <c r="D1520">
        <v>-0.243599780039086</v>
      </c>
      <c r="E1520">
        <v>0.247400773402912</v>
      </c>
      <c r="F1520">
        <f t="shared" si="69"/>
        <v>-5.0972109976530067E-3</v>
      </c>
      <c r="G1520" s="2">
        <f t="shared" si="70"/>
        <v>1.0501810320649931E-4</v>
      </c>
      <c r="M1520">
        <v>2.0200490200000001</v>
      </c>
      <c r="N1520">
        <v>2.0204699220548101</v>
      </c>
      <c r="O1520" s="1">
        <v>4.4242463468143799E-8</v>
      </c>
      <c r="P1520" s="2">
        <f t="shared" si="71"/>
        <v>4.0042648138451824</v>
      </c>
    </row>
    <row r="1521" spans="2:16" x14ac:dyDescent="0.25">
      <c r="B1521">
        <v>1520</v>
      </c>
      <c r="C1521">
        <v>-0.229392485895339</v>
      </c>
      <c r="D1521">
        <v>-0.21420291817076301</v>
      </c>
      <c r="E1521">
        <v>0.21048365034097299</v>
      </c>
      <c r="F1521">
        <f t="shared" si="69"/>
        <v>-1.5189567724575997E-2</v>
      </c>
      <c r="G1521" s="2">
        <f t="shared" si="70"/>
        <v>1.0961562443720506E-3</v>
      </c>
      <c r="M1521">
        <v>4.32831762</v>
      </c>
      <c r="N1521">
        <v>4.3288029500858496</v>
      </c>
      <c r="O1521" s="1">
        <v>1.28379310781175E-7</v>
      </c>
      <c r="P1521" s="2">
        <f t="shared" si="71"/>
        <v>1.8347605295395495</v>
      </c>
    </row>
    <row r="1522" spans="2:16" x14ac:dyDescent="0.25">
      <c r="B1522">
        <v>1521</v>
      </c>
      <c r="C1522">
        <v>-0.207493686451756</v>
      </c>
      <c r="D1522">
        <v>-0.220439841732369</v>
      </c>
      <c r="E1522">
        <v>0.172214519669358</v>
      </c>
      <c r="F1522">
        <f t="shared" si="69"/>
        <v>1.2946155280612992E-2</v>
      </c>
      <c r="G1522" s="2">
        <f t="shared" si="70"/>
        <v>9.7322186811850528E-4</v>
      </c>
      <c r="M1522">
        <v>4.3251936049999999</v>
      </c>
      <c r="N1522">
        <v>4.32537256408055</v>
      </c>
      <c r="O1522" s="1">
        <v>1.9165375437534699E-7</v>
      </c>
      <c r="P1522" s="2">
        <f t="shared" si="71"/>
        <v>0.16710527073012596</v>
      </c>
    </row>
    <row r="1523" spans="2:16" x14ac:dyDescent="0.25">
      <c r="B1523">
        <v>1522</v>
      </c>
      <c r="C1523">
        <v>-0.19494409530228099</v>
      </c>
      <c r="D1523">
        <v>-0.22117509342212199</v>
      </c>
      <c r="E1523">
        <v>0.1520128011729</v>
      </c>
      <c r="F1523">
        <f t="shared" si="69"/>
        <v>2.6230998119841004E-2</v>
      </c>
      <c r="G1523" s="2">
        <f t="shared" si="70"/>
        <v>4.5263639447081427E-3</v>
      </c>
      <c r="M1523">
        <v>2.0206568900000001</v>
      </c>
      <c r="N1523">
        <v>2.02082630839613</v>
      </c>
      <c r="O1523" s="1">
        <v>4.4520369689748497E-8</v>
      </c>
      <c r="P1523" s="2">
        <f t="shared" si="71"/>
        <v>0.64470697676646871</v>
      </c>
    </row>
    <row r="1524" spans="2:16" x14ac:dyDescent="0.25">
      <c r="B1524">
        <v>1523</v>
      </c>
      <c r="C1524">
        <v>-0.20730879513543199</v>
      </c>
      <c r="D1524">
        <v>-0.220150846164897</v>
      </c>
      <c r="E1524">
        <v>0.17190774616201801</v>
      </c>
      <c r="F1524">
        <f t="shared" si="69"/>
        <v>1.2842051029465007E-2</v>
      </c>
      <c r="G1524" s="2">
        <f t="shared" si="70"/>
        <v>9.5934173023217112E-4</v>
      </c>
      <c r="M1524">
        <v>4.3290791149999999</v>
      </c>
      <c r="N1524">
        <v>4.3292844262230101</v>
      </c>
      <c r="O1524" s="1">
        <v>1.51736498076187E-7</v>
      </c>
      <c r="P1524" s="2">
        <f t="shared" si="71"/>
        <v>0.27780197136752777</v>
      </c>
    </row>
    <row r="1525" spans="2:16" x14ac:dyDescent="0.25">
      <c r="B1525">
        <v>1524</v>
      </c>
      <c r="C1525">
        <v>-0.203594081468845</v>
      </c>
      <c r="D1525">
        <v>-0.21633152456621901</v>
      </c>
      <c r="E1525">
        <v>0.16580220003657001</v>
      </c>
      <c r="F1525">
        <f t="shared" si="69"/>
        <v>1.2737443097374013E-2</v>
      </c>
      <c r="G1525" s="2">
        <f t="shared" si="70"/>
        <v>9.785301800763562E-4</v>
      </c>
      <c r="M1525">
        <v>4.326975515</v>
      </c>
      <c r="N1525">
        <v>4.3265958383242404</v>
      </c>
      <c r="O1525" s="1">
        <v>1.3433545403187401E-7</v>
      </c>
      <c r="P1525" s="2">
        <f t="shared" si="71"/>
        <v>1.073092573771496</v>
      </c>
    </row>
    <row r="1526" spans="2:16" x14ac:dyDescent="0.25">
      <c r="B1526">
        <v>1525</v>
      </c>
      <c r="C1526">
        <v>-0.197073965356659</v>
      </c>
      <c r="D1526">
        <v>-0.213036397812468</v>
      </c>
      <c r="E1526">
        <v>0.15535259128559101</v>
      </c>
      <c r="F1526">
        <f t="shared" si="69"/>
        <v>1.5962432455809E-2</v>
      </c>
      <c r="G1526" s="2">
        <f t="shared" si="70"/>
        <v>1.6401351776479654E-3</v>
      </c>
      <c r="M1526">
        <v>2.0214589150000002</v>
      </c>
      <c r="N1526">
        <v>2.0211991038511301</v>
      </c>
      <c r="O1526" s="1">
        <v>4.0142705721605698E-8</v>
      </c>
      <c r="P1526" s="2">
        <f t="shared" si="71"/>
        <v>1.6815466686606708</v>
      </c>
    </row>
    <row r="1527" spans="2:16" x14ac:dyDescent="0.25">
      <c r="B1527">
        <v>1526</v>
      </c>
      <c r="C1527">
        <v>-0.215640385541505</v>
      </c>
      <c r="D1527">
        <v>-0.22536702973949199</v>
      </c>
      <c r="E1527">
        <v>0.186003103505956</v>
      </c>
      <c r="F1527">
        <f t="shared" si="69"/>
        <v>9.7266441979869944E-3</v>
      </c>
      <c r="G1527" s="2">
        <f t="shared" si="70"/>
        <v>5.0863456346148883E-4</v>
      </c>
      <c r="M1527">
        <v>4.3301771450000004</v>
      </c>
      <c r="N1527">
        <v>4.3297880374245601</v>
      </c>
      <c r="O1527" s="1">
        <v>1.06043372768696E-7</v>
      </c>
      <c r="P1527" s="2">
        <f t="shared" si="71"/>
        <v>1.4277620685950891</v>
      </c>
    </row>
    <row r="1528" spans="2:16" x14ac:dyDescent="0.25">
      <c r="B1528">
        <v>1527</v>
      </c>
      <c r="C1528">
        <v>-0.223098638583697</v>
      </c>
      <c r="D1528">
        <v>-0.22375089351074001</v>
      </c>
      <c r="E1528">
        <v>0.199092010151597</v>
      </c>
      <c r="F1528">
        <f t="shared" si="69"/>
        <v>6.5225492704301669E-4</v>
      </c>
      <c r="G1528" s="2">
        <f t="shared" si="70"/>
        <v>2.1368837932167437E-6</v>
      </c>
      <c r="M1528">
        <v>4.32623303</v>
      </c>
      <c r="N1528">
        <v>4.3263407796778903</v>
      </c>
      <c r="O1528" s="1">
        <v>1.0020772222159501E-7</v>
      </c>
      <c r="P1528" s="2">
        <f t="shared" si="71"/>
        <v>0.11585926541456922</v>
      </c>
    </row>
    <row r="1529" spans="2:16" x14ac:dyDescent="0.25">
      <c r="B1529">
        <v>1528</v>
      </c>
      <c r="C1529">
        <v>-0.24243820884323899</v>
      </c>
      <c r="D1529">
        <v>-0.21759104942339799</v>
      </c>
      <c r="E1529">
        <v>0.235105140428472</v>
      </c>
      <c r="F1529">
        <f t="shared" si="69"/>
        <v>-2.4847159419841003E-2</v>
      </c>
      <c r="G1529" s="2">
        <f t="shared" si="70"/>
        <v>2.6259797217101878E-3</v>
      </c>
      <c r="M1529">
        <v>2.0213959149999998</v>
      </c>
      <c r="N1529">
        <v>2.0211213772045999</v>
      </c>
      <c r="O1529" s="1">
        <v>2.62563361371179E-8</v>
      </c>
      <c r="P1529" s="2">
        <f t="shared" si="71"/>
        <v>2.8705833406997816</v>
      </c>
    </row>
    <row r="1530" spans="2:16" x14ac:dyDescent="0.25">
      <c r="B1530">
        <v>1529</v>
      </c>
      <c r="C1530">
        <v>-0.23662961410071801</v>
      </c>
      <c r="D1530">
        <v>-0.22483416096685599</v>
      </c>
      <c r="E1530">
        <v>0.22397429707781899</v>
      </c>
      <c r="F1530">
        <f t="shared" si="69"/>
        <v>-1.1795453133862016E-2</v>
      </c>
      <c r="G1530" s="2">
        <f t="shared" si="70"/>
        <v>6.2119946997665602E-4</v>
      </c>
      <c r="M1530">
        <v>4.3291918300000001</v>
      </c>
      <c r="N1530">
        <v>4.3296830389494501</v>
      </c>
      <c r="O1530" s="1">
        <v>9.6431484493076203E-8</v>
      </c>
      <c r="P1530" s="2">
        <f t="shared" si="71"/>
        <v>2.5021520024103867</v>
      </c>
    </row>
    <row r="1531" spans="2:16" x14ac:dyDescent="0.25">
      <c r="B1531">
        <v>1530</v>
      </c>
      <c r="C1531">
        <v>-0.246321777351445</v>
      </c>
      <c r="D1531">
        <v>-0.22345659590547601</v>
      </c>
      <c r="E1531">
        <v>0.24269767199030001</v>
      </c>
      <c r="F1531">
        <f t="shared" si="69"/>
        <v>-2.2865181445968996E-2</v>
      </c>
      <c r="G1531" s="2">
        <f t="shared" si="70"/>
        <v>2.1541884529406629E-3</v>
      </c>
      <c r="M1531">
        <v>4.3273676449999998</v>
      </c>
      <c r="N1531">
        <v>4.32752206905998</v>
      </c>
      <c r="O1531" s="1">
        <v>1.37886893821316E-7</v>
      </c>
      <c r="P1531" s="2">
        <f t="shared" si="71"/>
        <v>0.17294457536827176</v>
      </c>
    </row>
    <row r="1532" spans="2:16" x14ac:dyDescent="0.25">
      <c r="B1532">
        <v>1531</v>
      </c>
      <c r="C1532">
        <v>-0.21112377613358199</v>
      </c>
      <c r="D1532">
        <v>-0.21972310687097599</v>
      </c>
      <c r="E1532">
        <v>0.178292995395612</v>
      </c>
      <c r="F1532">
        <f t="shared" si="69"/>
        <v>8.5993307373939953E-3</v>
      </c>
      <c r="G1532" s="2">
        <f t="shared" si="70"/>
        <v>4.1475824087763971E-4</v>
      </c>
      <c r="M1532">
        <v>2.0215265250000001</v>
      </c>
      <c r="N1532">
        <v>2.0214813502807401</v>
      </c>
      <c r="O1532" s="1">
        <v>5.1765302707756297E-8</v>
      </c>
      <c r="P1532" s="2">
        <f t="shared" si="71"/>
        <v>3.9423226630064458E-2</v>
      </c>
    </row>
    <row r="1533" spans="2:16" x14ac:dyDescent="0.25">
      <c r="B1533">
        <v>1532</v>
      </c>
      <c r="C1533">
        <v>-0.20533560455255601</v>
      </c>
      <c r="D1533">
        <v>-0.22494342594587199</v>
      </c>
      <c r="E1533">
        <v>0.16865084198785399</v>
      </c>
      <c r="F1533">
        <f t="shared" si="69"/>
        <v>1.9607821393315988E-2</v>
      </c>
      <c r="G1533" s="2">
        <f t="shared" si="70"/>
        <v>2.2796604823346746E-3</v>
      </c>
      <c r="M1533">
        <v>4.3298389200000003</v>
      </c>
      <c r="N1533">
        <v>4.3301693026820898</v>
      </c>
      <c r="O1533" s="1">
        <v>2.28971208343482E-7</v>
      </c>
      <c r="P1533" s="2">
        <f t="shared" si="71"/>
        <v>0.47670935317299695</v>
      </c>
    </row>
    <row r="1534" spans="2:16" x14ac:dyDescent="0.25">
      <c r="B1534">
        <v>1533</v>
      </c>
      <c r="C1534">
        <v>-0.208498944178301</v>
      </c>
      <c r="D1534">
        <v>-0.22057036331151</v>
      </c>
      <c r="E1534">
        <v>0.17388723889386601</v>
      </c>
      <c r="F1534">
        <f t="shared" si="69"/>
        <v>1.2071419133208999E-2</v>
      </c>
      <c r="G1534" s="2">
        <f t="shared" si="70"/>
        <v>8.3800951016621528E-4</v>
      </c>
      <c r="M1534">
        <v>4.3286146600000004</v>
      </c>
      <c r="N1534">
        <v>4.3292519287562898</v>
      </c>
      <c r="O1534" s="1">
        <v>6.9689641739623802E-8</v>
      </c>
      <c r="P1534" s="2">
        <f t="shared" si="71"/>
        <v>5.8274294085198326</v>
      </c>
    </row>
    <row r="1535" spans="2:16" x14ac:dyDescent="0.25">
      <c r="B1535">
        <v>1534</v>
      </c>
      <c r="C1535">
        <v>-0.193288574145871</v>
      </c>
      <c r="D1535">
        <v>-0.21846891175736699</v>
      </c>
      <c r="E1535">
        <v>0.149441891581375</v>
      </c>
      <c r="F1535">
        <f t="shared" si="69"/>
        <v>2.518033761149599E-2</v>
      </c>
      <c r="G1535" s="2">
        <f t="shared" si="70"/>
        <v>4.2427822314043927E-3</v>
      </c>
      <c r="M1535">
        <v>2.02178126</v>
      </c>
      <c r="N1535">
        <v>2.0220084269759102</v>
      </c>
      <c r="O1535" s="1">
        <v>1.5410944509696501E-8</v>
      </c>
      <c r="P1535" s="2">
        <f t="shared" si="71"/>
        <v>3.3485835285248009</v>
      </c>
    </row>
    <row r="1536" spans="2:16" x14ac:dyDescent="0.25">
      <c r="B1536">
        <v>1535</v>
      </c>
      <c r="C1536">
        <v>-0.18690644491670899</v>
      </c>
      <c r="D1536">
        <v>-0.22925395030436699</v>
      </c>
      <c r="E1536">
        <v>0.13973607660561199</v>
      </c>
      <c r="F1536">
        <f t="shared" si="69"/>
        <v>4.2347505387657997E-2</v>
      </c>
      <c r="G1536" s="2">
        <f t="shared" si="70"/>
        <v>1.2833559207613398E-2</v>
      </c>
      <c r="M1536">
        <v>4.3301885950000001</v>
      </c>
      <c r="N1536">
        <v>4.3308812378986499</v>
      </c>
      <c r="O1536" s="1">
        <v>6.2333722131584403E-8</v>
      </c>
      <c r="P1536" s="2">
        <f t="shared" si="71"/>
        <v>7.6965431975525833</v>
      </c>
    </row>
    <row r="1537" spans="2:16" x14ac:dyDescent="0.25">
      <c r="B1537">
        <v>1536</v>
      </c>
      <c r="C1537">
        <v>-0.205930774371724</v>
      </c>
      <c r="D1537">
        <v>-0.22032104143763201</v>
      </c>
      <c r="E1537">
        <v>0.169629935333351</v>
      </c>
      <c r="F1537">
        <f t="shared" si="69"/>
        <v>1.4390267065908013E-2</v>
      </c>
      <c r="G1537" s="2">
        <f t="shared" si="70"/>
        <v>1.2207738322909257E-3</v>
      </c>
      <c r="M1537">
        <v>4.329602715</v>
      </c>
      <c r="N1537">
        <v>4.3294968058306296</v>
      </c>
      <c r="O1537" s="1">
        <v>1.06926068380888E-7</v>
      </c>
      <c r="P1537" s="2">
        <f t="shared" si="71"/>
        <v>0.10490194137493714</v>
      </c>
    </row>
    <row r="1538" spans="2:16" x14ac:dyDescent="0.25">
      <c r="B1538">
        <v>1537</v>
      </c>
      <c r="C1538">
        <v>-0.16422226462688899</v>
      </c>
      <c r="D1538">
        <v>-0.206985451041277</v>
      </c>
      <c r="E1538">
        <v>0.107875808796735</v>
      </c>
      <c r="F1538">
        <f t="shared" si="69"/>
        <v>4.2763186414388005E-2</v>
      </c>
      <c r="G1538" s="2">
        <f t="shared" si="70"/>
        <v>1.6951809054404479E-2</v>
      </c>
      <c r="M1538">
        <v>2.0220469250000002</v>
      </c>
      <c r="N1538">
        <v>2.0220830334679998</v>
      </c>
      <c r="O1538" s="1">
        <v>2.22111552285302E-8</v>
      </c>
      <c r="P1538" s="2">
        <f t="shared" si="71"/>
        <v>5.8701199818940286E-2</v>
      </c>
    </row>
    <row r="1539" spans="2:16" x14ac:dyDescent="0.25">
      <c r="B1539">
        <v>1538</v>
      </c>
      <c r="C1539">
        <v>-0.246190562072199</v>
      </c>
      <c r="D1539">
        <v>-0.222066203994575</v>
      </c>
      <c r="E1539">
        <v>0.242439171413701</v>
      </c>
      <c r="F1539">
        <f t="shared" ref="F1539:F1602" si="72">C1539-D1539</f>
        <v>-2.4124358077624003E-2</v>
      </c>
      <c r="G1539" s="2">
        <f t="shared" ref="G1539:G1602" si="73">F1539^2/E1539</f>
        <v>2.4005388620319821E-3</v>
      </c>
      <c r="M1539">
        <v>4.3310878150000001</v>
      </c>
      <c r="N1539">
        <v>4.3309820051497603</v>
      </c>
      <c r="O1539" s="1">
        <v>8.81991384639877E-8</v>
      </c>
      <c r="P1539" s="2">
        <f t="shared" ref="P1539:P1602" si="74">(M1539-N1539)^2/O1539</f>
        <v>0.12693689079894929</v>
      </c>
    </row>
    <row r="1540" spans="2:16" x14ac:dyDescent="0.25">
      <c r="B1540">
        <v>1539</v>
      </c>
      <c r="C1540">
        <v>-0.23834325203961401</v>
      </c>
      <c r="D1540">
        <v>-0.22114811511564</v>
      </c>
      <c r="E1540">
        <v>0.227230023171276</v>
      </c>
      <c r="F1540">
        <f t="shared" si="72"/>
        <v>-1.7195136923974008E-2</v>
      </c>
      <c r="G1540" s="2">
        <f t="shared" si="73"/>
        <v>1.3012045226582986E-3</v>
      </c>
      <c r="M1540">
        <v>4.3285796750000003</v>
      </c>
      <c r="N1540">
        <v>4.3282703416778201</v>
      </c>
      <c r="O1540" s="1">
        <v>6.9959406807476801E-8</v>
      </c>
      <c r="P1540" s="2">
        <f t="shared" si="74"/>
        <v>1.367751794613693</v>
      </c>
    </row>
    <row r="1541" spans="2:16" x14ac:dyDescent="0.25">
      <c r="B1541">
        <v>1540</v>
      </c>
      <c r="C1541">
        <v>-0.23498791165581101</v>
      </c>
      <c r="D1541">
        <v>-0.22400708585812101</v>
      </c>
      <c r="E1541">
        <v>0.22087727449743599</v>
      </c>
      <c r="F1541">
        <f t="shared" si="72"/>
        <v>-1.0980825797689997E-2</v>
      </c>
      <c r="G1541" s="2">
        <f t="shared" si="73"/>
        <v>5.4590738442226593E-4</v>
      </c>
      <c r="M1541">
        <v>2.0214803149999998</v>
      </c>
      <c r="N1541">
        <v>2.0217093529377301</v>
      </c>
      <c r="O1541" s="1">
        <v>1.77750667188359E-8</v>
      </c>
      <c r="P1541" s="2">
        <f t="shared" si="74"/>
        <v>2.9512337562238931</v>
      </c>
    </row>
    <row r="1542" spans="2:16" x14ac:dyDescent="0.25">
      <c r="B1542">
        <v>1541</v>
      </c>
      <c r="C1542">
        <v>-0.23383591942691101</v>
      </c>
      <c r="D1542">
        <v>-0.23056568453690601</v>
      </c>
      <c r="E1542">
        <v>0.218716948856916</v>
      </c>
      <c r="F1542">
        <f t="shared" si="72"/>
        <v>-3.2702348900049971E-3</v>
      </c>
      <c r="G1542" s="2">
        <f t="shared" si="73"/>
        <v>4.8896239142409875E-5</v>
      </c>
      <c r="M1542">
        <v>4.3306993150000004</v>
      </c>
      <c r="N1542">
        <v>4.3304772797897702</v>
      </c>
      <c r="O1542" s="1">
        <v>7.8060980846266403E-8</v>
      </c>
      <c r="P1542" s="2">
        <f t="shared" si="74"/>
        <v>0.63155284557689528</v>
      </c>
    </row>
    <row r="1543" spans="2:16" x14ac:dyDescent="0.25">
      <c r="B1543">
        <v>1542</v>
      </c>
      <c r="C1543">
        <v>-0.245390301269196</v>
      </c>
      <c r="D1543">
        <v>-0.23766971149187199</v>
      </c>
      <c r="E1543">
        <v>0.240865599827947</v>
      </c>
      <c r="F1543">
        <f t="shared" si="72"/>
        <v>-7.7205897773240106E-3</v>
      </c>
      <c r="G1543" s="2">
        <f t="shared" si="73"/>
        <v>2.4747206139979442E-4</v>
      </c>
      <c r="M1543">
        <v>4.3290264450000002</v>
      </c>
      <c r="N1543">
        <v>4.3295483561027401</v>
      </c>
      <c r="O1543" s="1">
        <v>1.6615523792106501E-7</v>
      </c>
      <c r="P1543" s="2">
        <f t="shared" si="74"/>
        <v>1.6393777443994693</v>
      </c>
    </row>
    <row r="1544" spans="2:16" x14ac:dyDescent="0.25">
      <c r="B1544">
        <v>1543</v>
      </c>
      <c r="C1544">
        <v>-0.225589424965011</v>
      </c>
      <c r="D1544">
        <v>-0.22498053100211801</v>
      </c>
      <c r="E1544">
        <v>0.20356235462417699</v>
      </c>
      <c r="F1544">
        <f t="shared" si="72"/>
        <v>-6.0889396289298681E-4</v>
      </c>
      <c r="G1544" s="2">
        <f t="shared" si="73"/>
        <v>1.8213183804639092E-6</v>
      </c>
      <c r="M1544">
        <v>2.0218253650000002</v>
      </c>
      <c r="N1544">
        <v>2.0220987390590701</v>
      </c>
      <c r="O1544" s="1">
        <v>4.3189051317169002E-8</v>
      </c>
      <c r="P1544" s="2">
        <f t="shared" si="74"/>
        <v>1.7303778131993599</v>
      </c>
    </row>
    <row r="1545" spans="2:16" x14ac:dyDescent="0.25">
      <c r="B1545">
        <v>1544</v>
      </c>
      <c r="C1545">
        <v>-0.21152134007426601</v>
      </c>
      <c r="D1545">
        <v>-0.23039235315147299</v>
      </c>
      <c r="E1545">
        <v>0.178965109227254</v>
      </c>
      <c r="F1545">
        <f t="shared" si="72"/>
        <v>1.8871013077206983E-2</v>
      </c>
      <c r="G1545" s="2">
        <f t="shared" si="73"/>
        <v>1.9898578896063689E-3</v>
      </c>
      <c r="M1545">
        <v>4.3304789350000004</v>
      </c>
      <c r="N1545">
        <v>4.3310032177297799</v>
      </c>
      <c r="O1545" s="1">
        <v>1.2309588616483599E-7</v>
      </c>
      <c r="P1545" s="2">
        <f t="shared" si="74"/>
        <v>2.2329940447971297</v>
      </c>
    </row>
    <row r="1546" spans="2:16" x14ac:dyDescent="0.25">
      <c r="B1546">
        <v>1545</v>
      </c>
      <c r="C1546">
        <v>-0.19834564453356601</v>
      </c>
      <c r="D1546">
        <v>-0.23304125998073599</v>
      </c>
      <c r="E1546">
        <v>0.15736397882174299</v>
      </c>
      <c r="F1546">
        <f t="shared" si="72"/>
        <v>3.4695615447169981E-2</v>
      </c>
      <c r="G1546" s="2">
        <f t="shared" si="73"/>
        <v>7.649690483624026E-3</v>
      </c>
      <c r="M1546">
        <v>4.32913236</v>
      </c>
      <c r="N1546">
        <v>4.3292215783132697</v>
      </c>
      <c r="O1546" s="1">
        <v>8.5558247224379796E-8</v>
      </c>
      <c r="P1546" s="2">
        <f t="shared" si="74"/>
        <v>9.3034951987894007E-2</v>
      </c>
    </row>
    <row r="1547" spans="2:16" x14ac:dyDescent="0.25">
      <c r="B1547">
        <v>1546</v>
      </c>
      <c r="C1547">
        <v>-0.21966918373441899</v>
      </c>
      <c r="D1547">
        <v>-0.23518180240009601</v>
      </c>
      <c r="E1547">
        <v>0.193018201130184</v>
      </c>
      <c r="F1547">
        <f t="shared" si="72"/>
        <v>1.5512618665677019E-2</v>
      </c>
      <c r="G1547" s="2">
        <f t="shared" si="73"/>
        <v>1.2467287357237722E-3</v>
      </c>
      <c r="M1547">
        <v>2.0218665150000001</v>
      </c>
      <c r="N1547">
        <v>2.0219991800297898</v>
      </c>
      <c r="O1547" s="1">
        <v>1.2318693477838199E-8</v>
      </c>
      <c r="P1547" s="2">
        <f t="shared" si="74"/>
        <v>1.4287237652893747</v>
      </c>
    </row>
    <row r="1548" spans="2:16" x14ac:dyDescent="0.25">
      <c r="B1548">
        <v>1547</v>
      </c>
      <c r="C1548">
        <v>-0.25004325034175801</v>
      </c>
      <c r="D1548">
        <v>-0.23465776009828401</v>
      </c>
      <c r="E1548">
        <v>0.25008650816588401</v>
      </c>
      <c r="F1548">
        <f t="shared" si="72"/>
        <v>-1.5385490243473993E-2</v>
      </c>
      <c r="G1548" s="2">
        <f t="shared" si="73"/>
        <v>9.4652571131514191E-4</v>
      </c>
      <c r="M1548">
        <v>4.3306965650000002</v>
      </c>
      <c r="N1548">
        <v>4.3308687484161403</v>
      </c>
      <c r="O1548" s="1">
        <v>5.13684445581636E-8</v>
      </c>
      <c r="P1548" s="2">
        <f t="shared" si="74"/>
        <v>0.57714671037218213</v>
      </c>
    </row>
    <row r="1549" spans="2:16" x14ac:dyDescent="0.25">
      <c r="B1549">
        <v>1548</v>
      </c>
      <c r="C1549">
        <v>-0.24300210814919701</v>
      </c>
      <c r="D1549">
        <v>-0.23599052327448899</v>
      </c>
      <c r="E1549">
        <v>0.236200098259816</v>
      </c>
      <c r="F1549">
        <f t="shared" si="72"/>
        <v>-7.0115848747080156E-3</v>
      </c>
      <c r="G1549" s="2">
        <f t="shared" si="73"/>
        <v>2.0813845048089913E-4</v>
      </c>
      <c r="M1549">
        <v>0.45985912561502101</v>
      </c>
      <c r="N1549">
        <v>0.45981971349044598</v>
      </c>
      <c r="O1549" s="1">
        <v>7.4515067567295999E-10</v>
      </c>
      <c r="P1549" s="2">
        <f t="shared" si="74"/>
        <v>2.0845657317764927</v>
      </c>
    </row>
    <row r="1550" spans="2:16" x14ac:dyDescent="0.25">
      <c r="B1550">
        <v>1549</v>
      </c>
      <c r="C1550">
        <v>-0.23491629143272399</v>
      </c>
      <c r="D1550">
        <v>-0.229398097686207</v>
      </c>
      <c r="E1550">
        <v>0.220742655922019</v>
      </c>
      <c r="F1550">
        <f t="shared" si="72"/>
        <v>-5.5181937465169917E-3</v>
      </c>
      <c r="G1550" s="2">
        <f t="shared" si="73"/>
        <v>1.3794552800368753E-4</v>
      </c>
      <c r="M1550">
        <v>0.99378992338888505</v>
      </c>
      <c r="N1550">
        <v>0.99372586314510103</v>
      </c>
      <c r="O1550" s="1">
        <v>1.8403449820899301E-9</v>
      </c>
      <c r="P1550" s="2">
        <f t="shared" si="74"/>
        <v>2.2298617235386553</v>
      </c>
    </row>
    <row r="1551" spans="2:16" x14ac:dyDescent="0.25">
      <c r="B1551">
        <v>1550</v>
      </c>
      <c r="C1551">
        <v>-0.26120908701929502</v>
      </c>
      <c r="D1551">
        <v>-0.23413323094674501</v>
      </c>
      <c r="E1551">
        <v>0.272920748565815</v>
      </c>
      <c r="F1551">
        <f t="shared" si="72"/>
        <v>-2.7075856072550003E-2</v>
      </c>
      <c r="G1551" s="2">
        <f t="shared" si="73"/>
        <v>2.6861350260610727E-3</v>
      </c>
      <c r="M1551">
        <v>0.45984238601417499</v>
      </c>
      <c r="N1551">
        <v>0.45984060453752601</v>
      </c>
      <c r="O1551" s="1">
        <v>7.43092359596397E-10</v>
      </c>
      <c r="P1551" s="2">
        <f t="shared" si="74"/>
        <v>4.2708810148074112E-3</v>
      </c>
    </row>
    <row r="1552" spans="2:16" x14ac:dyDescent="0.25">
      <c r="B1552">
        <v>1551</v>
      </c>
      <c r="C1552">
        <v>-0.24788411188911599</v>
      </c>
      <c r="D1552">
        <v>-0.237491809428586</v>
      </c>
      <c r="E1552">
        <v>0.245786131708223</v>
      </c>
      <c r="F1552">
        <f t="shared" si="72"/>
        <v>-1.0392302460529995E-2</v>
      </c>
      <c r="G1552" s="2">
        <f t="shared" si="73"/>
        <v>4.394062011576244E-4</v>
      </c>
      <c r="M1552">
        <v>0.99369908907272397</v>
      </c>
      <c r="N1552">
        <v>0.99369544779432695</v>
      </c>
      <c r="O1552" s="1">
        <v>2.69059780614155E-9</v>
      </c>
      <c r="P1552" s="2">
        <f t="shared" si="74"/>
        <v>4.9278670838078693E-3</v>
      </c>
    </row>
    <row r="1553" spans="2:16" x14ac:dyDescent="0.25">
      <c r="B1553">
        <v>1552</v>
      </c>
      <c r="C1553">
        <v>-0.186120352955365</v>
      </c>
      <c r="D1553">
        <v>-0.230381848667158</v>
      </c>
      <c r="E1553">
        <v>0.138563143136919</v>
      </c>
      <c r="F1553">
        <f t="shared" si="72"/>
        <v>4.4261495711792997E-2</v>
      </c>
      <c r="G1553" s="2">
        <f t="shared" si="73"/>
        <v>1.4138536109196334E-2</v>
      </c>
      <c r="M1553">
        <v>0.45984709400303397</v>
      </c>
      <c r="N1553">
        <v>0.45983494975794498</v>
      </c>
      <c r="O1553" s="1">
        <v>1.07012626267586E-9</v>
      </c>
      <c r="P1553" s="2">
        <f t="shared" si="74"/>
        <v>0.13781802570925655</v>
      </c>
    </row>
    <row r="1554" spans="2:16" x14ac:dyDescent="0.25">
      <c r="B1554">
        <v>1553</v>
      </c>
      <c r="C1554">
        <v>-0.21867810246723501</v>
      </c>
      <c r="D1554">
        <v>-0.22952768171773</v>
      </c>
      <c r="E1554">
        <v>0.19128044999468299</v>
      </c>
      <c r="F1554">
        <f t="shared" si="72"/>
        <v>1.0849579250494984E-2</v>
      </c>
      <c r="G1554" s="2">
        <f t="shared" si="73"/>
        <v>6.1539676384096426E-4</v>
      </c>
      <c r="M1554">
        <v>0.99373388410825503</v>
      </c>
      <c r="N1554">
        <v>0.99370368038002499</v>
      </c>
      <c r="O1554" s="1">
        <v>4.7078653025007398E-9</v>
      </c>
      <c r="P1554" s="2">
        <f t="shared" si="74"/>
        <v>0.19377470262571647</v>
      </c>
    </row>
    <row r="1555" spans="2:16" x14ac:dyDescent="0.25">
      <c r="B1555">
        <v>1554</v>
      </c>
      <c r="C1555">
        <v>-0.20416868132299301</v>
      </c>
      <c r="D1555">
        <v>-0.23081009148089901</v>
      </c>
      <c r="E1555">
        <v>0.16673940173267901</v>
      </c>
      <c r="F1555">
        <f t="shared" si="72"/>
        <v>2.6641410157905998E-2</v>
      </c>
      <c r="G1555" s="2">
        <f t="shared" si="73"/>
        <v>4.2567307296669469E-3</v>
      </c>
      <c r="M1555">
        <v>0.45979578213671302</v>
      </c>
      <c r="N1555">
        <v>0.459869476861899</v>
      </c>
      <c r="O1555" s="1">
        <v>1.5407560533341301E-9</v>
      </c>
      <c r="P1555" s="2">
        <f t="shared" si="74"/>
        <v>3.5248360754350645</v>
      </c>
    </row>
    <row r="1556" spans="2:16" x14ac:dyDescent="0.25">
      <c r="B1556">
        <v>1555</v>
      </c>
      <c r="C1556">
        <v>-0.26011867858851101</v>
      </c>
      <c r="D1556">
        <v>-0.23260460373457401</v>
      </c>
      <c r="E1556">
        <v>0.27064690780253198</v>
      </c>
      <c r="F1556">
        <f t="shared" si="72"/>
        <v>-2.7514074853937004E-2</v>
      </c>
      <c r="G1556" s="2">
        <f t="shared" si="73"/>
        <v>2.7970920533124466E-3</v>
      </c>
      <c r="M1556">
        <v>0.99356750009670203</v>
      </c>
      <c r="N1556">
        <v>0.99365341627980897</v>
      </c>
      <c r="O1556" s="1">
        <v>2.4236298384796399E-9</v>
      </c>
      <c r="P1556" s="2">
        <f t="shared" si="74"/>
        <v>3.0456757061116946</v>
      </c>
    </row>
    <row r="1557" spans="2:16" x14ac:dyDescent="0.25">
      <c r="B1557">
        <v>1556</v>
      </c>
      <c r="C1557">
        <v>-0.236557698582051</v>
      </c>
      <c r="D1557">
        <v>-0.220572499369495</v>
      </c>
      <c r="E1557">
        <v>0.223838179033746</v>
      </c>
      <c r="F1557">
        <f t="shared" si="72"/>
        <v>-1.5985199212556006E-2</v>
      </c>
      <c r="G1557" s="2">
        <f t="shared" si="73"/>
        <v>1.141568408785964E-3</v>
      </c>
      <c r="M1557">
        <v>0.459881377047762</v>
      </c>
      <c r="N1557">
        <v>0.45981575811085801</v>
      </c>
      <c r="O1557" s="1">
        <v>1.1160879559579199E-9</v>
      </c>
      <c r="P1557" s="2">
        <f t="shared" si="74"/>
        <v>3.8579798818041788</v>
      </c>
    </row>
    <row r="1558" spans="2:16" x14ac:dyDescent="0.25">
      <c r="B1558">
        <v>1557</v>
      </c>
      <c r="C1558">
        <v>-0.214131648099015</v>
      </c>
      <c r="D1558">
        <v>-0.21600518425402501</v>
      </c>
      <c r="E1558">
        <v>0.183409450870401</v>
      </c>
      <c r="F1558">
        <f t="shared" si="72"/>
        <v>1.8735361550100138E-3</v>
      </c>
      <c r="G1558" s="2">
        <f t="shared" si="73"/>
        <v>1.913825981960987E-5</v>
      </c>
      <c r="M1558">
        <v>0.99384063411555501</v>
      </c>
      <c r="N1558">
        <v>0.99373162205691001</v>
      </c>
      <c r="O1558" s="1">
        <v>2.8679822225180898E-9</v>
      </c>
      <c r="P1558" s="2">
        <f t="shared" si="74"/>
        <v>4.1435504155902594</v>
      </c>
    </row>
    <row r="1559" spans="2:16" x14ac:dyDescent="0.25">
      <c r="B1559">
        <v>1558</v>
      </c>
      <c r="C1559">
        <v>-0.24714371568739901</v>
      </c>
      <c r="D1559">
        <v>-0.207508315256517</v>
      </c>
      <c r="E1559">
        <v>0.24432006481509499</v>
      </c>
      <c r="F1559">
        <f t="shared" si="72"/>
        <v>-3.9635400430882012E-2</v>
      </c>
      <c r="G1559" s="2">
        <f t="shared" si="73"/>
        <v>6.4299465887310212E-3</v>
      </c>
      <c r="M1559">
        <v>0.45984566328714199</v>
      </c>
      <c r="N1559">
        <v>0.45981262312162502</v>
      </c>
      <c r="O1559" s="1">
        <v>1.7309331030671701E-9</v>
      </c>
      <c r="P1559" s="2">
        <f t="shared" si="74"/>
        <v>0.63067286393368049</v>
      </c>
    </row>
    <row r="1560" spans="2:16" x14ac:dyDescent="0.25">
      <c r="B1560">
        <v>1559</v>
      </c>
      <c r="C1560">
        <v>-0.16159529426345601</v>
      </c>
      <c r="D1560">
        <v>-0.16355600065895401</v>
      </c>
      <c r="E1560">
        <v>0.104452156512371</v>
      </c>
      <c r="F1560">
        <f t="shared" si="72"/>
        <v>1.960706395498002E-3</v>
      </c>
      <c r="G1560" s="2">
        <f t="shared" si="73"/>
        <v>3.680507610095587E-5</v>
      </c>
      <c r="M1560">
        <v>0.99378056687093097</v>
      </c>
      <c r="N1560">
        <v>0.99373618656433405</v>
      </c>
      <c r="O1560" s="1">
        <v>3.3740510974660801E-9</v>
      </c>
      <c r="P1560" s="2">
        <f t="shared" si="74"/>
        <v>0.58375275203041566</v>
      </c>
    </row>
    <row r="1561" spans="2:16" x14ac:dyDescent="0.25">
      <c r="B1561">
        <v>1560</v>
      </c>
      <c r="C1561">
        <v>-0.187381544816766</v>
      </c>
      <c r="D1561">
        <v>-0.18882132563725301</v>
      </c>
      <c r="E1561">
        <v>0.14044737335167101</v>
      </c>
      <c r="F1561">
        <f t="shared" si="72"/>
        <v>1.4397808204870133E-3</v>
      </c>
      <c r="G1561" s="2">
        <f t="shared" si="73"/>
        <v>1.4759754928642767E-5</v>
      </c>
      <c r="M1561">
        <v>0.45985845387868302</v>
      </c>
      <c r="N1561">
        <v>0.45978016039666397</v>
      </c>
      <c r="O1561" s="1">
        <v>2.5896329666540698E-9</v>
      </c>
      <c r="P1561" s="2">
        <f t="shared" si="74"/>
        <v>2.367080356791361</v>
      </c>
    </row>
    <row r="1562" spans="2:16" x14ac:dyDescent="0.25">
      <c r="B1562">
        <v>1561</v>
      </c>
      <c r="C1562">
        <v>-0.14682601469092199</v>
      </c>
      <c r="D1562">
        <v>-0.188536008776512</v>
      </c>
      <c r="E1562">
        <v>8.6231514360074799E-2</v>
      </c>
      <c r="F1562">
        <f t="shared" si="72"/>
        <v>4.1709994085590008E-2</v>
      </c>
      <c r="G1562" s="2">
        <f t="shared" si="73"/>
        <v>2.017503252181601E-2</v>
      </c>
      <c r="M1562">
        <v>0.99385692535437897</v>
      </c>
      <c r="N1562">
        <v>0.99378345497217102</v>
      </c>
      <c r="O1562" s="1">
        <v>3.0981284254047501E-9</v>
      </c>
      <c r="P1562" s="2">
        <f t="shared" si="74"/>
        <v>1.7423090074380414</v>
      </c>
    </row>
    <row r="1563" spans="2:16" x14ac:dyDescent="0.25">
      <c r="B1563">
        <v>1562</v>
      </c>
      <c r="C1563">
        <v>-0.238626926956443</v>
      </c>
      <c r="D1563">
        <v>-0.19840481478594901</v>
      </c>
      <c r="E1563">
        <v>0.22777124107470201</v>
      </c>
      <c r="F1563">
        <f t="shared" si="72"/>
        <v>-4.0222112170493984E-2</v>
      </c>
      <c r="G1563" s="2">
        <f t="shared" si="73"/>
        <v>7.1028207943302432E-3</v>
      </c>
      <c r="M1563">
        <v>0.45978362343747398</v>
      </c>
      <c r="N1563">
        <v>0.459751978819466</v>
      </c>
      <c r="O1563" s="1">
        <v>3.3183769487991299E-9</v>
      </c>
      <c r="P1563" s="2">
        <f t="shared" si="74"/>
        <v>0.30176856466926399</v>
      </c>
    </row>
    <row r="1564" spans="2:16" x14ac:dyDescent="0.25">
      <c r="B1564">
        <v>1563</v>
      </c>
      <c r="C1564">
        <v>-0.21828544043623299</v>
      </c>
      <c r="D1564">
        <v>-0.19947674971208501</v>
      </c>
      <c r="E1564">
        <v>0.19059413402576</v>
      </c>
      <c r="F1564">
        <f t="shared" si="72"/>
        <v>-1.8808690724147981E-2</v>
      </c>
      <c r="G1564" s="2">
        <f t="shared" si="73"/>
        <v>1.8561266251186747E-3</v>
      </c>
      <c r="M1564">
        <v>0.99386788549372396</v>
      </c>
      <c r="N1564">
        <v>0.99382449420501695</v>
      </c>
      <c r="O1564" s="1">
        <v>6.3508056195063699E-9</v>
      </c>
      <c r="P1564" s="2">
        <f t="shared" si="74"/>
        <v>0.2964669442679515</v>
      </c>
    </row>
    <row r="1565" spans="2:16" x14ac:dyDescent="0.25">
      <c r="B1565">
        <v>1564</v>
      </c>
      <c r="C1565">
        <v>-0.13772548066583801</v>
      </c>
      <c r="D1565">
        <v>-0.152637607239449</v>
      </c>
      <c r="E1565">
        <v>7.5873232098544297E-2</v>
      </c>
      <c r="F1565">
        <f t="shared" si="72"/>
        <v>1.491212657361099E-2</v>
      </c>
      <c r="G1565" s="2">
        <f t="shared" si="73"/>
        <v>2.9308296588522612E-3</v>
      </c>
      <c r="M1565">
        <v>0.45979004636848098</v>
      </c>
      <c r="N1565">
        <v>0.45978209572339901</v>
      </c>
      <c r="O1565" s="1">
        <v>1.4293998645820101E-9</v>
      </c>
      <c r="P1565" s="2">
        <f t="shared" si="74"/>
        <v>4.4223284740470513E-2</v>
      </c>
    </row>
    <row r="1566" spans="2:16" x14ac:dyDescent="0.25">
      <c r="B1566">
        <v>1565</v>
      </c>
      <c r="C1566">
        <v>-0.217438506244371</v>
      </c>
      <c r="D1566">
        <v>-0.13493844011209</v>
      </c>
      <c r="E1566">
        <v>0.18911801599113401</v>
      </c>
      <c r="F1566">
        <f t="shared" si="72"/>
        <v>-8.2500066132281002E-2</v>
      </c>
      <c r="G1566" s="2">
        <f t="shared" si="73"/>
        <v>3.5989489822851259E-2</v>
      </c>
      <c r="M1566">
        <v>0.99379379051459205</v>
      </c>
      <c r="N1566">
        <v>0.993780636820079</v>
      </c>
      <c r="O1566" s="1">
        <v>3.65471238102135E-9</v>
      </c>
      <c r="P1566" s="2">
        <f t="shared" si="74"/>
        <v>4.7341530961784811E-2</v>
      </c>
    </row>
    <row r="1567" spans="2:16" x14ac:dyDescent="0.25">
      <c r="B1567">
        <v>1566</v>
      </c>
      <c r="C1567">
        <v>-0.11650280138794999</v>
      </c>
      <c r="D1567">
        <v>-0.123511314665345</v>
      </c>
      <c r="E1567">
        <v>5.4291610924960203E-2</v>
      </c>
      <c r="F1567">
        <f t="shared" si="72"/>
        <v>7.0085132773950037E-3</v>
      </c>
      <c r="G1567" s="2">
        <f t="shared" si="73"/>
        <v>9.0473016958942006E-4</v>
      </c>
      <c r="M1567">
        <v>0.45986410794844201</v>
      </c>
      <c r="N1567">
        <v>0.45978749829295901</v>
      </c>
      <c r="O1567" s="1">
        <v>4.07270791074577E-9</v>
      </c>
      <c r="P1567" s="2">
        <f t="shared" si="74"/>
        <v>1.44106561085306</v>
      </c>
    </row>
    <row r="1568" spans="2:16" x14ac:dyDescent="0.25">
      <c r="B1568">
        <v>1567</v>
      </c>
      <c r="C1568">
        <v>-0.18932159621469799</v>
      </c>
      <c r="D1568">
        <v>-8.2280830311109998E-2</v>
      </c>
      <c r="E1568">
        <v>0.14337066717312399</v>
      </c>
      <c r="F1568">
        <f t="shared" si="72"/>
        <v>-0.10704076590358799</v>
      </c>
      <c r="G1568" s="2">
        <f t="shared" si="73"/>
        <v>7.9916804400381347E-2</v>
      </c>
      <c r="M1568">
        <v>0.99386825904892595</v>
      </c>
      <c r="N1568">
        <v>0.99377276990071195</v>
      </c>
      <c r="O1568" s="1">
        <v>6.7280213444623402E-9</v>
      </c>
      <c r="P1568" s="2">
        <f t="shared" si="74"/>
        <v>1.3552539386844165</v>
      </c>
    </row>
    <row r="1569" spans="2:16" x14ac:dyDescent="0.25">
      <c r="B1569">
        <v>1568</v>
      </c>
      <c r="C1569">
        <v>-0.19465643232436999</v>
      </c>
      <c r="D1569">
        <v>-7.9611290729551504E-2</v>
      </c>
      <c r="E1569">
        <v>0.15156450658100801</v>
      </c>
      <c r="F1569">
        <f t="shared" si="72"/>
        <v>-0.11504514159481849</v>
      </c>
      <c r="G1569" s="2">
        <f t="shared" si="73"/>
        <v>8.7325092814509328E-2</v>
      </c>
      <c r="M1569">
        <v>22.969275756790399</v>
      </c>
      <c r="N1569">
        <v>22.964731456958798</v>
      </c>
      <c r="O1569" s="1">
        <v>2.2673997592883899E-6</v>
      </c>
      <c r="P1569" s="2">
        <f t="shared" si="74"/>
        <v>9.1076400951748298</v>
      </c>
    </row>
    <row r="1570" spans="2:16" x14ac:dyDescent="0.25">
      <c r="B1570">
        <v>1569</v>
      </c>
      <c r="C1570">
        <v>-0.214971298823911</v>
      </c>
      <c r="D1570">
        <v>-0.14094483912188899</v>
      </c>
      <c r="E1570">
        <v>0.184850637272157</v>
      </c>
      <c r="F1570">
        <f t="shared" si="72"/>
        <v>-7.4026459702022013E-2</v>
      </c>
      <c r="G1570" s="2">
        <f t="shared" si="73"/>
        <v>2.9645105999537159E-2</v>
      </c>
      <c r="M1570">
        <v>9.7081700517973708</v>
      </c>
      <c r="N1570">
        <v>9.7060993041233008</v>
      </c>
      <c r="O1570" s="1">
        <v>4.1584335017748498E-7</v>
      </c>
      <c r="P1570" s="2">
        <f t="shared" si="74"/>
        <v>10.311565467708434</v>
      </c>
    </row>
    <row r="1571" spans="2:16" x14ac:dyDescent="0.25">
      <c r="B1571">
        <v>1570</v>
      </c>
      <c r="C1571">
        <v>-0.17908074192201701</v>
      </c>
      <c r="D1571">
        <v>-0.15158794764894601</v>
      </c>
      <c r="E1571">
        <v>0.12827964850936099</v>
      </c>
      <c r="F1571">
        <f t="shared" si="72"/>
        <v>-2.7492794273070997E-2</v>
      </c>
      <c r="G1571" s="2">
        <f t="shared" si="73"/>
        <v>5.8922342376565538E-3</v>
      </c>
      <c r="M1571">
        <v>10.6280459966304</v>
      </c>
      <c r="N1571">
        <v>10.625864083985</v>
      </c>
      <c r="O1571" s="1">
        <v>4.3654365333440599E-7</v>
      </c>
      <c r="P1571" s="2">
        <f t="shared" si="74"/>
        <v>10.90553660737157</v>
      </c>
    </row>
    <row r="1572" spans="2:16" x14ac:dyDescent="0.25">
      <c r="B1572">
        <v>1571</v>
      </c>
      <c r="C1572">
        <v>-0.169902688210574</v>
      </c>
      <c r="D1572">
        <v>-0.17495502353557199</v>
      </c>
      <c r="E1572">
        <v>0.115467693844719</v>
      </c>
      <c r="F1572">
        <f t="shared" si="72"/>
        <v>5.0523353249979919E-3</v>
      </c>
      <c r="G1572" s="2">
        <f t="shared" si="73"/>
        <v>2.2106696155679755E-4</v>
      </c>
      <c r="M1572">
        <v>1.0037241695841399</v>
      </c>
      <c r="N1572">
        <v>1.0038635829781499</v>
      </c>
      <c r="O1572" s="1">
        <v>8.9756498256159105E-9</v>
      </c>
      <c r="P1572" s="2">
        <f t="shared" si="74"/>
        <v>2.1654247666753723</v>
      </c>
    </row>
    <row r="1573" spans="2:16" x14ac:dyDescent="0.25">
      <c r="B1573">
        <v>1572</v>
      </c>
      <c r="C1573">
        <v>-0.18793282532094599</v>
      </c>
      <c r="D1573">
        <v>-0.16926224055449901</v>
      </c>
      <c r="E1573">
        <v>0.141274987332453</v>
      </c>
      <c r="F1573">
        <f t="shared" si="72"/>
        <v>-1.8670584766446979E-2</v>
      </c>
      <c r="G1573" s="2">
        <f t="shared" si="73"/>
        <v>2.4674625147958194E-3</v>
      </c>
      <c r="M1573">
        <v>22.970814121508099</v>
      </c>
      <c r="N1573">
        <v>22.969475203092099</v>
      </c>
      <c r="O1573" s="1">
        <v>1.5391158122215099E-6</v>
      </c>
      <c r="P1573" s="2">
        <f t="shared" si="74"/>
        <v>1.1647612937689005</v>
      </c>
    </row>
    <row r="1574" spans="2:16" x14ac:dyDescent="0.25">
      <c r="B1574">
        <v>1573</v>
      </c>
      <c r="C1574">
        <v>-0.152883559267075</v>
      </c>
      <c r="D1574">
        <v>-0.15729571830931399</v>
      </c>
      <c r="E1574">
        <v>9.3493530776676603E-2</v>
      </c>
      <c r="F1574">
        <f t="shared" si="72"/>
        <v>4.4121590422389889E-3</v>
      </c>
      <c r="G1574" s="2">
        <f t="shared" si="73"/>
        <v>2.0821919176965825E-4</v>
      </c>
      <c r="M1574">
        <v>9.7078832571154692</v>
      </c>
      <c r="N1574">
        <v>9.7073734243846399</v>
      </c>
      <c r="O1574" s="1">
        <v>2.6762084366806002E-7</v>
      </c>
      <c r="P1574" s="2">
        <f t="shared" si="74"/>
        <v>0.97125997311044576</v>
      </c>
    </row>
    <row r="1575" spans="2:16" x14ac:dyDescent="0.25">
      <c r="B1575">
        <v>1574</v>
      </c>
      <c r="C1575">
        <v>-0.209847888805478</v>
      </c>
      <c r="D1575">
        <v>-0.177966841807561</v>
      </c>
      <c r="E1575">
        <v>0.176144545744466</v>
      </c>
      <c r="F1575">
        <f t="shared" si="72"/>
        <v>-3.1881046997916995E-2</v>
      </c>
      <c r="G1575" s="2">
        <f t="shared" si="73"/>
        <v>5.770267557179385E-3</v>
      </c>
      <c r="M1575">
        <v>10.6274636249933</v>
      </c>
      <c r="N1575">
        <v>10.6266662597187</v>
      </c>
      <c r="O1575" s="1">
        <v>3.4768779165606502E-7</v>
      </c>
      <c r="P1575" s="2">
        <f t="shared" si="74"/>
        <v>1.8286272811307418</v>
      </c>
    </row>
    <row r="1576" spans="2:16" x14ac:dyDescent="0.25">
      <c r="B1576">
        <v>1575</v>
      </c>
      <c r="C1576">
        <v>-0.196098119062592</v>
      </c>
      <c r="D1576">
        <v>-0.14514765094090601</v>
      </c>
      <c r="E1576">
        <v>0.153817889199547</v>
      </c>
      <c r="F1576">
        <f t="shared" si="72"/>
        <v>-5.0950468121685993E-2</v>
      </c>
      <c r="G1576" s="2">
        <f t="shared" si="73"/>
        <v>1.68767769167033E-2</v>
      </c>
      <c r="M1576">
        <v>1.0035831297989</v>
      </c>
      <c r="N1576">
        <v>1.0036725178371499</v>
      </c>
      <c r="O1576" s="1">
        <v>7.3384329647809499E-9</v>
      </c>
      <c r="P1576" s="2">
        <f t="shared" si="74"/>
        <v>1.0888184739885822</v>
      </c>
    </row>
    <row r="1577" spans="2:16" x14ac:dyDescent="0.25">
      <c r="B1577">
        <v>1576</v>
      </c>
      <c r="C1577">
        <v>-0.20285210031690101</v>
      </c>
      <c r="D1577">
        <v>-0.116256624105519</v>
      </c>
      <c r="E1577">
        <v>0.16459589841191199</v>
      </c>
      <c r="F1577">
        <f t="shared" si="72"/>
        <v>-8.6595476211382014E-2</v>
      </c>
      <c r="G1577" s="2">
        <f t="shared" si="73"/>
        <v>4.5558708161183036E-2</v>
      </c>
      <c r="M1577">
        <v>22.977507317060098</v>
      </c>
      <c r="N1577">
        <v>22.9781115865716</v>
      </c>
      <c r="O1577" s="1">
        <v>1.1112060577417801E-6</v>
      </c>
      <c r="P1577" s="2">
        <f t="shared" si="74"/>
        <v>0.32859939881265599</v>
      </c>
    </row>
    <row r="1578" spans="2:16" x14ac:dyDescent="0.25">
      <c r="B1578">
        <v>1577</v>
      </c>
      <c r="C1578">
        <v>-0.15258864477609899</v>
      </c>
      <c r="D1578">
        <v>-0.124131096450405</v>
      </c>
      <c r="E1578">
        <v>9.3133178058426205E-2</v>
      </c>
      <c r="F1578">
        <f t="shared" si="72"/>
        <v>-2.8457548325693985E-2</v>
      </c>
      <c r="G1578" s="2">
        <f t="shared" si="73"/>
        <v>8.695419544269908E-3</v>
      </c>
      <c r="M1578">
        <v>9.7094003486929292</v>
      </c>
      <c r="N1578">
        <v>9.7096928198214396</v>
      </c>
      <c r="O1578" s="1">
        <v>1.98743133382131E-7</v>
      </c>
      <c r="P1578" s="2">
        <f t="shared" si="74"/>
        <v>0.43040159202717487</v>
      </c>
    </row>
    <row r="1579" spans="2:16" x14ac:dyDescent="0.25">
      <c r="B1579">
        <v>1578</v>
      </c>
      <c r="C1579">
        <v>-0.210541569661582</v>
      </c>
      <c r="D1579">
        <v>-0.13745627527839199</v>
      </c>
      <c r="E1579">
        <v>0.17731101022225201</v>
      </c>
      <c r="F1579">
        <f t="shared" si="72"/>
        <v>-7.3085294383190003E-2</v>
      </c>
      <c r="G1579" s="2">
        <f t="shared" si="73"/>
        <v>3.0124808653350092E-2</v>
      </c>
      <c r="M1579">
        <v>10.627849205094201</v>
      </c>
      <c r="N1579">
        <v>10.628126417352799</v>
      </c>
      <c r="O1579" s="1">
        <v>1.4852822565380399E-7</v>
      </c>
      <c r="P1579" s="2">
        <f t="shared" si="74"/>
        <v>0.51738742571768437</v>
      </c>
    </row>
    <row r="1580" spans="2:16" x14ac:dyDescent="0.25">
      <c r="B1580">
        <v>1579</v>
      </c>
      <c r="C1580">
        <v>-0.162694229424524</v>
      </c>
      <c r="D1580">
        <v>-0.16021759917347</v>
      </c>
      <c r="E1580">
        <v>0.105877649152158</v>
      </c>
      <c r="F1580">
        <f t="shared" si="72"/>
        <v>-2.4766302510539906E-3</v>
      </c>
      <c r="G1580" s="2">
        <f t="shared" si="73"/>
        <v>5.7931937944909835E-5</v>
      </c>
      <c r="M1580">
        <v>1.00341213167132</v>
      </c>
      <c r="N1580">
        <v>1.00332486250602</v>
      </c>
      <c r="O1580" s="1">
        <v>7.1683859739417699E-9</v>
      </c>
      <c r="P1580" s="2">
        <f t="shared" si="74"/>
        <v>1.0624298468083631</v>
      </c>
    </row>
    <row r="1581" spans="2:16" x14ac:dyDescent="0.25">
      <c r="B1581">
        <v>1580</v>
      </c>
      <c r="C1581">
        <v>-0.21636571344609801</v>
      </c>
      <c r="D1581">
        <v>-0.19308393504882401</v>
      </c>
      <c r="E1581">
        <v>0.187256487820155</v>
      </c>
      <c r="F1581">
        <f t="shared" si="72"/>
        <v>-2.3281778397273994E-2</v>
      </c>
      <c r="G1581" s="2">
        <f t="shared" si="73"/>
        <v>2.8946457965203409E-3</v>
      </c>
      <c r="M1581">
        <v>22.987280761843</v>
      </c>
      <c r="N1581">
        <v>22.9871774726486</v>
      </c>
      <c r="O1581" s="1">
        <v>2.5031544357606301E-6</v>
      </c>
      <c r="P1581" s="2">
        <f t="shared" si="74"/>
        <v>4.2620852821694004E-3</v>
      </c>
    </row>
    <row r="1582" spans="2:16" x14ac:dyDescent="0.25">
      <c r="B1582">
        <v>1581</v>
      </c>
      <c r="C1582">
        <v>-0.16390633366256999</v>
      </c>
      <c r="D1582">
        <v>-0.18141979153201601</v>
      </c>
      <c r="E1582">
        <v>0.10746114485882299</v>
      </c>
      <c r="F1582">
        <f t="shared" si="72"/>
        <v>1.7513457869446025E-2</v>
      </c>
      <c r="G1582" s="2">
        <f t="shared" si="73"/>
        <v>2.8542521759638397E-3</v>
      </c>
      <c r="M1582">
        <v>9.7122230448949498</v>
      </c>
      <c r="N1582">
        <v>9.7121272210734109</v>
      </c>
      <c r="O1582" s="1">
        <v>4.1179195811946401E-7</v>
      </c>
      <c r="P1582" s="2">
        <f t="shared" si="74"/>
        <v>2.2298164384413118E-2</v>
      </c>
    </row>
    <row r="1583" spans="2:16" x14ac:dyDescent="0.25">
      <c r="B1583">
        <v>1582</v>
      </c>
      <c r="C1583">
        <v>-0.21035049207336201</v>
      </c>
      <c r="D1583">
        <v>-0.18361682352598099</v>
      </c>
      <c r="E1583">
        <v>0.176989318062023</v>
      </c>
      <c r="F1583">
        <f t="shared" si="72"/>
        <v>-2.6733668547381018E-2</v>
      </c>
      <c r="G1583" s="2">
        <f t="shared" si="73"/>
        <v>4.0380348476780842E-3</v>
      </c>
      <c r="M1583">
        <v>10.629717246256501</v>
      </c>
      <c r="N1583">
        <v>10.6296588166226</v>
      </c>
      <c r="O1583" s="1">
        <v>3.8859531980758799E-7</v>
      </c>
      <c r="P1583" s="2">
        <f t="shared" si="74"/>
        <v>8.7855461550513242E-3</v>
      </c>
    </row>
    <row r="1584" spans="2:16" x14ac:dyDescent="0.25">
      <c r="B1584">
        <v>1583</v>
      </c>
      <c r="C1584">
        <v>-0.220599020979213</v>
      </c>
      <c r="D1584">
        <v>-0.192903643297205</v>
      </c>
      <c r="E1584">
        <v>0.194655712227949</v>
      </c>
      <c r="F1584">
        <f t="shared" si="72"/>
        <v>-2.7695377682007999E-2</v>
      </c>
      <c r="G1584" s="2">
        <f t="shared" si="73"/>
        <v>3.940464608872314E-3</v>
      </c>
      <c r="M1584">
        <v>1.0029188522408601</v>
      </c>
      <c r="N1584">
        <v>1.0029601876874801</v>
      </c>
      <c r="O1584" s="1">
        <v>5.9734277144113902E-9</v>
      </c>
      <c r="P1584" s="2">
        <f t="shared" si="74"/>
        <v>0.28603663239319438</v>
      </c>
    </row>
    <row r="1585" spans="2:16" x14ac:dyDescent="0.25">
      <c r="B1585">
        <v>1584</v>
      </c>
      <c r="C1585">
        <v>-0.20311255890836899</v>
      </c>
      <c r="D1585">
        <v>-0.161317518184389</v>
      </c>
      <c r="E1585">
        <v>0.16501884634522301</v>
      </c>
      <c r="F1585">
        <f t="shared" si="72"/>
        <v>-4.1795040723979993E-2</v>
      </c>
      <c r="G1585" s="2">
        <f t="shared" si="73"/>
        <v>1.0585611691071632E-2</v>
      </c>
      <c r="M1585">
        <v>23.0058545089014</v>
      </c>
      <c r="N1585">
        <v>23.002014279199301</v>
      </c>
      <c r="O1585" s="1">
        <v>2.6481912816766001E-6</v>
      </c>
      <c r="P1585" s="2">
        <f t="shared" si="74"/>
        <v>5.5688440132427957</v>
      </c>
    </row>
    <row r="1586" spans="2:16" x14ac:dyDescent="0.25">
      <c r="B1586">
        <v>1585</v>
      </c>
      <c r="C1586">
        <v>-0.26637008424623099</v>
      </c>
      <c r="D1586">
        <v>-9.8023117235141705E-2</v>
      </c>
      <c r="E1586">
        <v>0.28381208712537798</v>
      </c>
      <c r="F1586">
        <f t="shared" si="72"/>
        <v>-0.16834696701108928</v>
      </c>
      <c r="G1586" s="2">
        <f t="shared" si="73"/>
        <v>9.9857273835250296E-2</v>
      </c>
      <c r="M1586">
        <v>9.7177540855016495</v>
      </c>
      <c r="N1586">
        <v>9.7161104938364193</v>
      </c>
      <c r="O1586" s="1">
        <v>4.4850807990424299E-7</v>
      </c>
      <c r="P1586" s="2">
        <f t="shared" si="74"/>
        <v>6.0230655434143925</v>
      </c>
    </row>
    <row r="1587" spans="2:16" x14ac:dyDescent="0.25">
      <c r="B1587">
        <v>1586</v>
      </c>
      <c r="C1587">
        <v>-0.32896346971615997</v>
      </c>
      <c r="D1587">
        <v>-2.4368561908605198E-2</v>
      </c>
      <c r="E1587">
        <v>0.43286785763077801</v>
      </c>
      <c r="F1587">
        <f t="shared" si="72"/>
        <v>-0.30459490780755477</v>
      </c>
      <c r="G1587" s="2">
        <f t="shared" si="73"/>
        <v>0.2143334420118331</v>
      </c>
      <c r="M1587">
        <v>10.6341380915429</v>
      </c>
      <c r="N1587">
        <v>10.632165842733301</v>
      </c>
      <c r="O1587" s="1">
        <v>5.2048789568813598E-7</v>
      </c>
      <c r="P1587" s="2">
        <f t="shared" si="74"/>
        <v>7.4733061021948579</v>
      </c>
    </row>
    <row r="1588" spans="2:16" x14ac:dyDescent="0.25">
      <c r="B1588">
        <v>1587</v>
      </c>
      <c r="C1588">
        <v>-0.22558601650598101</v>
      </c>
      <c r="D1588">
        <v>-7.3214538753615402E-2</v>
      </c>
      <c r="E1588">
        <v>0.203556203372148</v>
      </c>
      <c r="F1588">
        <f t="shared" si="72"/>
        <v>-0.15237147775236559</v>
      </c>
      <c r="G1588" s="2">
        <f t="shared" si="73"/>
        <v>0.11405728171296972</v>
      </c>
      <c r="M1588">
        <v>1.0023030373989701</v>
      </c>
      <c r="N1588">
        <v>1.0023639737532299</v>
      </c>
      <c r="O1588" s="1">
        <v>4.4560960828291602E-9</v>
      </c>
      <c r="P1588" s="2">
        <f t="shared" si="74"/>
        <v>0.8332942561070269</v>
      </c>
    </row>
    <row r="1589" spans="2:16" x14ac:dyDescent="0.25">
      <c r="B1589">
        <v>1588</v>
      </c>
      <c r="C1589">
        <v>-0.13163491775212299</v>
      </c>
      <c r="D1589">
        <v>-0.11506386357790301</v>
      </c>
      <c r="E1589">
        <v>6.9311006286432303E-2</v>
      </c>
      <c r="F1589">
        <f t="shared" si="72"/>
        <v>-1.6571054174219987E-2</v>
      </c>
      <c r="G1589" s="2">
        <f t="shared" si="73"/>
        <v>3.9618503778480968E-3</v>
      </c>
      <c r="M1589">
        <v>23.006431972117301</v>
      </c>
      <c r="N1589">
        <v>23.006788897099199</v>
      </c>
      <c r="O1589" s="1">
        <v>1.1957342614463901E-6</v>
      </c>
      <c r="P1589" s="2">
        <f t="shared" si="74"/>
        <v>0.10654160109814272</v>
      </c>
    </row>
    <row r="1590" spans="2:16" x14ac:dyDescent="0.25">
      <c r="B1590">
        <v>1589</v>
      </c>
      <c r="C1590">
        <v>-0.24810473176112999</v>
      </c>
      <c r="D1590">
        <v>-0.126128968271882</v>
      </c>
      <c r="E1590">
        <v>0.24622383168904899</v>
      </c>
      <c r="F1590">
        <f t="shared" si="72"/>
        <v>-0.12197576348924799</v>
      </c>
      <c r="G1590" s="2">
        <f t="shared" si="73"/>
        <v>6.0425048122775514E-2</v>
      </c>
      <c r="M1590">
        <v>9.7169369098996299</v>
      </c>
      <c r="N1590">
        <v>9.7173921476739302</v>
      </c>
      <c r="O1590" s="1">
        <v>1.8917070547685499E-7</v>
      </c>
      <c r="P1590" s="2">
        <f t="shared" si="74"/>
        <v>1.0955260257000323</v>
      </c>
    </row>
    <row r="1591" spans="2:16" x14ac:dyDescent="0.25">
      <c r="B1591">
        <v>1590</v>
      </c>
      <c r="C1591">
        <v>-0.21209951480848699</v>
      </c>
      <c r="D1591">
        <v>-0.15374804570818601</v>
      </c>
      <c r="E1591">
        <v>0.17994481672798199</v>
      </c>
      <c r="F1591">
        <f t="shared" si="72"/>
        <v>-5.8351469100300979E-2</v>
      </c>
      <c r="G1591" s="2">
        <f t="shared" si="73"/>
        <v>1.8921878429599179E-2</v>
      </c>
      <c r="M1591">
        <v>10.6327489798533</v>
      </c>
      <c r="N1591">
        <v>10.632972408067401</v>
      </c>
      <c r="O1591" s="1">
        <v>2.5149460986841802E-7</v>
      </c>
      <c r="P1591" s="2">
        <f t="shared" si="74"/>
        <v>0.19849398316071129</v>
      </c>
    </row>
    <row r="1592" spans="2:16" x14ac:dyDescent="0.25">
      <c r="B1592">
        <v>1591</v>
      </c>
      <c r="C1592">
        <v>-0.17219082724381299</v>
      </c>
      <c r="D1592">
        <v>-0.16261934320968699</v>
      </c>
      <c r="E1592">
        <v>0.118598723947635</v>
      </c>
      <c r="F1592">
        <f t="shared" si="72"/>
        <v>-9.5714840341259988E-3</v>
      </c>
      <c r="G1592" s="2">
        <f t="shared" si="73"/>
        <v>7.7246452209704208E-4</v>
      </c>
      <c r="M1592">
        <v>1.0021841704355099</v>
      </c>
      <c r="N1592">
        <v>1.0021722638828401</v>
      </c>
      <c r="O1592" s="1">
        <v>2.6956350769984201E-9</v>
      </c>
      <c r="P1592" s="2">
        <f t="shared" si="74"/>
        <v>5.2590945149998305E-2</v>
      </c>
    </row>
    <row r="1593" spans="2:16" x14ac:dyDescent="0.25">
      <c r="B1593">
        <v>1592</v>
      </c>
      <c r="C1593">
        <v>-0.21851323534526701</v>
      </c>
      <c r="D1593">
        <v>-0.212638617208114</v>
      </c>
      <c r="E1593">
        <v>0.19099213608422499</v>
      </c>
      <c r="F1593">
        <f t="shared" si="72"/>
        <v>-5.8746181371530093E-3</v>
      </c>
      <c r="G1593" s="2">
        <f t="shared" si="73"/>
        <v>1.806940273297333E-4</v>
      </c>
      <c r="M1593">
        <v>23.013326762536298</v>
      </c>
      <c r="N1593">
        <v>23.013967551444701</v>
      </c>
      <c r="O1593" s="1">
        <v>1.3030290309209801E-6</v>
      </c>
      <c r="P1593" s="2">
        <f t="shared" si="74"/>
        <v>0.31511993623140117</v>
      </c>
    </row>
    <row r="1594" spans="2:16" x14ac:dyDescent="0.25">
      <c r="B1594">
        <v>1593</v>
      </c>
      <c r="C1594">
        <v>-0.22207424870092399</v>
      </c>
      <c r="D1594">
        <v>-0.209373627050669</v>
      </c>
      <c r="E1594">
        <v>0.197267887744319</v>
      </c>
      <c r="F1594">
        <f t="shared" si="72"/>
        <v>-1.2700621650254984E-2</v>
      </c>
      <c r="G1594" s="2">
        <f t="shared" si="73"/>
        <v>8.1769918128791325E-4</v>
      </c>
      <c r="M1594">
        <v>9.7188885942149401</v>
      </c>
      <c r="N1594">
        <v>9.71931893616072</v>
      </c>
      <c r="O1594" s="1">
        <v>2.38002399195147E-7</v>
      </c>
      <c r="P1594" s="2">
        <f t="shared" si="74"/>
        <v>0.77811900604302175</v>
      </c>
    </row>
    <row r="1595" spans="2:16" x14ac:dyDescent="0.25">
      <c r="B1595">
        <v>1594</v>
      </c>
      <c r="C1595">
        <v>-0.21094615474478301</v>
      </c>
      <c r="D1595">
        <v>-0.21266161250265</v>
      </c>
      <c r="E1595">
        <v>0.17799312080644</v>
      </c>
      <c r="F1595">
        <f t="shared" si="72"/>
        <v>1.7154577578669949E-3</v>
      </c>
      <c r="G1595" s="2">
        <f t="shared" si="73"/>
        <v>1.6533196933078232E-5</v>
      </c>
      <c r="M1595">
        <v>10.633930417360199</v>
      </c>
      <c r="N1595">
        <v>10.6341848819439</v>
      </c>
      <c r="O1595" s="1">
        <v>2.24762789888791E-7</v>
      </c>
      <c r="P1595" s="2">
        <f t="shared" si="74"/>
        <v>0.28809138910535786</v>
      </c>
    </row>
    <row r="1596" spans="2:16" x14ac:dyDescent="0.25">
      <c r="B1596">
        <v>1595</v>
      </c>
      <c r="C1596">
        <v>-0.24522542441561801</v>
      </c>
      <c r="D1596">
        <v>-0.21231912397882999</v>
      </c>
      <c r="E1596">
        <v>0.24054203511928099</v>
      </c>
      <c r="F1596">
        <f t="shared" si="72"/>
        <v>-3.2906300436788022E-2</v>
      </c>
      <c r="G1596" s="2">
        <f t="shared" si="73"/>
        <v>4.5016024242881293E-3</v>
      </c>
      <c r="M1596">
        <v>1.0018369125556601</v>
      </c>
      <c r="N1596">
        <v>1.00188417127612</v>
      </c>
      <c r="O1596" s="1">
        <v>3.0534720161753999E-9</v>
      </c>
      <c r="P1596" s="2">
        <f t="shared" si="74"/>
        <v>0.73142529149487001</v>
      </c>
    </row>
    <row r="1597" spans="2:16" x14ac:dyDescent="0.25">
      <c r="B1597">
        <v>1596</v>
      </c>
      <c r="C1597">
        <v>-0.20123963813581</v>
      </c>
      <c r="D1597">
        <v>-0.209923738496365</v>
      </c>
      <c r="E1597">
        <v>0.16198956782812801</v>
      </c>
      <c r="F1597">
        <f t="shared" si="72"/>
        <v>8.6841003605550027E-3</v>
      </c>
      <c r="G1597" s="2">
        <f t="shared" si="73"/>
        <v>4.6554602301430824E-4</v>
      </c>
      <c r="M1597">
        <v>23.019869257880298</v>
      </c>
      <c r="N1597">
        <v>23.018406683490699</v>
      </c>
      <c r="O1597" s="1">
        <v>1.51157947472254E-6</v>
      </c>
      <c r="P1597" s="2">
        <f t="shared" si="74"/>
        <v>1.4151580389140574</v>
      </c>
    </row>
    <row r="1598" spans="2:16" x14ac:dyDescent="0.25">
      <c r="B1598">
        <v>1597</v>
      </c>
      <c r="C1598">
        <v>-0.21019355567812001</v>
      </c>
      <c r="D1598">
        <v>-0.21276062663952</v>
      </c>
      <c r="E1598">
        <v>0.176725323394443</v>
      </c>
      <c r="F1598">
        <f t="shared" si="72"/>
        <v>2.567070961399992E-3</v>
      </c>
      <c r="G1598" s="2">
        <f t="shared" si="73"/>
        <v>3.7288675976304892E-5</v>
      </c>
      <c r="M1598">
        <v>9.7209135074414004</v>
      </c>
      <c r="N1598">
        <v>9.7205103128737704</v>
      </c>
      <c r="O1598" s="1">
        <v>3.0460571561699102E-7</v>
      </c>
      <c r="P1598" s="2">
        <f t="shared" si="74"/>
        <v>0.53369274124423283</v>
      </c>
    </row>
    <row r="1599" spans="2:16" x14ac:dyDescent="0.25">
      <c r="B1599">
        <v>1598</v>
      </c>
      <c r="C1599">
        <v>-0.17999204933717</v>
      </c>
      <c r="D1599">
        <v>-0.21519032757126899</v>
      </c>
      <c r="E1599">
        <v>0.12958855129837701</v>
      </c>
      <c r="F1599">
        <f t="shared" si="72"/>
        <v>3.519827823409899E-2</v>
      </c>
      <c r="G1599" s="2">
        <f t="shared" si="73"/>
        <v>9.5604031238256705E-3</v>
      </c>
      <c r="M1599">
        <v>10.635725753827501</v>
      </c>
      <c r="N1599">
        <v>10.634934530750201</v>
      </c>
      <c r="O1599" s="1">
        <v>3.4887584152156201E-7</v>
      </c>
      <c r="P1599" s="2">
        <f t="shared" si="74"/>
        <v>1.7944319541359395</v>
      </c>
    </row>
    <row r="1600" spans="2:16" x14ac:dyDescent="0.25">
      <c r="B1600">
        <v>1599</v>
      </c>
      <c r="C1600">
        <v>-0.210566005193383</v>
      </c>
      <c r="D1600">
        <v>-0.21421303986913301</v>
      </c>
      <c r="E1600">
        <v>0.17735217017239999</v>
      </c>
      <c r="F1600">
        <f t="shared" si="72"/>
        <v>3.647034675750005E-3</v>
      </c>
      <c r="G1600" s="2">
        <f t="shared" si="73"/>
        <v>7.4996894107320366E-5</v>
      </c>
      <c r="M1600">
        <v>1.00171644733053</v>
      </c>
      <c r="N1600">
        <v>1.00170610713049</v>
      </c>
      <c r="O1600" s="1">
        <v>3.03812355329053E-9</v>
      </c>
      <c r="P1600" s="2">
        <f t="shared" si="74"/>
        <v>3.5192688839479312E-2</v>
      </c>
    </row>
    <row r="1601" spans="2:16" x14ac:dyDescent="0.25">
      <c r="B1601">
        <v>1600</v>
      </c>
      <c r="C1601">
        <v>-0.226576922848927</v>
      </c>
      <c r="D1601">
        <v>-0.21502051663729099</v>
      </c>
      <c r="E1601">
        <v>0.20534840787075501</v>
      </c>
      <c r="F1601">
        <f t="shared" si="72"/>
        <v>-1.1556406211636006E-2</v>
      </c>
      <c r="G1601" s="2">
        <f t="shared" si="73"/>
        <v>6.5036065247895715E-4</v>
      </c>
      <c r="M1601">
        <v>23.025064962818401</v>
      </c>
      <c r="N1601">
        <v>23.0240071785312</v>
      </c>
      <c r="O1601" s="1">
        <v>1.64457491873936E-6</v>
      </c>
      <c r="P1601" s="2">
        <f t="shared" si="74"/>
        <v>0.68036280105045532</v>
      </c>
    </row>
    <row r="1602" spans="2:16" x14ac:dyDescent="0.25">
      <c r="B1602">
        <v>1601</v>
      </c>
      <c r="C1602">
        <v>-0.22376373231959601</v>
      </c>
      <c r="D1602">
        <v>-0.21978704750164299</v>
      </c>
      <c r="E1602">
        <v>0.20028083160638399</v>
      </c>
      <c r="F1602">
        <f t="shared" si="72"/>
        <v>-3.976684817953019E-3</v>
      </c>
      <c r="G1602" s="2">
        <f t="shared" si="73"/>
        <v>7.8959239456413168E-5</v>
      </c>
      <c r="M1602">
        <v>9.7224138740666906</v>
      </c>
      <c r="N1602">
        <v>9.7220132573616294</v>
      </c>
      <c r="O1602" s="1">
        <v>3.02154677559518E-7</v>
      </c>
      <c r="P1602" s="2">
        <f t="shared" si="74"/>
        <v>0.5311641893826905</v>
      </c>
    </row>
    <row r="1603" spans="2:16" x14ac:dyDescent="0.25">
      <c r="B1603">
        <v>1602</v>
      </c>
      <c r="C1603">
        <v>-0.236010119496291</v>
      </c>
      <c r="D1603">
        <v>-0.241662678668217</v>
      </c>
      <c r="E1603">
        <v>0.222803106018615</v>
      </c>
      <c r="F1603">
        <f t="shared" ref="F1603:F1666" si="75">C1603-D1603</f>
        <v>5.6525591719260027E-3</v>
      </c>
      <c r="G1603" s="2">
        <f t="shared" ref="G1603:G1666" si="76">F1603^2/E1603</f>
        <v>1.4340655192416959E-4</v>
      </c>
      <c r="M1603">
        <v>10.636462316740401</v>
      </c>
      <c r="N1603">
        <v>10.635880171358</v>
      </c>
      <c r="O1603" s="1">
        <v>3.2646453021806201E-7</v>
      </c>
      <c r="P1603" s="2">
        <f t="shared" ref="P1603:P1666" si="77">(M1603-N1603)^2/O1603</f>
        <v>1.0380706474430408</v>
      </c>
    </row>
    <row r="1604" spans="2:16" x14ac:dyDescent="0.25">
      <c r="B1604">
        <v>1603</v>
      </c>
      <c r="C1604">
        <v>-0.24756794243128999</v>
      </c>
      <c r="D1604">
        <v>-0.25346660232259199</v>
      </c>
      <c r="E1604">
        <v>0.24515954447865099</v>
      </c>
      <c r="F1604">
        <f t="shared" si="75"/>
        <v>5.898659891302005E-3</v>
      </c>
      <c r="G1604" s="2">
        <f t="shared" si="76"/>
        <v>1.4192467434725933E-4</v>
      </c>
      <c r="M1604">
        <v>1.0013968645417699</v>
      </c>
      <c r="N1604">
        <v>1.00148155207087</v>
      </c>
      <c r="O1604" s="1">
        <v>4.2307476088334797E-9</v>
      </c>
      <c r="P1604" s="2">
        <f t="shared" si="77"/>
        <v>1.6952033654998788</v>
      </c>
    </row>
    <row r="1605" spans="2:16" x14ac:dyDescent="0.25">
      <c r="B1605">
        <v>1604</v>
      </c>
      <c r="C1605">
        <v>-0.20771558439096299</v>
      </c>
      <c r="D1605">
        <v>-0.25191723335531202</v>
      </c>
      <c r="E1605">
        <v>0.17258305599551599</v>
      </c>
      <c r="F1605">
        <f t="shared" si="75"/>
        <v>4.4201648964349027E-2</v>
      </c>
      <c r="G1605" s="2">
        <f t="shared" si="76"/>
        <v>1.1320843520225417E-2</v>
      </c>
      <c r="M1605">
        <v>23.024682049273299</v>
      </c>
      <c r="N1605">
        <v>23.0250461750265</v>
      </c>
      <c r="O1605" s="1">
        <v>1.2957122843383501E-6</v>
      </c>
      <c r="P1605" s="2">
        <f t="shared" si="77"/>
        <v>0.10232793633804038</v>
      </c>
    </row>
    <row r="1606" spans="2:16" x14ac:dyDescent="0.25">
      <c r="B1606">
        <v>1605</v>
      </c>
      <c r="C1606">
        <v>-0.23633722289880299</v>
      </c>
      <c r="D1606">
        <v>-0.24640627800253201</v>
      </c>
      <c r="E1606">
        <v>0.22342113171007399</v>
      </c>
      <c r="F1606">
        <f t="shared" si="75"/>
        <v>1.0069055103729019E-2</v>
      </c>
      <c r="G1606" s="2">
        <f t="shared" si="76"/>
        <v>4.5378818872646474E-4</v>
      </c>
      <c r="M1606">
        <v>9.7219421737358296</v>
      </c>
      <c r="N1606">
        <v>9.7222920669978894</v>
      </c>
      <c r="O1606" s="1">
        <v>2.61641050336349E-7</v>
      </c>
      <c r="P1606" s="2">
        <f t="shared" si="77"/>
        <v>0.46791317599998761</v>
      </c>
    </row>
    <row r="1607" spans="2:16" x14ac:dyDescent="0.25">
      <c r="B1607">
        <v>1606</v>
      </c>
      <c r="C1607">
        <v>-0.25195506767947201</v>
      </c>
      <c r="D1607">
        <v>-0.24948349245849599</v>
      </c>
      <c r="E1607">
        <v>0.25392542451747002</v>
      </c>
      <c r="F1607">
        <f t="shared" si="75"/>
        <v>-2.4715752209760189E-3</v>
      </c>
      <c r="G1607" s="2">
        <f t="shared" si="76"/>
        <v>2.4057000532935529E-5</v>
      </c>
      <c r="M1607">
        <v>10.6361531887414</v>
      </c>
      <c r="N1607">
        <v>10.6360555893129</v>
      </c>
      <c r="O1607" s="1">
        <v>2.7279066615290298E-7</v>
      </c>
      <c r="P1607" s="2">
        <f t="shared" si="77"/>
        <v>3.4919260903816404E-2</v>
      </c>
    </row>
    <row r="1608" spans="2:16" x14ac:dyDescent="0.25">
      <c r="B1608">
        <v>1607</v>
      </c>
      <c r="C1608">
        <v>-0.212294439684348</v>
      </c>
      <c r="D1608">
        <v>-0.24633284217937501</v>
      </c>
      <c r="E1608">
        <v>0.180275716483564</v>
      </c>
      <c r="F1608">
        <f t="shared" si="75"/>
        <v>3.4038402495027015E-2</v>
      </c>
      <c r="G1608" s="2">
        <f t="shared" si="76"/>
        <v>6.4268935773115826E-3</v>
      </c>
      <c r="M1608">
        <v>1.0013474804328399</v>
      </c>
      <c r="N1608">
        <v>1.0014399044525299</v>
      </c>
      <c r="O1608" s="1">
        <v>3.63044673209254E-9</v>
      </c>
      <c r="P1608" s="2">
        <f t="shared" si="77"/>
        <v>2.3529334117884826</v>
      </c>
    </row>
    <row r="1609" spans="2:16" x14ac:dyDescent="0.25">
      <c r="B1609">
        <v>1608</v>
      </c>
      <c r="C1609">
        <v>-0.26106642956534898</v>
      </c>
      <c r="D1609">
        <v>-0.249997382183305</v>
      </c>
      <c r="E1609">
        <v>0.272622722583998</v>
      </c>
      <c r="F1609">
        <f t="shared" si="75"/>
        <v>-1.1069047382043978E-2</v>
      </c>
      <c r="G1609" s="2">
        <f t="shared" si="76"/>
        <v>4.4942625759371085E-4</v>
      </c>
      <c r="M1609">
        <v>23.039228168322001</v>
      </c>
      <c r="N1609">
        <v>23.037368248151701</v>
      </c>
      <c r="O1609" s="1">
        <v>1.51485949366153E-6</v>
      </c>
      <c r="P1609" s="2">
        <f t="shared" si="77"/>
        <v>2.2835801302793288</v>
      </c>
    </row>
    <row r="1610" spans="2:16" x14ac:dyDescent="0.25">
      <c r="B1610">
        <v>1609</v>
      </c>
      <c r="C1610">
        <v>-0.23020654195895901</v>
      </c>
      <c r="D1610">
        <v>-0.243118270430637</v>
      </c>
      <c r="E1610">
        <v>0.21198020784280899</v>
      </c>
      <c r="F1610">
        <f t="shared" si="75"/>
        <v>1.2911728471677986E-2</v>
      </c>
      <c r="G1610" s="2">
        <f t="shared" si="76"/>
        <v>7.864542346800766E-4</v>
      </c>
      <c r="M1610">
        <v>9.7262494583020107</v>
      </c>
      <c r="N1610">
        <v>9.7255982855518397</v>
      </c>
      <c r="O1610" s="1">
        <v>2.6784810925532901E-7</v>
      </c>
      <c r="P1610" s="2">
        <f t="shared" si="77"/>
        <v>1.5830836056455964</v>
      </c>
    </row>
    <row r="1611" spans="2:16" x14ac:dyDescent="0.25">
      <c r="B1611">
        <v>1610</v>
      </c>
      <c r="C1611">
        <v>-0.27624463014800898</v>
      </c>
      <c r="D1611">
        <v>-0.245180928744689</v>
      </c>
      <c r="E1611">
        <v>0.30524438274243998</v>
      </c>
      <c r="F1611">
        <f t="shared" si="75"/>
        <v>-3.1063701403319988E-2</v>
      </c>
      <c r="G1611" s="2">
        <f t="shared" si="76"/>
        <v>3.1612491479944306E-3</v>
      </c>
      <c r="M1611">
        <v>10.6391416732745</v>
      </c>
      <c r="N1611">
        <v>10.6381355915629</v>
      </c>
      <c r="O1611" s="1">
        <v>3.5450822515007098E-7</v>
      </c>
      <c r="P1611" s="2">
        <f t="shared" si="77"/>
        <v>2.8552240501234967</v>
      </c>
    </row>
    <row r="1612" spans="2:16" x14ac:dyDescent="0.25">
      <c r="B1612">
        <v>1611</v>
      </c>
      <c r="C1612">
        <v>-0.20610226030374401</v>
      </c>
      <c r="D1612">
        <v>-0.25118823508538202</v>
      </c>
      <c r="E1612">
        <v>0.16991256680924899</v>
      </c>
      <c r="F1612">
        <f t="shared" si="75"/>
        <v>4.5085974781638005E-2</v>
      </c>
      <c r="G1612" s="2">
        <f t="shared" si="76"/>
        <v>1.196347721762419E-2</v>
      </c>
      <c r="M1612">
        <v>1.0008783372699801</v>
      </c>
      <c r="N1612">
        <v>1.00094625598194</v>
      </c>
      <c r="O1612" s="1">
        <v>5.7875448642865697E-9</v>
      </c>
      <c r="P1612" s="2">
        <f t="shared" si="77"/>
        <v>0.79704806484602464</v>
      </c>
    </row>
    <row r="1613" spans="2:16" x14ac:dyDescent="0.25">
      <c r="B1613">
        <v>1612</v>
      </c>
      <c r="C1613">
        <v>-0.24940792095141101</v>
      </c>
      <c r="D1613">
        <v>-0.24683661541402699</v>
      </c>
      <c r="E1613">
        <v>0.24881724413322201</v>
      </c>
      <c r="F1613">
        <f t="shared" si="75"/>
        <v>-2.5713055373840221E-3</v>
      </c>
      <c r="G1613" s="2">
        <f t="shared" si="76"/>
        <v>2.6572162189216022E-5</v>
      </c>
      <c r="M1613">
        <v>23.039924017604399</v>
      </c>
      <c r="N1613">
        <v>23.036455920250901</v>
      </c>
      <c r="O1613" s="1">
        <v>1.49034873712242E-6</v>
      </c>
      <c r="P1613" s="2">
        <f t="shared" si="77"/>
        <v>8.0703924885122174</v>
      </c>
    </row>
    <row r="1614" spans="2:16" x14ac:dyDescent="0.25">
      <c r="B1614">
        <v>1613</v>
      </c>
      <c r="C1614">
        <v>-0.24372402025451401</v>
      </c>
      <c r="D1614">
        <v>-0.24736964131537401</v>
      </c>
      <c r="E1614">
        <v>0.23760559219609101</v>
      </c>
      <c r="F1614">
        <f t="shared" si="75"/>
        <v>3.6456210608599993E-3</v>
      </c>
      <c r="G1614" s="2">
        <f t="shared" si="76"/>
        <v>5.5935354031640666E-5</v>
      </c>
      <c r="M1614">
        <v>9.7269356982442403</v>
      </c>
      <c r="N1614">
        <v>9.72535351479784</v>
      </c>
      <c r="O1614" s="1">
        <v>2.5866926196381501E-7</v>
      </c>
      <c r="P1614" s="2">
        <f t="shared" si="77"/>
        <v>9.6776263211869544</v>
      </c>
    </row>
    <row r="1615" spans="2:16" x14ac:dyDescent="0.25">
      <c r="B1615">
        <v>1614</v>
      </c>
      <c r="C1615">
        <v>-0.24285102984999499</v>
      </c>
      <c r="D1615">
        <v>-0.24867822775984499</v>
      </c>
      <c r="E1615">
        <v>0.235906490796812</v>
      </c>
      <c r="F1615">
        <f t="shared" si="75"/>
        <v>5.8271979098500071E-3</v>
      </c>
      <c r="G1615" s="2">
        <f t="shared" si="76"/>
        <v>1.4393938617741147E-4</v>
      </c>
      <c r="M1615">
        <v>10.639639330387</v>
      </c>
      <c r="N1615">
        <v>10.637981612126801</v>
      </c>
      <c r="O1615" s="1">
        <v>3.5649976198011202E-7</v>
      </c>
      <c r="P1615" s="2">
        <f t="shared" si="77"/>
        <v>7.7083637165299308</v>
      </c>
    </row>
    <row r="1616" spans="2:16" x14ac:dyDescent="0.25">
      <c r="B1616">
        <v>1615</v>
      </c>
      <c r="C1616">
        <v>-0.240705173212762</v>
      </c>
      <c r="D1616">
        <v>-0.24149077184015999</v>
      </c>
      <c r="E1616">
        <v>0.23175592164554301</v>
      </c>
      <c r="F1616">
        <f t="shared" si="75"/>
        <v>7.8559862739799313E-4</v>
      </c>
      <c r="G1616" s="2">
        <f t="shared" si="76"/>
        <v>2.6629964791731562E-6</v>
      </c>
      <c r="M1616">
        <v>1.0008818234121799</v>
      </c>
      <c r="N1616">
        <v>1.0009827883860001</v>
      </c>
      <c r="O1616" s="1">
        <v>5.64688608252678E-9</v>
      </c>
      <c r="P1616" s="2">
        <f t="shared" si="77"/>
        <v>1.8052296061100397</v>
      </c>
    </row>
    <row r="1617" spans="2:16" x14ac:dyDescent="0.25">
      <c r="B1617">
        <v>1616</v>
      </c>
      <c r="C1617">
        <v>-0.25080917998581198</v>
      </c>
      <c r="D1617">
        <v>-0.24207270103846801</v>
      </c>
      <c r="E1617">
        <v>0.25162097906062098</v>
      </c>
      <c r="F1617">
        <f t="shared" si="75"/>
        <v>-8.736478947343973E-3</v>
      </c>
      <c r="G1617" s="2">
        <f t="shared" si="76"/>
        <v>3.0333744301581402E-4</v>
      </c>
      <c r="M1617">
        <v>23.036710908366501</v>
      </c>
      <c r="N1617">
        <v>23.036829435007</v>
      </c>
      <c r="O1617" s="1">
        <v>1.44676695413723E-6</v>
      </c>
      <c r="P1617" s="2">
        <f t="shared" si="77"/>
        <v>9.7103161416319892E-3</v>
      </c>
    </row>
    <row r="1618" spans="2:16" x14ac:dyDescent="0.25">
      <c r="B1618">
        <v>1617</v>
      </c>
      <c r="C1618">
        <v>-0.246935713500509</v>
      </c>
      <c r="D1618">
        <v>-0.249597909410398</v>
      </c>
      <c r="E1618">
        <v>0.243908986408022</v>
      </c>
      <c r="F1618">
        <f t="shared" si="75"/>
        <v>2.6621959098890036E-3</v>
      </c>
      <c r="G1618" s="2">
        <f t="shared" si="76"/>
        <v>2.9057096940142277E-5</v>
      </c>
      <c r="M1618">
        <v>9.7253131436047795</v>
      </c>
      <c r="N1618">
        <v>9.7254537264411507</v>
      </c>
      <c r="O1618" s="1">
        <v>2.4605228233181799E-7</v>
      </c>
      <c r="P1618" s="2">
        <f t="shared" si="77"/>
        <v>8.0322497702003282E-2</v>
      </c>
    </row>
    <row r="1619" spans="2:16" x14ac:dyDescent="0.25">
      <c r="B1619">
        <v>1618</v>
      </c>
      <c r="C1619">
        <v>-0.191862126945512</v>
      </c>
      <c r="D1619">
        <v>-0.24187765303546899</v>
      </c>
      <c r="E1619">
        <v>0.14724430302422201</v>
      </c>
      <c r="F1619">
        <f t="shared" si="75"/>
        <v>5.0015526089956991E-2</v>
      </c>
      <c r="G1619" s="2">
        <f t="shared" si="76"/>
        <v>1.698913165858551E-2</v>
      </c>
      <c r="M1619">
        <v>10.638104520035901</v>
      </c>
      <c r="N1619">
        <v>10.6380446530776</v>
      </c>
      <c r="O1619" s="1">
        <v>2.7181356244953701E-7</v>
      </c>
      <c r="P1619" s="2">
        <f t="shared" si="77"/>
        <v>1.3185702228799006E-2</v>
      </c>
    </row>
    <row r="1620" spans="2:16" x14ac:dyDescent="0.25">
      <c r="B1620">
        <v>1619</v>
      </c>
      <c r="C1620">
        <v>-0.227142141080872</v>
      </c>
      <c r="D1620">
        <v>-0.24958044860794401</v>
      </c>
      <c r="E1620">
        <v>0.206374209019211</v>
      </c>
      <c r="F1620">
        <f t="shared" si="75"/>
        <v>2.2438307527072016E-2</v>
      </c>
      <c r="G1620" s="2">
        <f t="shared" si="76"/>
        <v>2.4396345215432847E-3</v>
      </c>
      <c r="M1620">
        <v>1.0008923039469699</v>
      </c>
      <c r="N1620">
        <v>1.0009678313748001</v>
      </c>
      <c r="O1620" s="1">
        <v>3.2636948499783099E-9</v>
      </c>
      <c r="P1620" s="2">
        <f t="shared" si="77"/>
        <v>1.7478326304533498</v>
      </c>
    </row>
    <row r="1621" spans="2:16" x14ac:dyDescent="0.25">
      <c r="B1621">
        <v>1620</v>
      </c>
      <c r="C1621">
        <v>-0.26190497757925102</v>
      </c>
      <c r="D1621">
        <v>-0.246869157131691</v>
      </c>
      <c r="E1621">
        <v>0.27437686912315201</v>
      </c>
      <c r="F1621">
        <f t="shared" si="75"/>
        <v>-1.5035820447560022E-2</v>
      </c>
      <c r="G1621" s="2">
        <f t="shared" si="76"/>
        <v>8.2396120800471546E-4</v>
      </c>
      <c r="M1621">
        <v>23.0393978959329</v>
      </c>
      <c r="N1621">
        <v>23.037468087724601</v>
      </c>
      <c r="O1621" s="1">
        <v>1.42905669389687E-6</v>
      </c>
      <c r="P1621" s="2">
        <f t="shared" si="77"/>
        <v>2.6060265745391353</v>
      </c>
    </row>
    <row r="1622" spans="2:16" x14ac:dyDescent="0.25">
      <c r="B1622">
        <v>1621</v>
      </c>
      <c r="C1622">
        <v>-0.27079794847616001</v>
      </c>
      <c r="D1622">
        <v>-0.247975269916201</v>
      </c>
      <c r="E1622">
        <v>0.29332611559558902</v>
      </c>
      <c r="F1622">
        <f t="shared" si="75"/>
        <v>-2.2822678559959009E-2</v>
      </c>
      <c r="G1622" s="2">
        <f t="shared" si="76"/>
        <v>1.7757527508029545E-3</v>
      </c>
      <c r="M1622">
        <v>9.7265520110865396</v>
      </c>
      <c r="N1622">
        <v>9.7256250715482206</v>
      </c>
      <c r="O1622" s="1">
        <v>2.56606573596653E-7</v>
      </c>
      <c r="P1622" s="2">
        <f t="shared" si="77"/>
        <v>3.348382294560484</v>
      </c>
    </row>
    <row r="1623" spans="2:16" x14ac:dyDescent="0.25">
      <c r="B1623">
        <v>1622</v>
      </c>
      <c r="C1623">
        <v>-0.25933344629370803</v>
      </c>
      <c r="D1623">
        <v>-0.246055763497563</v>
      </c>
      <c r="E1623">
        <v>0.26901534546628603</v>
      </c>
      <c r="F1623">
        <f t="shared" si="75"/>
        <v>-1.3277682796145024E-2</v>
      </c>
      <c r="G1623" s="2">
        <f t="shared" si="76"/>
        <v>6.5534127850390487E-4</v>
      </c>
      <c r="M1623">
        <v>10.638948874425701</v>
      </c>
      <c r="N1623">
        <v>10.638152441893601</v>
      </c>
      <c r="O1623" s="1">
        <v>2.7122525491721499E-7</v>
      </c>
      <c r="P1623" s="2">
        <f t="shared" si="77"/>
        <v>2.3386641423973265</v>
      </c>
    </row>
    <row r="1624" spans="2:16" x14ac:dyDescent="0.25">
      <c r="B1624">
        <v>1623</v>
      </c>
      <c r="C1624">
        <v>-0.216861749339648</v>
      </c>
      <c r="D1624">
        <v>-0.24840633480399399</v>
      </c>
      <c r="E1624">
        <v>0.18811607330661001</v>
      </c>
      <c r="F1624">
        <f t="shared" si="75"/>
        <v>3.1544585464345992E-2</v>
      </c>
      <c r="G1624" s="2">
        <f t="shared" si="76"/>
        <v>5.2896111141740709E-3</v>
      </c>
      <c r="M1624">
        <v>1.00086399465305</v>
      </c>
      <c r="N1624">
        <v>1.00094225826835</v>
      </c>
      <c r="O1624" s="1">
        <v>6.7830982858032201E-9</v>
      </c>
      <c r="P1624" s="2">
        <f t="shared" si="77"/>
        <v>0.90300821567851475</v>
      </c>
    </row>
    <row r="1625" spans="2:16" x14ac:dyDescent="0.25">
      <c r="B1625">
        <v>1624</v>
      </c>
      <c r="C1625">
        <v>-0.231860399533592</v>
      </c>
      <c r="D1625">
        <v>-0.24724148995145601</v>
      </c>
      <c r="E1625">
        <v>0.215036979487508</v>
      </c>
      <c r="F1625">
        <f t="shared" si="75"/>
        <v>1.5381090417864007E-2</v>
      </c>
      <c r="G1625" s="2">
        <f t="shared" si="76"/>
        <v>1.1001732958039962E-3</v>
      </c>
      <c r="M1625">
        <v>23.033115411193201</v>
      </c>
      <c r="N1625">
        <v>23.036913766425801</v>
      </c>
      <c r="O1625" s="1">
        <v>8.1100954714181201E-7</v>
      </c>
      <c r="P1625" s="2">
        <f t="shared" si="77"/>
        <v>17.789559350896489</v>
      </c>
    </row>
    <row r="1626" spans="2:16" x14ac:dyDescent="0.25">
      <c r="B1626">
        <v>1625</v>
      </c>
      <c r="C1626">
        <v>-0.26398571407019999</v>
      </c>
      <c r="D1626">
        <v>-0.24722435221358099</v>
      </c>
      <c r="E1626">
        <v>0.27875382893261302</v>
      </c>
      <c r="F1626">
        <f t="shared" si="75"/>
        <v>-1.6761361856619E-2</v>
      </c>
      <c r="G1626" s="2">
        <f t="shared" si="76"/>
        <v>1.0078543220887509E-3</v>
      </c>
      <c r="M1626">
        <v>9.7236907950891993</v>
      </c>
      <c r="N1626">
        <v>9.7254763519447405</v>
      </c>
      <c r="O1626" s="1">
        <v>1.2738652174621801E-7</v>
      </c>
      <c r="P1626" s="2">
        <f t="shared" si="77"/>
        <v>25.027869830072412</v>
      </c>
    </row>
    <row r="1627" spans="2:16" x14ac:dyDescent="0.25">
      <c r="B1627">
        <v>1626</v>
      </c>
      <c r="C1627">
        <v>-0.25601725624251898</v>
      </c>
      <c r="D1627">
        <v>-0.25042897829642402</v>
      </c>
      <c r="E1627">
        <v>0.26217934197579101</v>
      </c>
      <c r="F1627">
        <f t="shared" si="75"/>
        <v>-5.588277946094955E-3</v>
      </c>
      <c r="G1627" s="2">
        <f t="shared" si="76"/>
        <v>1.1911255161245634E-4</v>
      </c>
      <c r="M1627">
        <v>10.636157736649199</v>
      </c>
      <c r="N1627">
        <v>10.638058886248301</v>
      </c>
      <c r="O1627" s="1">
        <v>1.9978196892149601E-7</v>
      </c>
      <c r="P1627" s="2">
        <f t="shared" si="77"/>
        <v>18.091571615169837</v>
      </c>
    </row>
    <row r="1628" spans="2:16" x14ac:dyDescent="0.25">
      <c r="B1628">
        <v>1627</v>
      </c>
      <c r="C1628">
        <v>-0.228082121555611</v>
      </c>
      <c r="D1628">
        <v>-0.25471749152921402</v>
      </c>
      <c r="E1628">
        <v>0.208085816693234</v>
      </c>
      <c r="F1628">
        <f t="shared" si="75"/>
        <v>2.6635369973603024E-2</v>
      </c>
      <c r="G1628" s="2">
        <f t="shared" si="76"/>
        <v>3.4093766932543719E-3</v>
      </c>
      <c r="M1628">
        <v>1.0009275533631401</v>
      </c>
      <c r="N1628">
        <v>1.00096445447504</v>
      </c>
      <c r="O1628" s="1">
        <v>3.9610161263621998E-9</v>
      </c>
      <c r="P1628" s="2">
        <f t="shared" si="77"/>
        <v>0.34377341975135944</v>
      </c>
    </row>
    <row r="1629" spans="2:16" x14ac:dyDescent="0.25">
      <c r="B1629">
        <v>1628</v>
      </c>
      <c r="C1629">
        <v>-0.25881601784908997</v>
      </c>
      <c r="D1629">
        <v>-0.25257591350115099</v>
      </c>
      <c r="E1629">
        <v>0.267942924381041</v>
      </c>
      <c r="F1629">
        <f t="shared" si="75"/>
        <v>-6.2401043479389795E-3</v>
      </c>
      <c r="G1629" s="2">
        <f t="shared" si="76"/>
        <v>1.4532536122428835E-4</v>
      </c>
      <c r="M1629">
        <v>23.037294661479201</v>
      </c>
      <c r="N1629">
        <v>23.038239249976701</v>
      </c>
      <c r="O1629" s="1">
        <v>1.1890752393974099E-6</v>
      </c>
      <c r="P1629" s="2">
        <f t="shared" si="77"/>
        <v>0.75037087649869949</v>
      </c>
    </row>
    <row r="1630" spans="2:16" x14ac:dyDescent="0.25">
      <c r="B1630">
        <v>1629</v>
      </c>
      <c r="C1630">
        <v>-0.22703387981363901</v>
      </c>
      <c r="D1630">
        <v>-0.25342739112726198</v>
      </c>
      <c r="E1630">
        <v>0.20617753033293501</v>
      </c>
      <c r="F1630">
        <f t="shared" si="75"/>
        <v>2.6393511313622969E-2</v>
      </c>
      <c r="G1630" s="2">
        <f t="shared" si="76"/>
        <v>3.3787262769975341E-3</v>
      </c>
      <c r="M1630">
        <v>9.7255894111785395</v>
      </c>
      <c r="N1630">
        <v>9.7258319655319703</v>
      </c>
      <c r="O1630" s="1">
        <v>2.71536867647262E-7</v>
      </c>
      <c r="P1630" s="2">
        <f t="shared" si="77"/>
        <v>0.21666529071350615</v>
      </c>
    </row>
    <row r="1631" spans="2:16" x14ac:dyDescent="0.25">
      <c r="B1631">
        <v>1630</v>
      </c>
      <c r="C1631">
        <v>-0.20362544063722601</v>
      </c>
      <c r="D1631">
        <v>-0.25069623539934799</v>
      </c>
      <c r="E1631">
        <v>0.16585328029881699</v>
      </c>
      <c r="F1631">
        <f t="shared" si="75"/>
        <v>4.7070794762121976E-2</v>
      </c>
      <c r="G1631" s="2">
        <f t="shared" si="76"/>
        <v>1.3359155245804406E-2</v>
      </c>
      <c r="M1631">
        <v>10.6377221871585</v>
      </c>
      <c r="N1631">
        <v>10.638282592521699</v>
      </c>
      <c r="O1631" s="1">
        <v>2.42119246457087E-7</v>
      </c>
      <c r="P1631" s="2">
        <f t="shared" si="77"/>
        <v>1.2971053548938092</v>
      </c>
    </row>
    <row r="1632" spans="2:16" x14ac:dyDescent="0.25">
      <c r="B1632">
        <v>1631</v>
      </c>
      <c r="C1632">
        <v>-0.25065955617513702</v>
      </c>
      <c r="D1632">
        <v>-0.25402493723165498</v>
      </c>
      <c r="E1632">
        <v>0.25132085240766699</v>
      </c>
      <c r="F1632">
        <f t="shared" si="75"/>
        <v>3.3653810565179576E-3</v>
      </c>
      <c r="G1632" s="2">
        <f t="shared" si="76"/>
        <v>4.5065061442646973E-5</v>
      </c>
      <c r="M1632">
        <v>1.00100775487786</v>
      </c>
      <c r="N1632">
        <v>1.0009113809944901</v>
      </c>
      <c r="O1632" s="1">
        <v>7.9261414584632907E-9</v>
      </c>
      <c r="P1632" s="2">
        <f t="shared" si="77"/>
        <v>1.171809189183818</v>
      </c>
    </row>
    <row r="1633" spans="2:16" x14ac:dyDescent="0.25">
      <c r="B1633">
        <v>1632</v>
      </c>
      <c r="C1633">
        <v>-0.14791069498894299</v>
      </c>
      <c r="D1633">
        <v>-0.182081292144991</v>
      </c>
      <c r="E1633">
        <v>8.7510294768448793E-2</v>
      </c>
      <c r="F1633">
        <f t="shared" si="75"/>
        <v>3.4170597156048005E-2</v>
      </c>
      <c r="G1633" s="2">
        <f t="shared" si="76"/>
        <v>1.3342769706015166E-2</v>
      </c>
      <c r="M1633">
        <v>23.039664785465899</v>
      </c>
      <c r="N1633">
        <v>23.0404146423095</v>
      </c>
      <c r="O1633" s="1">
        <v>1.6075277285571201E-6</v>
      </c>
      <c r="P1633" s="2">
        <f t="shared" si="77"/>
        <v>0.34978263572497653</v>
      </c>
    </row>
    <row r="1634" spans="2:16" x14ac:dyDescent="0.25">
      <c r="B1634">
        <v>1633</v>
      </c>
      <c r="C1634">
        <v>-0.14975454582765099</v>
      </c>
      <c r="D1634">
        <v>-0.18609130868028001</v>
      </c>
      <c r="E1634">
        <v>8.9705695984184097E-2</v>
      </c>
      <c r="F1634">
        <f t="shared" si="75"/>
        <v>3.6336762852629018E-2</v>
      </c>
      <c r="G1634" s="2">
        <f t="shared" si="76"/>
        <v>1.47188015222689E-2</v>
      </c>
      <c r="M1634">
        <v>9.72624179500359</v>
      </c>
      <c r="N1634">
        <v>9.7264155847305904</v>
      </c>
      <c r="O1634" s="1">
        <v>3.0484516156441501E-7</v>
      </c>
      <c r="P1634" s="2">
        <f t="shared" si="77"/>
        <v>9.9076098357248607E-2</v>
      </c>
    </row>
    <row r="1635" spans="2:16" x14ac:dyDescent="0.25">
      <c r="B1635">
        <v>1634</v>
      </c>
      <c r="C1635">
        <v>-0.15523980627936501</v>
      </c>
      <c r="D1635">
        <v>-0.18184058532004099</v>
      </c>
      <c r="E1635">
        <v>9.6397589814619197E-2</v>
      </c>
      <c r="F1635">
        <f t="shared" si="75"/>
        <v>2.6600779040675981E-2</v>
      </c>
      <c r="G1635" s="2">
        <f t="shared" si="76"/>
        <v>7.3404474835070529E-3</v>
      </c>
      <c r="M1635">
        <v>10.638228467140101</v>
      </c>
      <c r="N1635">
        <v>10.6386497230312</v>
      </c>
      <c r="O1635" s="1">
        <v>3.6287211253277298E-7</v>
      </c>
      <c r="P1635" s="2">
        <f t="shared" si="77"/>
        <v>0.4890332424488289</v>
      </c>
    </row>
    <row r="1636" spans="2:16" x14ac:dyDescent="0.25">
      <c r="B1636">
        <v>1635</v>
      </c>
      <c r="C1636">
        <v>-0.19310856795593201</v>
      </c>
      <c r="D1636">
        <v>-0.17910740537008399</v>
      </c>
      <c r="E1636">
        <v>0.14916367607196299</v>
      </c>
      <c r="F1636">
        <f t="shared" si="75"/>
        <v>-1.400116258584802E-2</v>
      </c>
      <c r="G1636" s="2">
        <f t="shared" si="76"/>
        <v>1.3142110661095256E-3</v>
      </c>
      <c r="M1636">
        <v>1.00076667573781</v>
      </c>
      <c r="N1636">
        <v>1.00082428916489</v>
      </c>
      <c r="O1636" s="1">
        <v>9.6338252538246103E-9</v>
      </c>
      <c r="P1636" s="2">
        <f t="shared" si="77"/>
        <v>0.34454714430117706</v>
      </c>
    </row>
    <row r="1637" spans="2:16" x14ac:dyDescent="0.25">
      <c r="B1637">
        <v>1636</v>
      </c>
      <c r="C1637">
        <v>-0.23039800322487</v>
      </c>
      <c r="D1637">
        <v>-0.18321155305568901</v>
      </c>
      <c r="E1637">
        <v>0.21233295956002801</v>
      </c>
      <c r="F1637">
        <f t="shared" si="75"/>
        <v>-4.7186450169180993E-2</v>
      </c>
      <c r="G1637" s="2">
        <f t="shared" si="76"/>
        <v>1.0486177389427554E-2</v>
      </c>
      <c r="M1637">
        <v>23.044114000844498</v>
      </c>
      <c r="N1637">
        <v>23.0416450338479</v>
      </c>
      <c r="O1637" s="1">
        <v>2.0721622592257798E-6</v>
      </c>
      <c r="P1637" s="2">
        <f t="shared" si="77"/>
        <v>2.9417570960737498</v>
      </c>
    </row>
    <row r="1638" spans="2:16" x14ac:dyDescent="0.25">
      <c r="B1638">
        <v>1637</v>
      </c>
      <c r="C1638">
        <v>-0.222341114994762</v>
      </c>
      <c r="D1638">
        <v>-0.18393926788432999</v>
      </c>
      <c r="E1638">
        <v>0.197742285668456</v>
      </c>
      <c r="F1638">
        <f t="shared" si="75"/>
        <v>-3.8401847110432014E-2</v>
      </c>
      <c r="G1638" s="2">
        <f t="shared" si="76"/>
        <v>7.4576960436552753E-3</v>
      </c>
      <c r="M1638">
        <v>9.7279658594435592</v>
      </c>
      <c r="N1638">
        <v>9.7267456680761608</v>
      </c>
      <c r="O1638" s="1">
        <v>3.4945786416512599E-7</v>
      </c>
      <c r="P1638" s="2">
        <f t="shared" si="77"/>
        <v>4.2605049871477112</v>
      </c>
    </row>
    <row r="1639" spans="2:16" x14ac:dyDescent="0.25">
      <c r="B1639">
        <v>1638</v>
      </c>
      <c r="C1639">
        <v>-0.19549641714736701</v>
      </c>
      <c r="D1639">
        <v>-0.18728928132629899</v>
      </c>
      <c r="E1639">
        <v>0.15287539646982901</v>
      </c>
      <c r="F1639">
        <f t="shared" si="75"/>
        <v>-8.2071358210680234E-3</v>
      </c>
      <c r="G1639" s="2">
        <f t="shared" si="76"/>
        <v>4.4060116893140011E-4</v>
      </c>
      <c r="M1639">
        <v>10.639962309251599</v>
      </c>
      <c r="N1639">
        <v>10.638857360560401</v>
      </c>
      <c r="O1639" s="1">
        <v>4.40264283317799E-7</v>
      </c>
      <c r="P1639" s="2">
        <f t="shared" si="77"/>
        <v>2.7731334483461794</v>
      </c>
    </row>
    <row r="1640" spans="2:16" x14ac:dyDescent="0.25">
      <c r="B1640">
        <v>1639</v>
      </c>
      <c r="C1640">
        <v>-0.190344772662497</v>
      </c>
      <c r="D1640">
        <v>-0.18584721495814199</v>
      </c>
      <c r="E1640">
        <v>0.14492452991974999</v>
      </c>
      <c r="F1640">
        <f t="shared" si="75"/>
        <v>-4.4975577043550041E-3</v>
      </c>
      <c r="G1640" s="2">
        <f t="shared" si="76"/>
        <v>1.395762699054746E-4</v>
      </c>
      <c r="M1640">
        <v>1.0005837301067899</v>
      </c>
      <c r="N1640">
        <v>1.0007750374364901</v>
      </c>
      <c r="O1640" s="1">
        <v>5.7610427865714902E-9</v>
      </c>
      <c r="P1640" s="2">
        <f t="shared" si="77"/>
        <v>6.3527551786845793</v>
      </c>
    </row>
    <row r="1641" spans="2:16" x14ac:dyDescent="0.25">
      <c r="B1641">
        <v>1640</v>
      </c>
      <c r="C1641">
        <v>-0.149648662751313</v>
      </c>
      <c r="D1641">
        <v>-0.18424671035672699</v>
      </c>
      <c r="E1641">
        <v>8.9578889053024899E-2</v>
      </c>
      <c r="F1641">
        <f t="shared" si="75"/>
        <v>3.459804760541399E-2</v>
      </c>
      <c r="G1641" s="2">
        <f t="shared" si="76"/>
        <v>1.3362801333670609E-2</v>
      </c>
      <c r="M1641">
        <v>23.0411636048348</v>
      </c>
      <c r="N1641">
        <v>23.0411476815135</v>
      </c>
      <c r="O1641" s="1">
        <v>1.9415394556547502E-6</v>
      </c>
      <c r="P1641" s="2">
        <f t="shared" si="77"/>
        <v>1.305933600660094E-4</v>
      </c>
    </row>
    <row r="1642" spans="2:16" x14ac:dyDescent="0.25">
      <c r="B1642">
        <v>1641</v>
      </c>
      <c r="C1642">
        <v>-0.19826211957470299</v>
      </c>
      <c r="D1642">
        <v>-0.185828384859972</v>
      </c>
      <c r="E1642">
        <v>0.15723147223301601</v>
      </c>
      <c r="F1642">
        <f t="shared" si="75"/>
        <v>-1.2433734714730998E-2</v>
      </c>
      <c r="G1642" s="2">
        <f t="shared" si="76"/>
        <v>9.8324945229282001E-4</v>
      </c>
      <c r="M1642">
        <v>9.7268327749676509</v>
      </c>
      <c r="N1642">
        <v>9.7266122416298</v>
      </c>
      <c r="O1642" s="1">
        <v>3.3292648904482602E-7</v>
      </c>
      <c r="P1642" s="2">
        <f t="shared" si="77"/>
        <v>0.14608315860713192</v>
      </c>
    </row>
    <row r="1643" spans="2:16" x14ac:dyDescent="0.25">
      <c r="B1643">
        <v>1642</v>
      </c>
      <c r="C1643">
        <v>-0.18494698075889299</v>
      </c>
      <c r="D1643">
        <v>-0.18960945391392101</v>
      </c>
      <c r="E1643">
        <v>0.136821542767322</v>
      </c>
      <c r="F1643">
        <f t="shared" si="75"/>
        <v>4.6624731550280185E-3</v>
      </c>
      <c r="G1643" s="2">
        <f t="shared" si="76"/>
        <v>1.5888328315611505E-4</v>
      </c>
      <c r="M1643">
        <v>10.6386763984491</v>
      </c>
      <c r="N1643">
        <v>10.6387734295804</v>
      </c>
      <c r="O1643" s="1">
        <v>4.7213927504696698E-7</v>
      </c>
      <c r="P1643" s="2">
        <f t="shared" si="77"/>
        <v>1.9941235434198266E-2</v>
      </c>
    </row>
    <row r="1644" spans="2:16" x14ac:dyDescent="0.25">
      <c r="B1644">
        <v>1643</v>
      </c>
      <c r="C1644">
        <v>-0.16994210088698</v>
      </c>
      <c r="D1644">
        <v>-0.19035581758587999</v>
      </c>
      <c r="E1644">
        <v>0.115521270615523</v>
      </c>
      <c r="F1644">
        <f t="shared" si="75"/>
        <v>2.0413716698899992E-2</v>
      </c>
      <c r="G1644" s="2">
        <f t="shared" si="76"/>
        <v>3.6072995669331935E-3</v>
      </c>
      <c r="M1644">
        <v>1.00098747527565</v>
      </c>
      <c r="N1644">
        <v>1.00079494550036</v>
      </c>
      <c r="O1644" s="1">
        <v>7.8233202633717405E-9</v>
      </c>
      <c r="P1644" s="2">
        <f t="shared" si="77"/>
        <v>4.7381051938760788</v>
      </c>
    </row>
    <row r="1645" spans="2:16" x14ac:dyDescent="0.25">
      <c r="B1645">
        <v>1644</v>
      </c>
      <c r="C1645">
        <v>-0.1995107642833</v>
      </c>
      <c r="D1645">
        <v>-0.199848091555105</v>
      </c>
      <c r="E1645">
        <v>0.159218180259626</v>
      </c>
      <c r="F1645">
        <f t="shared" si="75"/>
        <v>3.3732727180499356E-4</v>
      </c>
      <c r="G1645" s="2">
        <f t="shared" si="76"/>
        <v>7.1467773414977536E-7</v>
      </c>
      <c r="M1645">
        <v>23.043502584271401</v>
      </c>
      <c r="N1645">
        <v>23.042703857892299</v>
      </c>
      <c r="O1645" s="1">
        <v>1.9754342792653201E-6</v>
      </c>
      <c r="P1645" s="2">
        <f t="shared" si="77"/>
        <v>0.32294864747973195</v>
      </c>
    </row>
    <row r="1646" spans="2:16" x14ac:dyDescent="0.25">
      <c r="B1646">
        <v>1645</v>
      </c>
      <c r="C1646">
        <v>-0.170226891561961</v>
      </c>
      <c r="D1646">
        <v>-0.194723316605101</v>
      </c>
      <c r="E1646">
        <v>0.11590877844339099</v>
      </c>
      <c r="F1646">
        <f t="shared" si="75"/>
        <v>2.4496425043140008E-2</v>
      </c>
      <c r="G1646" s="2">
        <f t="shared" si="76"/>
        <v>5.1771302221707829E-3</v>
      </c>
      <c r="M1646">
        <v>9.7272602969181197</v>
      </c>
      <c r="N1646">
        <v>9.7270297190013704</v>
      </c>
      <c r="O1646" s="1">
        <v>3.9404862374756501E-7</v>
      </c>
      <c r="P1646" s="2">
        <f t="shared" si="77"/>
        <v>0.13492288131046759</v>
      </c>
    </row>
    <row r="1647" spans="2:16" x14ac:dyDescent="0.25">
      <c r="B1647">
        <v>1646</v>
      </c>
      <c r="C1647">
        <v>-0.18425776266468299</v>
      </c>
      <c r="D1647">
        <v>-0.19277541926687999</v>
      </c>
      <c r="E1647">
        <v>0.13580369240877799</v>
      </c>
      <c r="F1647">
        <f t="shared" si="75"/>
        <v>8.517656602196999E-3</v>
      </c>
      <c r="G1647" s="2">
        <f t="shared" si="76"/>
        <v>5.3423049628553883E-4</v>
      </c>
      <c r="M1647">
        <v>10.639482567773401</v>
      </c>
      <c r="N1647">
        <v>10.639036039193901</v>
      </c>
      <c r="O1647" s="1">
        <v>4.3331480404016102E-7</v>
      </c>
      <c r="P1647" s="2">
        <f t="shared" si="77"/>
        <v>0.4601453041796143</v>
      </c>
    </row>
    <row r="1648" spans="2:16" x14ac:dyDescent="0.25">
      <c r="B1648">
        <v>1647</v>
      </c>
      <c r="C1648">
        <v>-0.189803522321118</v>
      </c>
      <c r="D1648">
        <v>-0.19311829571521499</v>
      </c>
      <c r="E1648">
        <v>0.14410150834201199</v>
      </c>
      <c r="F1648">
        <f t="shared" si="75"/>
        <v>3.3147733940969981E-3</v>
      </c>
      <c r="G1648" s="2">
        <f t="shared" si="76"/>
        <v>7.624987955112141E-5</v>
      </c>
      <c r="M1648">
        <v>1.00067661385208</v>
      </c>
      <c r="N1648">
        <v>1.00073265748267</v>
      </c>
      <c r="O1648" s="1">
        <v>6.4957426880686201E-9</v>
      </c>
      <c r="P1648" s="2">
        <f t="shared" si="77"/>
        <v>0.48353031832482857</v>
      </c>
    </row>
    <row r="1649" spans="2:16" x14ac:dyDescent="0.25">
      <c r="B1649">
        <v>1648</v>
      </c>
      <c r="C1649">
        <v>-0.19143424569788101</v>
      </c>
      <c r="D1649">
        <v>-0.196537648945385</v>
      </c>
      <c r="E1649">
        <v>0.146588281703667</v>
      </c>
      <c r="F1649">
        <f t="shared" si="75"/>
        <v>5.1034032475039959E-3</v>
      </c>
      <c r="G1649" s="2">
        <f t="shared" si="76"/>
        <v>1.7767262433217269E-4</v>
      </c>
      <c r="M1649">
        <v>23.043160695489199</v>
      </c>
      <c r="N1649">
        <v>23.041761801506901</v>
      </c>
      <c r="O1649" s="1">
        <v>4.92619735891242E-6</v>
      </c>
      <c r="P1649" s="2">
        <f t="shared" si="77"/>
        <v>0.39724441209589073</v>
      </c>
    </row>
    <row r="1650" spans="2:16" x14ac:dyDescent="0.25">
      <c r="B1650">
        <v>1649</v>
      </c>
      <c r="C1650">
        <v>-0.19687949837233101</v>
      </c>
      <c r="D1650">
        <v>-0.180704069734791</v>
      </c>
      <c r="E1650">
        <v>0.15504614751736201</v>
      </c>
      <c r="F1650">
        <f t="shared" si="75"/>
        <v>-1.6175428637540012E-2</v>
      </c>
      <c r="G1650" s="2">
        <f t="shared" si="76"/>
        <v>1.6875265577227625E-3</v>
      </c>
      <c r="M1650">
        <v>9.7274917086230808</v>
      </c>
      <c r="N1650">
        <v>9.7267769935913897</v>
      </c>
      <c r="O1650" s="1">
        <v>9.6847777932633203E-7</v>
      </c>
      <c r="P1650" s="2">
        <f t="shared" si="77"/>
        <v>0.52744377561299416</v>
      </c>
    </row>
    <row r="1651" spans="2:16" x14ac:dyDescent="0.25">
      <c r="B1651">
        <v>1650</v>
      </c>
      <c r="C1651">
        <v>-0.207869819547885</v>
      </c>
      <c r="D1651">
        <v>-0.19341534617141101</v>
      </c>
      <c r="E1651">
        <v>0.17283944751548</v>
      </c>
      <c r="F1651">
        <f t="shared" si="75"/>
        <v>-1.4454473376473986E-2</v>
      </c>
      <c r="G1651" s="2">
        <f t="shared" si="76"/>
        <v>1.2088201136634781E-3</v>
      </c>
      <c r="M1651">
        <v>10.6395086180992</v>
      </c>
      <c r="N1651">
        <v>10.638877065587399</v>
      </c>
      <c r="O1651" s="1">
        <v>1.21810009364039E-6</v>
      </c>
      <c r="P1651" s="2">
        <f t="shared" si="77"/>
        <v>0.32744318569834596</v>
      </c>
    </row>
    <row r="1652" spans="2:16" x14ac:dyDescent="0.25">
      <c r="B1652">
        <v>1651</v>
      </c>
      <c r="C1652">
        <v>-0.21020466025817899</v>
      </c>
      <c r="D1652">
        <v>-0.190948544394826</v>
      </c>
      <c r="E1652">
        <v>0.17674399677702601</v>
      </c>
      <c r="F1652">
        <f t="shared" si="75"/>
        <v>-1.9256115863352991E-2</v>
      </c>
      <c r="G1652" s="2">
        <f t="shared" si="76"/>
        <v>2.0979382887366771E-3</v>
      </c>
      <c r="M1652">
        <v>1.00076200618696</v>
      </c>
      <c r="N1652">
        <v>1.0007703635698399</v>
      </c>
      <c r="O1652" s="1">
        <v>9.6792582173354406E-9</v>
      </c>
      <c r="P1652" s="2">
        <f t="shared" si="77"/>
        <v>7.2160331953153257E-3</v>
      </c>
    </row>
    <row r="1653" spans="2:16" x14ac:dyDescent="0.25">
      <c r="B1653">
        <v>1652</v>
      </c>
      <c r="C1653">
        <v>-0.19735240213466501</v>
      </c>
      <c r="D1653">
        <v>-0.186479934393528</v>
      </c>
      <c r="E1653">
        <v>0.15579188251328999</v>
      </c>
      <c r="F1653">
        <f t="shared" si="75"/>
        <v>-1.087246774113701E-2</v>
      </c>
      <c r="G1653" s="2">
        <f t="shared" si="76"/>
        <v>7.5877223431060879E-4</v>
      </c>
      <c r="M1653">
        <v>23.0388635709716</v>
      </c>
      <c r="N1653">
        <v>23.0411354577042</v>
      </c>
      <c r="O1653" s="1">
        <v>2.9893539475998002E-6</v>
      </c>
      <c r="P1653" s="2">
        <f t="shared" si="77"/>
        <v>1.7266169935851254</v>
      </c>
    </row>
    <row r="1654" spans="2:16" x14ac:dyDescent="0.25">
      <c r="B1654">
        <v>1653</v>
      </c>
      <c r="C1654">
        <v>-0.170007195303532</v>
      </c>
      <c r="D1654">
        <v>-0.178599531900653</v>
      </c>
      <c r="E1654">
        <v>0.11560978581989299</v>
      </c>
      <c r="F1654">
        <f t="shared" si="75"/>
        <v>8.5923365971209975E-3</v>
      </c>
      <c r="G1654" s="2">
        <f t="shared" si="76"/>
        <v>6.3859860715632607E-4</v>
      </c>
      <c r="M1654">
        <v>9.7258730228359696</v>
      </c>
      <c r="N1654">
        <v>9.7266089622926</v>
      </c>
      <c r="O1654" s="1">
        <v>5.0495239659009296E-7</v>
      </c>
      <c r="P1654" s="2">
        <f t="shared" si="77"/>
        <v>1.0725899856756962</v>
      </c>
    </row>
    <row r="1655" spans="2:16" x14ac:dyDescent="0.25">
      <c r="B1655">
        <v>1654</v>
      </c>
      <c r="C1655">
        <v>-0.192044290181417</v>
      </c>
      <c r="D1655">
        <v>-0.17169759961134601</v>
      </c>
      <c r="E1655">
        <v>0.14752403756513699</v>
      </c>
      <c r="F1655">
        <f t="shared" si="75"/>
        <v>-2.0346690570070991E-2</v>
      </c>
      <c r="G1655" s="2">
        <f t="shared" si="76"/>
        <v>2.8062397422618387E-3</v>
      </c>
      <c r="M1655">
        <v>10.637228294913299</v>
      </c>
      <c r="N1655">
        <v>10.638771366729999</v>
      </c>
      <c r="O1655" s="1">
        <v>6.4219615130325895E-7</v>
      </c>
      <c r="P1655" s="2">
        <f t="shared" si="77"/>
        <v>3.7076999397485051</v>
      </c>
    </row>
    <row r="1656" spans="2:16" x14ac:dyDescent="0.25">
      <c r="B1656">
        <v>1655</v>
      </c>
      <c r="C1656">
        <v>-0.186682127892699</v>
      </c>
      <c r="D1656">
        <v>-0.174877283309854</v>
      </c>
      <c r="E1656">
        <v>0.13940086749818401</v>
      </c>
      <c r="F1656">
        <f t="shared" si="75"/>
        <v>-1.1804844582845003E-2</v>
      </c>
      <c r="G1656" s="2">
        <f t="shared" si="76"/>
        <v>9.996663444504061E-4</v>
      </c>
      <c r="M1656">
        <v>1.00104166727634</v>
      </c>
      <c r="N1656">
        <v>1.0007954348065</v>
      </c>
      <c r="O1656" s="1">
        <v>1.13915619037683E-8</v>
      </c>
      <c r="P1656" s="2">
        <f t="shared" si="77"/>
        <v>5.3223982554540283</v>
      </c>
    </row>
    <row r="1657" spans="2:16" x14ac:dyDescent="0.25">
      <c r="B1657">
        <v>1656</v>
      </c>
      <c r="C1657">
        <v>-0.186239480486216</v>
      </c>
      <c r="D1657">
        <v>-0.16180385934491701</v>
      </c>
      <c r="E1657">
        <v>0.13874057636710299</v>
      </c>
      <c r="F1657">
        <f t="shared" si="75"/>
        <v>-2.4435621141298991E-2</v>
      </c>
      <c r="G1657" s="2">
        <f t="shared" si="76"/>
        <v>4.3037127003220203E-3</v>
      </c>
      <c r="M1657">
        <v>23.047265831424902</v>
      </c>
      <c r="N1657">
        <v>23.044068862337401</v>
      </c>
      <c r="O1657" s="1">
        <v>3.63456708327099E-6</v>
      </c>
      <c r="P1657" s="2">
        <f t="shared" si="77"/>
        <v>2.8120574231465434</v>
      </c>
    </row>
    <row r="1658" spans="2:16" x14ac:dyDescent="0.25">
      <c r="B1658">
        <v>1657</v>
      </c>
      <c r="C1658">
        <v>-0.181993292146651</v>
      </c>
      <c r="D1658">
        <v>-0.17782302393289601</v>
      </c>
      <c r="E1658">
        <v>0.13248623354550601</v>
      </c>
      <c r="F1658">
        <f t="shared" si="75"/>
        <v>-4.1702682137549907E-3</v>
      </c>
      <c r="G1658" s="2">
        <f t="shared" si="76"/>
        <v>1.312675023604002E-4</v>
      </c>
      <c r="M1658">
        <v>9.7291001720472803</v>
      </c>
      <c r="N1658">
        <v>9.7273959019803495</v>
      </c>
      <c r="O1658" s="1">
        <v>6.1229523617234804E-7</v>
      </c>
      <c r="P1658" s="2">
        <f t="shared" si="77"/>
        <v>4.7436861981702005</v>
      </c>
    </row>
    <row r="1659" spans="2:16" x14ac:dyDescent="0.25">
      <c r="B1659">
        <v>1658</v>
      </c>
      <c r="C1659">
        <v>-0.18007673245263001</v>
      </c>
      <c r="D1659">
        <v>-0.187916361755749</v>
      </c>
      <c r="E1659">
        <v>0.12971051828326399</v>
      </c>
      <c r="F1659">
        <f t="shared" si="75"/>
        <v>7.839629303118989E-3</v>
      </c>
      <c r="G1659" s="2">
        <f t="shared" si="76"/>
        <v>4.7382269706227692E-4</v>
      </c>
      <c r="M1659">
        <v>10.6407982452869</v>
      </c>
      <c r="N1659">
        <v>10.6392663786835</v>
      </c>
      <c r="O1659" s="1">
        <v>6.9086271075192498E-7</v>
      </c>
      <c r="P1659" s="2">
        <f t="shared" si="77"/>
        <v>3.3966448819620023</v>
      </c>
    </row>
    <row r="1660" spans="2:16" x14ac:dyDescent="0.25">
      <c r="B1660">
        <v>1659</v>
      </c>
      <c r="C1660">
        <v>-0.144072441750008</v>
      </c>
      <c r="D1660">
        <v>-0.18991780744794501</v>
      </c>
      <c r="E1660">
        <v>8.3027473887237302E-2</v>
      </c>
      <c r="F1660">
        <f t="shared" si="75"/>
        <v>4.5845365697937013E-2</v>
      </c>
      <c r="G1660" s="2">
        <f t="shared" si="76"/>
        <v>2.5314482755817783E-2</v>
      </c>
      <c r="M1660">
        <v>1.00060211248941</v>
      </c>
      <c r="N1660">
        <v>1.0006780280288601</v>
      </c>
      <c r="O1660" s="1">
        <v>9.1086382317528295E-9</v>
      </c>
      <c r="P1660" s="2">
        <f t="shared" si="77"/>
        <v>0.63271468065399927</v>
      </c>
    </row>
    <row r="1661" spans="2:16" x14ac:dyDescent="0.25">
      <c r="B1661">
        <v>1660</v>
      </c>
      <c r="C1661">
        <v>-0.114735394994778</v>
      </c>
      <c r="D1661">
        <v>-0.156737595165923</v>
      </c>
      <c r="E1661">
        <v>5.2656843458430698E-2</v>
      </c>
      <c r="F1661">
        <f t="shared" si="75"/>
        <v>4.2002200171145004E-2</v>
      </c>
      <c r="G1661" s="2">
        <f t="shared" si="76"/>
        <v>3.3503429057794694E-2</v>
      </c>
      <c r="M1661">
        <v>23.0425140390292</v>
      </c>
      <c r="N1661">
        <v>23.0439946787758</v>
      </c>
      <c r="O1661" s="1">
        <v>4.0551596215237998E-6</v>
      </c>
      <c r="P1661" s="2">
        <f t="shared" si="77"/>
        <v>0.54061843769957352</v>
      </c>
    </row>
    <row r="1662" spans="2:16" x14ac:dyDescent="0.25">
      <c r="B1662">
        <v>1661</v>
      </c>
      <c r="C1662">
        <v>-0.280837695674022</v>
      </c>
      <c r="D1662">
        <v>-0.17563925216753201</v>
      </c>
      <c r="E1662">
        <v>0.31547924524597898</v>
      </c>
      <c r="F1662">
        <f t="shared" si="75"/>
        <v>-0.10519844350648999</v>
      </c>
      <c r="G1662" s="2">
        <f t="shared" si="76"/>
        <v>3.5079050945362372E-2</v>
      </c>
      <c r="M1662">
        <v>9.7271602582651102</v>
      </c>
      <c r="N1662">
        <v>9.7273760013270092</v>
      </c>
      <c r="O1662" s="1">
        <v>7.5142430671975004E-7</v>
      </c>
      <c r="P1662" s="2">
        <f t="shared" si="77"/>
        <v>6.1942458264003075E-2</v>
      </c>
    </row>
    <row r="1663" spans="2:16" x14ac:dyDescent="0.25">
      <c r="B1663">
        <v>1662</v>
      </c>
      <c r="C1663">
        <v>-0.21917487374585001</v>
      </c>
      <c r="D1663">
        <v>-0.18790599011554901</v>
      </c>
      <c r="E1663">
        <v>0.19215050112603799</v>
      </c>
      <c r="F1663">
        <f t="shared" si="75"/>
        <v>-3.1268883630301003E-2</v>
      </c>
      <c r="G1663" s="2">
        <f t="shared" si="76"/>
        <v>5.0884232815191638E-3</v>
      </c>
      <c r="M1663">
        <v>10.6384888804527</v>
      </c>
      <c r="N1663">
        <v>10.639253860702301</v>
      </c>
      <c r="O1663" s="1">
        <v>7.0209336876933302E-7</v>
      </c>
      <c r="P1663" s="2">
        <f t="shared" si="77"/>
        <v>0.83349994218728973</v>
      </c>
    </row>
    <row r="1664" spans="2:16" x14ac:dyDescent="0.25">
      <c r="B1664">
        <v>1663</v>
      </c>
      <c r="C1664">
        <v>-0.167056323851656</v>
      </c>
      <c r="D1664">
        <v>-0.182771858412341</v>
      </c>
      <c r="E1664">
        <v>0.11163126135531801</v>
      </c>
      <c r="F1664">
        <f t="shared" si="75"/>
        <v>1.5715534560685002E-2</v>
      </c>
      <c r="G1664" s="2">
        <f t="shared" si="76"/>
        <v>2.2124450044684451E-3</v>
      </c>
      <c r="M1664">
        <v>1.00079840731887</v>
      </c>
      <c r="N1664">
        <v>1.00068099680259</v>
      </c>
      <c r="O1664" s="1">
        <v>2.2030728333071999E-8</v>
      </c>
      <c r="P1664" s="2">
        <f t="shared" si="77"/>
        <v>0.62572735339134666</v>
      </c>
    </row>
    <row r="1665" spans="2:16" x14ac:dyDescent="0.25">
      <c r="B1665">
        <v>1664</v>
      </c>
      <c r="C1665">
        <v>-0.179646557525726</v>
      </c>
      <c r="D1665">
        <v>-0.16414056131851401</v>
      </c>
      <c r="E1665">
        <v>0.12909154252337701</v>
      </c>
      <c r="F1665">
        <f t="shared" si="75"/>
        <v>-1.5505996207211992E-2</v>
      </c>
      <c r="G1665" s="2">
        <f t="shared" si="76"/>
        <v>1.8625226229249871E-3</v>
      </c>
      <c r="M1665">
        <v>23.0426542424281</v>
      </c>
      <c r="N1665">
        <v>23.0430466340284</v>
      </c>
      <c r="O1665" s="1">
        <v>3.7785188936667701E-6</v>
      </c>
      <c r="P1665" s="2">
        <f t="shared" si="77"/>
        <v>4.0749079816525029E-2</v>
      </c>
    </row>
    <row r="1666" spans="2:16" x14ac:dyDescent="0.25">
      <c r="B1666">
        <v>1665</v>
      </c>
      <c r="C1666">
        <v>-0.217900377465577</v>
      </c>
      <c r="D1666">
        <v>-0.17351714829673101</v>
      </c>
      <c r="E1666">
        <v>0.189922297998563</v>
      </c>
      <c r="F1666">
        <f t="shared" si="75"/>
        <v>-4.4383229168845989E-2</v>
      </c>
      <c r="G1666" s="2">
        <f t="shared" si="76"/>
        <v>1.0371983975621474E-2</v>
      </c>
      <c r="M1666">
        <v>9.7274944286045404</v>
      </c>
      <c r="N1666">
        <v>9.7271216746003795</v>
      </c>
      <c r="O1666" s="1">
        <v>7.3117429595799396E-7</v>
      </c>
      <c r="P1666" s="2">
        <f t="shared" si="77"/>
        <v>0.1900306785756935</v>
      </c>
    </row>
    <row r="1667" spans="2:16" x14ac:dyDescent="0.25">
      <c r="B1667">
        <v>1666</v>
      </c>
      <c r="C1667">
        <v>-0.19364085068044201</v>
      </c>
      <c r="D1667">
        <v>-0.186797800176872</v>
      </c>
      <c r="E1667">
        <v>0.149987116208981</v>
      </c>
      <c r="F1667">
        <f t="shared" ref="F1667:F1730" si="78">C1667-D1667</f>
        <v>-6.8430505035700084E-3</v>
      </c>
      <c r="G1667" s="2">
        <f t="shared" ref="G1667:G1730" si="79">F1667^2/E1667</f>
        <v>3.1220908420669932E-4</v>
      </c>
      <c r="M1667">
        <v>10.638573831528999</v>
      </c>
      <c r="N1667">
        <v>10.639093882222699</v>
      </c>
      <c r="O1667" s="1">
        <v>7.9218513068806198E-7</v>
      </c>
      <c r="P1667" s="2">
        <f t="shared" ref="P1667:P1730" si="80">(M1667-N1667)^2/O1667</f>
        <v>0.34140090938426848</v>
      </c>
    </row>
    <row r="1668" spans="2:16" x14ac:dyDescent="0.25">
      <c r="B1668">
        <v>1667</v>
      </c>
      <c r="C1668">
        <v>-0.17749089489568201</v>
      </c>
      <c r="D1668">
        <v>-0.19094416197303901</v>
      </c>
      <c r="E1668">
        <v>0.126012071083479</v>
      </c>
      <c r="F1668">
        <f t="shared" si="78"/>
        <v>1.3453267077357001E-2</v>
      </c>
      <c r="G1668" s="2">
        <f t="shared" si="79"/>
        <v>1.4362941065764832E-3</v>
      </c>
      <c r="M1668">
        <v>1.0008627750382799</v>
      </c>
      <c r="N1668">
        <v>1.00071893850081</v>
      </c>
      <c r="O1668" s="1">
        <v>1.79487481217698E-8</v>
      </c>
      <c r="P1668" s="2">
        <f t="shared" si="80"/>
        <v>1.1526681064879114</v>
      </c>
    </row>
    <row r="1669" spans="2:16" x14ac:dyDescent="0.25">
      <c r="B1669">
        <v>1668</v>
      </c>
      <c r="C1669">
        <v>-0.18323495263916101</v>
      </c>
      <c r="D1669">
        <v>-0.18388787348660801</v>
      </c>
      <c r="E1669">
        <v>0.13430019147470301</v>
      </c>
      <c r="F1669">
        <f t="shared" si="78"/>
        <v>6.5292084744700274E-4</v>
      </c>
      <c r="G1669" s="2">
        <f t="shared" si="79"/>
        <v>3.1742742013231737E-6</v>
      </c>
      <c r="M1669">
        <v>6.05698834349091</v>
      </c>
      <c r="N1669">
        <v>6.0569362439182903</v>
      </c>
      <c r="O1669" s="1">
        <v>2.50770599894834E-8</v>
      </c>
      <c r="P1669" s="2">
        <f t="shared" si="80"/>
        <v>0.10824097674480575</v>
      </c>
    </row>
    <row r="1670" spans="2:16" x14ac:dyDescent="0.25">
      <c r="B1670">
        <v>1669</v>
      </c>
      <c r="C1670">
        <v>-0.17886364883567099</v>
      </c>
      <c r="D1670">
        <v>-0.16975300609083099</v>
      </c>
      <c r="E1670">
        <v>0.12796881949924099</v>
      </c>
      <c r="F1670">
        <f t="shared" si="78"/>
        <v>-9.1106427448399974E-3</v>
      </c>
      <c r="G1670" s="2">
        <f t="shared" si="79"/>
        <v>6.4862527878986945E-4</v>
      </c>
      <c r="M1670">
        <v>0.95321147697542796</v>
      </c>
      <c r="N1670">
        <v>0.95320232211504996</v>
      </c>
      <c r="O1670" s="1">
        <v>6.80455713477782E-10</v>
      </c>
      <c r="P1670" s="2">
        <f t="shared" si="80"/>
        <v>0.12316961542193397</v>
      </c>
    </row>
    <row r="1671" spans="2:16" x14ac:dyDescent="0.25">
      <c r="B1671">
        <v>1670</v>
      </c>
      <c r="C1671">
        <v>-0.26978123028009099</v>
      </c>
      <c r="D1671">
        <v>-0.23923675502588401</v>
      </c>
      <c r="E1671">
        <v>0.29112764884575698</v>
      </c>
      <c r="F1671">
        <f t="shared" si="78"/>
        <v>-3.0544475254206976E-2</v>
      </c>
      <c r="G1671" s="2">
        <f t="shared" si="79"/>
        <v>3.2046594414986626E-3</v>
      </c>
      <c r="M1671">
        <v>6.0571135179381601</v>
      </c>
      <c r="N1671">
        <v>6.0569816914033696</v>
      </c>
      <c r="O1671" s="1">
        <v>4.17571530535436E-8</v>
      </c>
      <c r="P1671" s="2">
        <f t="shared" si="80"/>
        <v>0.41617385295844161</v>
      </c>
    </row>
    <row r="1672" spans="2:16" x14ac:dyDescent="0.25">
      <c r="B1672">
        <v>1671</v>
      </c>
      <c r="C1672">
        <v>-0.257686755327589</v>
      </c>
      <c r="D1672">
        <v>-0.17781848264415101</v>
      </c>
      <c r="E1672">
        <v>0.26560985548504201</v>
      </c>
      <c r="F1672">
        <f t="shared" si="78"/>
        <v>-7.9868272683437991E-2</v>
      </c>
      <c r="G1672" s="2">
        <f t="shared" si="79"/>
        <v>2.4016205911437803E-2</v>
      </c>
      <c r="M1672">
        <v>0.95322249946290405</v>
      </c>
      <c r="N1672">
        <v>0.95319750364298905</v>
      </c>
      <c r="O1672" s="1">
        <v>1.25458357509286E-9</v>
      </c>
      <c r="P1672" s="2">
        <f t="shared" si="80"/>
        <v>0.49800668973106077</v>
      </c>
    </row>
    <row r="1673" spans="2:16" x14ac:dyDescent="0.25">
      <c r="B1673">
        <v>1672</v>
      </c>
      <c r="C1673">
        <v>-0.27182243169225001</v>
      </c>
      <c r="D1673">
        <v>-0.191144854207524</v>
      </c>
      <c r="E1673">
        <v>0.29554973748435198</v>
      </c>
      <c r="F1673">
        <f t="shared" si="78"/>
        <v>-8.067757748472601E-2</v>
      </c>
      <c r="G1673" s="2">
        <f t="shared" si="79"/>
        <v>2.2022931112055492E-2</v>
      </c>
      <c r="M1673">
        <v>6.0570061839117599</v>
      </c>
      <c r="N1673">
        <v>6.05707044333416</v>
      </c>
      <c r="O1673" s="1">
        <v>2.91700134463657E-8</v>
      </c>
      <c r="P1673" s="2">
        <f t="shared" si="80"/>
        <v>0.14155884346035932</v>
      </c>
    </row>
    <row r="1674" spans="2:16" x14ac:dyDescent="0.25">
      <c r="B1674">
        <v>1673</v>
      </c>
      <c r="C1674">
        <v>-0.255527613798464</v>
      </c>
      <c r="D1674">
        <v>-0.19174240621906</v>
      </c>
      <c r="E1674">
        <v>0.26117744565414802</v>
      </c>
      <c r="F1674">
        <f t="shared" si="78"/>
        <v>-6.3785207579404007E-2</v>
      </c>
      <c r="G1674" s="2">
        <f t="shared" si="79"/>
        <v>1.5577733734846494E-2</v>
      </c>
      <c r="M1674">
        <v>0.953172961332589</v>
      </c>
      <c r="N1674">
        <v>0.95318809408448602</v>
      </c>
      <c r="O1674" s="1">
        <v>1.3064770554141499E-9</v>
      </c>
      <c r="P1674" s="2">
        <f t="shared" si="80"/>
        <v>0.17528067487117599</v>
      </c>
    </row>
    <row r="1675" spans="2:16" x14ac:dyDescent="0.25">
      <c r="B1675">
        <v>1674</v>
      </c>
      <c r="C1675">
        <v>-0.2416600451224</v>
      </c>
      <c r="D1675">
        <v>-0.180204477947673</v>
      </c>
      <c r="E1675">
        <v>0.233598309634242</v>
      </c>
      <c r="F1675">
        <f t="shared" si="78"/>
        <v>-6.1455567174726999E-2</v>
      </c>
      <c r="G1675" s="2">
        <f t="shared" si="79"/>
        <v>1.6167868434839746E-2</v>
      </c>
      <c r="M1675">
        <v>6.0568691593001303</v>
      </c>
      <c r="N1675">
        <v>6.0568904279421902</v>
      </c>
      <c r="O1675" s="1">
        <v>3.19772181039428E-8</v>
      </c>
      <c r="P1675" s="2">
        <f t="shared" si="80"/>
        <v>1.4146169113433674E-2</v>
      </c>
    </row>
    <row r="1676" spans="2:16" x14ac:dyDescent="0.25">
      <c r="B1676">
        <v>1675</v>
      </c>
      <c r="C1676">
        <v>-0.25067964079015098</v>
      </c>
      <c r="D1676">
        <v>-0.168861755747158</v>
      </c>
      <c r="E1676">
        <v>0.25136112922671699</v>
      </c>
      <c r="F1676">
        <f t="shared" si="78"/>
        <v>-8.1817885042992977E-2</v>
      </c>
      <c r="G1676" s="2">
        <f t="shared" si="79"/>
        <v>2.6631668681240537E-2</v>
      </c>
      <c r="M1676">
        <v>0.95320282014472302</v>
      </c>
      <c r="N1676">
        <v>0.953207179716831</v>
      </c>
      <c r="O1676" s="1">
        <v>1.0527887515711899E-9</v>
      </c>
      <c r="P1676" s="2">
        <f t="shared" si="80"/>
        <v>1.805287996886858E-2</v>
      </c>
    </row>
    <row r="1677" spans="2:16" x14ac:dyDescent="0.25">
      <c r="B1677">
        <v>1676</v>
      </c>
      <c r="C1677">
        <v>-0.239468053467042</v>
      </c>
      <c r="D1677">
        <v>-0.18537499592429599</v>
      </c>
      <c r="E1677">
        <v>0.22937979452517601</v>
      </c>
      <c r="F1677">
        <f t="shared" si="78"/>
        <v>-5.4093057542746015E-2</v>
      </c>
      <c r="G1677" s="2">
        <f t="shared" si="79"/>
        <v>1.2756393301249018E-2</v>
      </c>
      <c r="M1677">
        <v>6.05730009516531</v>
      </c>
      <c r="N1677">
        <v>6.0571441469477003</v>
      </c>
      <c r="O1677" s="1">
        <v>3.0624094605286502E-8</v>
      </c>
      <c r="P1677" s="2">
        <f t="shared" si="80"/>
        <v>0.79414091711415247</v>
      </c>
    </row>
    <row r="1678" spans="2:16" x14ac:dyDescent="0.25">
      <c r="B1678">
        <v>1677</v>
      </c>
      <c r="C1678">
        <v>-0.26258519048006201</v>
      </c>
      <c r="D1678">
        <v>-0.206742470242784</v>
      </c>
      <c r="E1678">
        <v>0.27580392903780299</v>
      </c>
      <c r="F1678">
        <f t="shared" si="78"/>
        <v>-5.5842720237278015E-2</v>
      </c>
      <c r="G1678" s="2">
        <f t="shared" si="79"/>
        <v>1.1306617039061382E-2</v>
      </c>
      <c r="M1678">
        <v>0.95322342334381704</v>
      </c>
      <c r="N1678">
        <v>0.95318028013732703</v>
      </c>
      <c r="O1678" s="1">
        <v>1.9602227851904699E-9</v>
      </c>
      <c r="P1678" s="2">
        <f t="shared" si="80"/>
        <v>0.94955342846869961</v>
      </c>
    </row>
    <row r="1679" spans="2:16" x14ac:dyDescent="0.25">
      <c r="B1679">
        <v>1678</v>
      </c>
      <c r="C1679">
        <v>-0.257081951856441</v>
      </c>
      <c r="D1679">
        <v>-0.20007480865358099</v>
      </c>
      <c r="E1679">
        <v>0.26436451988127002</v>
      </c>
      <c r="F1679">
        <f t="shared" si="78"/>
        <v>-5.7007143202860017E-2</v>
      </c>
      <c r="G1679" s="2">
        <f t="shared" si="79"/>
        <v>1.2292929390112289E-2</v>
      </c>
      <c r="M1679">
        <v>6.0567621072096598</v>
      </c>
      <c r="N1679">
        <v>6.0569289369687196</v>
      </c>
      <c r="O1679" s="1">
        <v>2.6526702717861099E-8</v>
      </c>
      <c r="P1679" s="2">
        <f t="shared" si="80"/>
        <v>1.0492132702647952</v>
      </c>
    </row>
    <row r="1680" spans="2:16" x14ac:dyDescent="0.25">
      <c r="B1680">
        <v>1679</v>
      </c>
      <c r="C1680">
        <v>-0.244405972115708</v>
      </c>
      <c r="D1680">
        <v>-0.200691446097051</v>
      </c>
      <c r="E1680">
        <v>0.23893711682329699</v>
      </c>
      <c r="F1680">
        <f t="shared" si="78"/>
        <v>-4.3714526018656996E-2</v>
      </c>
      <c r="G1680" s="2">
        <f t="shared" si="79"/>
        <v>7.9977519208498122E-3</v>
      </c>
      <c r="M1680">
        <v>0.95316360999590799</v>
      </c>
      <c r="N1680">
        <v>0.95320309682434201</v>
      </c>
      <c r="O1680" s="1">
        <v>1.22856740057659E-9</v>
      </c>
      <c r="P1680" s="2">
        <f t="shared" si="80"/>
        <v>1.2691282700859947</v>
      </c>
    </row>
    <row r="1681" spans="2:16" x14ac:dyDescent="0.25">
      <c r="B1681">
        <v>1680</v>
      </c>
      <c r="C1681">
        <v>-0.186049394428461</v>
      </c>
      <c r="D1681">
        <v>-0.23477834767400901</v>
      </c>
      <c r="E1681">
        <v>0.138457508668788</v>
      </c>
      <c r="F1681">
        <f t="shared" si="78"/>
        <v>4.8728953245548018E-2</v>
      </c>
      <c r="G1681" s="2">
        <f t="shared" si="79"/>
        <v>1.7149744403440088E-2</v>
      </c>
      <c r="M1681">
        <v>6.0571338969112896</v>
      </c>
      <c r="N1681">
        <v>6.0568627937350401</v>
      </c>
      <c r="O1681" s="1">
        <v>3.1734256068851801E-8</v>
      </c>
      <c r="P1681" s="2">
        <f t="shared" si="80"/>
        <v>2.3160124508065048</v>
      </c>
    </row>
    <row r="1682" spans="2:16" x14ac:dyDescent="0.25">
      <c r="B1682">
        <v>1681</v>
      </c>
      <c r="C1682">
        <v>-0.22536924717977899</v>
      </c>
      <c r="D1682">
        <v>-0.23737311668920899</v>
      </c>
      <c r="E1682">
        <v>0.20316519029752</v>
      </c>
      <c r="F1682">
        <f t="shared" si="78"/>
        <v>1.2003869509429999E-2</v>
      </c>
      <c r="G1682" s="2">
        <f t="shared" si="79"/>
        <v>7.0924001788106564E-4</v>
      </c>
      <c r="M1682">
        <v>0.95325622281309796</v>
      </c>
      <c r="N1682">
        <v>0.95321010964100805</v>
      </c>
      <c r="O1682" s="1">
        <v>8.5283200117631396E-10</v>
      </c>
      <c r="P1682" s="2">
        <f t="shared" si="80"/>
        <v>2.4933687259165582</v>
      </c>
    </row>
    <row r="1683" spans="2:16" x14ac:dyDescent="0.25">
      <c r="B1683">
        <v>1682</v>
      </c>
      <c r="C1683">
        <v>-0.23947200567176899</v>
      </c>
      <c r="D1683">
        <v>-0.228234150464421</v>
      </c>
      <c r="E1683">
        <v>0.22938736600184001</v>
      </c>
      <c r="F1683">
        <f t="shared" si="78"/>
        <v>-1.1237855207347991E-2</v>
      </c>
      <c r="G1683" s="2">
        <f t="shared" si="79"/>
        <v>5.5055076424873951E-4</v>
      </c>
      <c r="M1683">
        <v>6.05701692735623</v>
      </c>
      <c r="N1683">
        <v>6.0571507610939497</v>
      </c>
      <c r="O1683" s="1">
        <v>2.89155198934854E-8</v>
      </c>
      <c r="P1683" s="2">
        <f t="shared" si="80"/>
        <v>0.61944137328336224</v>
      </c>
    </row>
    <row r="1684" spans="2:16" x14ac:dyDescent="0.25">
      <c r="B1684">
        <v>1683</v>
      </c>
      <c r="C1684">
        <v>-0.225451184585548</v>
      </c>
      <c r="D1684">
        <v>-0.229112854748727</v>
      </c>
      <c r="E1684">
        <v>0.203312946524107</v>
      </c>
      <c r="F1684">
        <f t="shared" si="78"/>
        <v>3.6616701631790038E-3</v>
      </c>
      <c r="G1684" s="2">
        <f t="shared" si="79"/>
        <v>6.5946751611932274E-5</v>
      </c>
      <c r="M1684">
        <v>0.95315212569802898</v>
      </c>
      <c r="N1684">
        <v>0.95317957892318905</v>
      </c>
      <c r="O1684" s="1">
        <v>9.828172454261601E-10</v>
      </c>
      <c r="P1684" s="2">
        <f t="shared" si="80"/>
        <v>0.7668562748536023</v>
      </c>
    </row>
    <row r="1685" spans="2:16" x14ac:dyDescent="0.25">
      <c r="B1685">
        <v>1684</v>
      </c>
      <c r="C1685">
        <v>-0.25070700679487301</v>
      </c>
      <c r="D1685">
        <v>-0.23903379586121201</v>
      </c>
      <c r="E1685">
        <v>0.25141601302417699</v>
      </c>
      <c r="F1685">
        <f t="shared" si="78"/>
        <v>-1.1673210933660999E-2</v>
      </c>
      <c r="G1685" s="2">
        <f t="shared" si="79"/>
        <v>5.4198557944930541E-4</v>
      </c>
      <c r="M1685">
        <v>6.0570151231571501</v>
      </c>
      <c r="N1685">
        <v>6.0569817130440899</v>
      </c>
      <c r="O1685" s="1">
        <v>2.7160265459062299E-8</v>
      </c>
      <c r="P1685" s="2">
        <f t="shared" si="80"/>
        <v>4.1098112843301129E-2</v>
      </c>
    </row>
    <row r="1686" spans="2:16" x14ac:dyDescent="0.25">
      <c r="B1686">
        <v>1685</v>
      </c>
      <c r="C1686">
        <v>-0.216712826884673</v>
      </c>
      <c r="D1686">
        <v>-0.20156310414761999</v>
      </c>
      <c r="E1686">
        <v>0.18785779734538499</v>
      </c>
      <c r="F1686">
        <f t="shared" si="78"/>
        <v>-1.5149722737053006E-2</v>
      </c>
      <c r="G1686" s="2">
        <f t="shared" si="79"/>
        <v>1.2217437990482175E-3</v>
      </c>
      <c r="M1686">
        <v>0.95320400958598095</v>
      </c>
      <c r="N1686">
        <v>0.95319750134859305</v>
      </c>
      <c r="O1686" s="1">
        <v>8.6945118628889002E-10</v>
      </c>
      <c r="P1686" s="2">
        <f t="shared" si="80"/>
        <v>4.8717115538247584E-2</v>
      </c>
    </row>
    <row r="1687" spans="2:16" x14ac:dyDescent="0.25">
      <c r="B1687">
        <v>1686</v>
      </c>
      <c r="C1687">
        <v>-0.19329891310914599</v>
      </c>
      <c r="D1687">
        <v>-0.198308225639827</v>
      </c>
      <c r="E1687">
        <v>0.149457879236708</v>
      </c>
      <c r="F1687">
        <f t="shared" si="78"/>
        <v>5.0093125306810149E-3</v>
      </c>
      <c r="G1687" s="2">
        <f t="shared" si="79"/>
        <v>1.6789487552071959E-4</v>
      </c>
      <c r="M1687">
        <v>6.0571653857622696</v>
      </c>
      <c r="N1687">
        <v>6.0569418247927</v>
      </c>
      <c r="O1687" s="1">
        <v>2.7000092964650198E-8</v>
      </c>
      <c r="P1687" s="2">
        <f t="shared" si="80"/>
        <v>1.8510864825655078</v>
      </c>
    </row>
    <row r="1688" spans="2:16" x14ac:dyDescent="0.25">
      <c r="B1688">
        <v>1687</v>
      </c>
      <c r="C1688">
        <v>-0.19046499407034401</v>
      </c>
      <c r="D1688">
        <v>-0.198740355142414</v>
      </c>
      <c r="E1688">
        <v>0.14510765586486499</v>
      </c>
      <c r="F1688">
        <f t="shared" si="78"/>
        <v>8.2753610720699977E-3</v>
      </c>
      <c r="G1688" s="2">
        <f t="shared" si="79"/>
        <v>4.7193651130927682E-4</v>
      </c>
      <c r="M1688">
        <v>0.95324618795362503</v>
      </c>
      <c r="N1688">
        <v>0.95320173041155998</v>
      </c>
      <c r="O1688" s="1">
        <v>9.1368526392041502E-10</v>
      </c>
      <c r="P1688" s="2">
        <f t="shared" si="80"/>
        <v>2.1631880522902827</v>
      </c>
    </row>
    <row r="1689" spans="2:16" x14ac:dyDescent="0.25">
      <c r="B1689">
        <v>1688</v>
      </c>
      <c r="C1689">
        <v>-0.22977016381864501</v>
      </c>
      <c r="D1689">
        <v>-0.20175553775528501</v>
      </c>
      <c r="E1689">
        <v>0.21117731272498799</v>
      </c>
      <c r="F1689">
        <f t="shared" si="78"/>
        <v>-2.8014626063359999E-2</v>
      </c>
      <c r="G1689" s="2">
        <f t="shared" si="79"/>
        <v>3.7163995665194577E-3</v>
      </c>
      <c r="M1689">
        <v>6.0571096999604599</v>
      </c>
      <c r="N1689">
        <v>6.0570121740394596</v>
      </c>
      <c r="O1689" s="1">
        <v>3.0157544144088898E-8</v>
      </c>
      <c r="P1689" s="2">
        <f t="shared" si="80"/>
        <v>0.31538726169202019</v>
      </c>
    </row>
    <row r="1690" spans="2:16" x14ac:dyDescent="0.25">
      <c r="B1690">
        <v>1689</v>
      </c>
      <c r="C1690">
        <v>-0.20581093672127501</v>
      </c>
      <c r="D1690">
        <v>-0.19771163869582301</v>
      </c>
      <c r="E1690">
        <v>0.16943256669635501</v>
      </c>
      <c r="F1690">
        <f t="shared" si="78"/>
        <v>-8.0992980254520064E-3</v>
      </c>
      <c r="G1690" s="2">
        <f t="shared" si="79"/>
        <v>3.8716658659047502E-4</v>
      </c>
      <c r="M1690">
        <v>0.95321696106061304</v>
      </c>
      <c r="N1690">
        <v>0.95319427182082805</v>
      </c>
      <c r="O1690" s="1">
        <v>1.40821602612672E-9</v>
      </c>
      <c r="P1690" s="2">
        <f t="shared" si="80"/>
        <v>0.36557004924643571</v>
      </c>
    </row>
    <row r="1691" spans="2:16" x14ac:dyDescent="0.25">
      <c r="B1691">
        <v>1690</v>
      </c>
      <c r="C1691">
        <v>-0.23038465403445199</v>
      </c>
      <c r="D1691">
        <v>-0.20198584403714701</v>
      </c>
      <c r="E1691">
        <v>0.212308355258297</v>
      </c>
      <c r="F1691">
        <f t="shared" si="78"/>
        <v>-2.8398809997304986E-2</v>
      </c>
      <c r="G1691" s="2">
        <f t="shared" si="79"/>
        <v>3.7986842688402011E-3</v>
      </c>
      <c r="M1691">
        <v>6.0568726444447796</v>
      </c>
      <c r="N1691">
        <v>6.0570596223024298</v>
      </c>
      <c r="O1691" s="1">
        <v>3.1274366301653E-8</v>
      </c>
      <c r="P1691" s="2">
        <f t="shared" si="80"/>
        <v>1.1178713875207358</v>
      </c>
    </row>
    <row r="1692" spans="2:16" x14ac:dyDescent="0.25">
      <c r="B1692">
        <v>1691</v>
      </c>
      <c r="C1692">
        <v>-0.20471290509773099</v>
      </c>
      <c r="D1692">
        <v>-0.20166877653892401</v>
      </c>
      <c r="E1692">
        <v>0.16762949405420999</v>
      </c>
      <c r="F1692">
        <f t="shared" si="78"/>
        <v>-3.04412855880698E-3</v>
      </c>
      <c r="G1692" s="2">
        <f t="shared" si="79"/>
        <v>5.5280955984675833E-5</v>
      </c>
      <c r="M1692">
        <v>0.95315589318268401</v>
      </c>
      <c r="N1692">
        <v>0.95318924132752603</v>
      </c>
      <c r="O1692" s="1">
        <v>9.2301703956108197E-10</v>
      </c>
      <c r="P1692" s="2">
        <f t="shared" si="80"/>
        <v>1.2048518247646878</v>
      </c>
    </row>
    <row r="1693" spans="2:16" x14ac:dyDescent="0.25">
      <c r="B1693">
        <v>1692</v>
      </c>
      <c r="C1693">
        <v>-0.23524207967994901</v>
      </c>
      <c r="D1693">
        <v>-0.20508090011486499</v>
      </c>
      <c r="E1693">
        <v>0.22135534420859099</v>
      </c>
      <c r="F1693">
        <f t="shared" si="78"/>
        <v>-3.0161179565084018E-2</v>
      </c>
      <c r="G1693" s="2">
        <f t="shared" si="79"/>
        <v>4.1096669972422364E-3</v>
      </c>
      <c r="M1693">
        <v>6.0568400263535702</v>
      </c>
      <c r="N1693">
        <v>6.0569785996154204</v>
      </c>
      <c r="O1693" s="1">
        <v>3.1515999262386301E-8</v>
      </c>
      <c r="P1693" s="2">
        <f t="shared" si="80"/>
        <v>0.60929525793958672</v>
      </c>
    </row>
    <row r="1694" spans="2:16" x14ac:dyDescent="0.25">
      <c r="B1694">
        <v>1693</v>
      </c>
      <c r="C1694">
        <v>-0.21831158204182199</v>
      </c>
      <c r="D1694">
        <v>-0.20259495814326201</v>
      </c>
      <c r="E1694">
        <v>0.19063978741441201</v>
      </c>
      <c r="F1694">
        <f t="shared" si="78"/>
        <v>-1.5716623898559989E-2</v>
      </c>
      <c r="G1694" s="2">
        <f t="shared" si="79"/>
        <v>1.2957015433081275E-3</v>
      </c>
      <c r="M1694">
        <v>0.95317338630607396</v>
      </c>
      <c r="N1694">
        <v>0.95319783144125203</v>
      </c>
      <c r="O1694" s="1">
        <v>9.31529152151573E-10</v>
      </c>
      <c r="P1694" s="2">
        <f t="shared" si="80"/>
        <v>0.64148785091067972</v>
      </c>
    </row>
    <row r="1695" spans="2:16" x14ac:dyDescent="0.25">
      <c r="B1695">
        <v>1694</v>
      </c>
      <c r="C1695">
        <v>-0.19397361513666</v>
      </c>
      <c r="D1695">
        <v>-0.20221037374522099</v>
      </c>
      <c r="E1695">
        <v>0.15050305347674101</v>
      </c>
      <c r="F1695">
        <f t="shared" si="78"/>
        <v>8.2367586085609901E-3</v>
      </c>
      <c r="G1695" s="2">
        <f t="shared" si="79"/>
        <v>4.507828300386499E-4</v>
      </c>
      <c r="M1695">
        <v>6.05704877237077</v>
      </c>
      <c r="N1695">
        <v>6.0569234693159197</v>
      </c>
      <c r="O1695" s="1">
        <v>3.2549806365933302E-8</v>
      </c>
      <c r="P1695" s="2">
        <f t="shared" si="80"/>
        <v>0.48236402325388139</v>
      </c>
    </row>
    <row r="1696" spans="2:16" x14ac:dyDescent="0.25">
      <c r="B1696">
        <v>1695</v>
      </c>
      <c r="C1696">
        <v>-0.19887577000968101</v>
      </c>
      <c r="D1696">
        <v>-0.201831099955919</v>
      </c>
      <c r="E1696">
        <v>0.158206287587774</v>
      </c>
      <c r="F1696">
        <f t="shared" si="78"/>
        <v>2.9553299462379834E-3</v>
      </c>
      <c r="G1696" s="2">
        <f t="shared" si="79"/>
        <v>5.5206245113901235E-5</v>
      </c>
      <c r="M1696">
        <v>0.95322783226056396</v>
      </c>
      <c r="N1696">
        <v>0.95320367652574201</v>
      </c>
      <c r="O1696" s="1">
        <v>9.5692511583136509E-10</v>
      </c>
      <c r="P1696" s="2">
        <f t="shared" si="80"/>
        <v>0.60976508520365147</v>
      </c>
    </row>
    <row r="1697" spans="2:16" x14ac:dyDescent="0.25">
      <c r="B1697">
        <v>1696</v>
      </c>
      <c r="C1697">
        <v>-0.197360887650188</v>
      </c>
      <c r="D1697">
        <v>-0.201940759295438</v>
      </c>
      <c r="E1697">
        <v>0.15580527989628001</v>
      </c>
      <c r="F1697">
        <f t="shared" si="78"/>
        <v>4.5798716452500055E-3</v>
      </c>
      <c r="G1697" s="2">
        <f t="shared" si="79"/>
        <v>1.3462460515412735E-4</v>
      </c>
      <c r="M1697">
        <v>6.0568423222852203</v>
      </c>
      <c r="N1697">
        <v>6.0569982189942397</v>
      </c>
      <c r="O1697" s="1">
        <v>2.93398390307613E-8</v>
      </c>
      <c r="P1697" s="2">
        <f t="shared" si="80"/>
        <v>0.82835437023339853</v>
      </c>
    </row>
    <row r="1698" spans="2:16" x14ac:dyDescent="0.25">
      <c r="B1698">
        <v>1697</v>
      </c>
      <c r="C1698">
        <v>-0.192079136837745</v>
      </c>
      <c r="D1698">
        <v>-0.20109500521110699</v>
      </c>
      <c r="E1698">
        <v>0.14757757923333201</v>
      </c>
      <c r="F1698">
        <f t="shared" si="78"/>
        <v>9.0158683733619904E-3</v>
      </c>
      <c r="G1698" s="2">
        <f t="shared" si="79"/>
        <v>5.5080102918119746E-4</v>
      </c>
      <c r="M1698">
        <v>0.95315935191461998</v>
      </c>
      <c r="N1698">
        <v>0.95319575135564605</v>
      </c>
      <c r="O1698" s="1">
        <v>1.4237765501115899E-9</v>
      </c>
      <c r="P1698" s="2">
        <f t="shared" si="80"/>
        <v>0.93056688348073591</v>
      </c>
    </row>
    <row r="1699" spans="2:16" x14ac:dyDescent="0.25">
      <c r="B1699">
        <v>1698</v>
      </c>
      <c r="C1699">
        <v>-0.19697183345941499</v>
      </c>
      <c r="D1699">
        <v>-0.19855673369962601</v>
      </c>
      <c r="E1699">
        <v>0.15519161270545301</v>
      </c>
      <c r="F1699">
        <f t="shared" si="78"/>
        <v>1.5849002402110179E-3</v>
      </c>
      <c r="G1699" s="2">
        <f t="shared" si="79"/>
        <v>1.6185853910729295E-5</v>
      </c>
      <c r="M1699">
        <v>6.0563803046492204</v>
      </c>
      <c r="N1699">
        <v>6.0566837662866098</v>
      </c>
      <c r="O1699" s="1">
        <v>2.64365876871352E-8</v>
      </c>
      <c r="P1699" s="2">
        <f t="shared" si="80"/>
        <v>3.4833907634701897</v>
      </c>
    </row>
    <row r="1700" spans="2:16" x14ac:dyDescent="0.25">
      <c r="B1700">
        <v>1699</v>
      </c>
      <c r="C1700">
        <v>-0.166738810376927</v>
      </c>
      <c r="D1700">
        <v>-0.20535729409206299</v>
      </c>
      <c r="E1700">
        <v>0.111207323543652</v>
      </c>
      <c r="F1700">
        <f t="shared" si="78"/>
        <v>3.8618483715135987E-2</v>
      </c>
      <c r="G1700" s="2">
        <f t="shared" si="79"/>
        <v>1.3410872925745866E-2</v>
      </c>
      <c r="M1700">
        <v>0.95317411631712901</v>
      </c>
      <c r="N1700">
        <v>0.95322909161594704</v>
      </c>
      <c r="O1700" s="1">
        <v>7.5842438468122201E-10</v>
      </c>
      <c r="P1700" s="2">
        <f t="shared" si="80"/>
        <v>3.9849503011469536</v>
      </c>
    </row>
    <row r="1701" spans="2:16" x14ac:dyDescent="0.25">
      <c r="B1701">
        <v>1700</v>
      </c>
      <c r="C1701">
        <v>-0.197608590852906</v>
      </c>
      <c r="D1701">
        <v>-0.19850332606061599</v>
      </c>
      <c r="E1701">
        <v>0.15619662071548401</v>
      </c>
      <c r="F1701">
        <f t="shared" si="78"/>
        <v>8.9473520770999571E-4</v>
      </c>
      <c r="G1701" s="2">
        <f t="shared" si="79"/>
        <v>5.1252779237399294E-6</v>
      </c>
      <c r="M1701">
        <v>6.0569725099342602</v>
      </c>
      <c r="N1701">
        <v>6.0568375694756202</v>
      </c>
      <c r="O1701" s="1">
        <v>3.4940443684103301E-8</v>
      </c>
      <c r="P1701" s="2">
        <f t="shared" si="80"/>
        <v>0.52114184761310112</v>
      </c>
    </row>
    <row r="1702" spans="2:16" x14ac:dyDescent="0.25">
      <c r="B1702">
        <v>1701</v>
      </c>
      <c r="C1702">
        <v>-0.191854204427991</v>
      </c>
      <c r="D1702">
        <v>-0.19921877647362499</v>
      </c>
      <c r="E1702">
        <v>0.14723214302679</v>
      </c>
      <c r="F1702">
        <f t="shared" si="78"/>
        <v>7.3645720456339825E-3</v>
      </c>
      <c r="G1702" s="2">
        <f t="shared" si="79"/>
        <v>3.6837690670212333E-4</v>
      </c>
      <c r="M1702">
        <v>0.95324177166650004</v>
      </c>
      <c r="N1702">
        <v>0.95321278406936805</v>
      </c>
      <c r="O1702" s="1">
        <v>1.4639074904581999E-9</v>
      </c>
      <c r="P1702" s="2">
        <f t="shared" si="80"/>
        <v>0.57399855726101745</v>
      </c>
    </row>
    <row r="1703" spans="2:16" x14ac:dyDescent="0.25">
      <c r="B1703">
        <v>1702</v>
      </c>
      <c r="C1703">
        <v>-0.232143584560104</v>
      </c>
      <c r="D1703">
        <v>-0.187519625665654</v>
      </c>
      <c r="E1703">
        <v>0.21556257540965701</v>
      </c>
      <c r="F1703">
        <f t="shared" si="78"/>
        <v>-4.4623958894450005E-2</v>
      </c>
      <c r="G1703" s="2">
        <f t="shared" si="79"/>
        <v>9.2376782177021419E-3</v>
      </c>
      <c r="M1703">
        <v>6.0564041706687997</v>
      </c>
      <c r="N1703">
        <v>6.0565665721079602</v>
      </c>
      <c r="O1703" s="1">
        <v>3.2206988066092401E-8</v>
      </c>
      <c r="P1703" s="2">
        <f t="shared" si="80"/>
        <v>0.81889766864579783</v>
      </c>
    </row>
    <row r="1704" spans="2:16" x14ac:dyDescent="0.25">
      <c r="B1704">
        <v>1703</v>
      </c>
      <c r="C1704">
        <v>-0.247764097831568</v>
      </c>
      <c r="D1704">
        <v>-0.18520435041510999</v>
      </c>
      <c r="E1704">
        <v>0.24554819269716299</v>
      </c>
      <c r="F1704">
        <f t="shared" si="78"/>
        <v>-6.2559747416458006E-2</v>
      </c>
      <c r="G1704" s="2">
        <f t="shared" si="79"/>
        <v>1.5938712290331766E-2</v>
      </c>
      <c r="M1704">
        <v>0.95320730425203504</v>
      </c>
      <c r="N1704">
        <v>0.95324151802336399</v>
      </c>
      <c r="O1704" s="1">
        <v>1.22194144479979E-9</v>
      </c>
      <c r="P1704" s="2">
        <f t="shared" si="80"/>
        <v>0.95796910198221286</v>
      </c>
    </row>
    <row r="1705" spans="2:16" x14ac:dyDescent="0.25">
      <c r="B1705">
        <v>1704</v>
      </c>
      <c r="C1705">
        <v>-0.20176855495815901</v>
      </c>
      <c r="D1705">
        <v>-0.17688690426627701</v>
      </c>
      <c r="E1705">
        <v>0.162842199079615</v>
      </c>
      <c r="F1705">
        <f t="shared" si="78"/>
        <v>-2.4881650691882001E-2</v>
      </c>
      <c r="G1705" s="2">
        <f t="shared" si="79"/>
        <v>3.8018188445744965E-3</v>
      </c>
      <c r="M1705">
        <v>6.0565377897595596</v>
      </c>
      <c r="N1705">
        <v>6.0567539669463804</v>
      </c>
      <c r="O1705" s="1">
        <v>3.6071189546148398E-8</v>
      </c>
      <c r="P1705" s="2">
        <f t="shared" si="80"/>
        <v>1.2955651501859049</v>
      </c>
    </row>
    <row r="1706" spans="2:16" x14ac:dyDescent="0.25">
      <c r="B1706">
        <v>1705</v>
      </c>
      <c r="C1706">
        <v>-0.139783632022426</v>
      </c>
      <c r="D1706">
        <v>-0.173652822796665</v>
      </c>
      <c r="E1706">
        <v>7.8157855125523701E-2</v>
      </c>
      <c r="F1706">
        <f t="shared" si="78"/>
        <v>3.3869190774239E-2</v>
      </c>
      <c r="G1706" s="2">
        <f t="shared" si="79"/>
        <v>1.4676990327581099E-2</v>
      </c>
      <c r="M1706">
        <v>0.95318188138603399</v>
      </c>
      <c r="N1706">
        <v>0.95322164824783295</v>
      </c>
      <c r="O1706" s="1">
        <v>1.10979597139145E-9</v>
      </c>
      <c r="P1706" s="2">
        <f t="shared" si="80"/>
        <v>1.4249495746096554</v>
      </c>
    </row>
    <row r="1707" spans="2:16" x14ac:dyDescent="0.25">
      <c r="B1707">
        <v>1706</v>
      </c>
      <c r="C1707">
        <v>-0.23899520144996</v>
      </c>
      <c r="D1707">
        <v>-0.23878627890476301</v>
      </c>
      <c r="E1707">
        <v>0.228474825264429</v>
      </c>
      <c r="F1707">
        <f t="shared" si="78"/>
        <v>-2.0892254519699893E-4</v>
      </c>
      <c r="G1707" s="2">
        <f t="shared" si="79"/>
        <v>1.9104349829822442E-7</v>
      </c>
      <c r="M1707">
        <v>6.05648371940869</v>
      </c>
      <c r="N1707">
        <v>6.0569008689410397</v>
      </c>
      <c r="O1707" s="1">
        <v>2.73533353197422E-8</v>
      </c>
      <c r="P1707" s="2">
        <f t="shared" si="80"/>
        <v>6.3617006959294153</v>
      </c>
    </row>
    <row r="1708" spans="2:16" x14ac:dyDescent="0.25">
      <c r="B1708">
        <v>1707</v>
      </c>
      <c r="C1708">
        <v>-0.25051963328175703</v>
      </c>
      <c r="D1708">
        <v>-0.244507091500271</v>
      </c>
      <c r="E1708">
        <v>0.251040346638505</v>
      </c>
      <c r="F1708">
        <f t="shared" si="78"/>
        <v>-6.0125417814860249E-3</v>
      </c>
      <c r="G1708" s="2">
        <f t="shared" si="79"/>
        <v>1.4400338096318694E-4</v>
      </c>
      <c r="M1708">
        <v>0.95309740459567305</v>
      </c>
      <c r="N1708">
        <v>0.95320607271296798</v>
      </c>
      <c r="O1708" s="1">
        <v>1.58049578478327E-9</v>
      </c>
      <c r="P1708" s="2">
        <f t="shared" si="80"/>
        <v>7.4715540719040705</v>
      </c>
    </row>
    <row r="1709" spans="2:16" x14ac:dyDescent="0.25">
      <c r="B1709">
        <v>1708</v>
      </c>
      <c r="C1709">
        <v>-0.23840790755934199</v>
      </c>
      <c r="D1709">
        <v>-0.241716030222452</v>
      </c>
      <c r="E1709">
        <v>0.22735332154729601</v>
      </c>
      <c r="F1709">
        <f t="shared" si="78"/>
        <v>3.308122663110008E-3</v>
      </c>
      <c r="G1709" s="2">
        <f t="shared" si="79"/>
        <v>4.8135103018081274E-5</v>
      </c>
      <c r="M1709">
        <v>6.0572700078924697</v>
      </c>
      <c r="N1709">
        <v>6.0572693907340502</v>
      </c>
      <c r="O1709" s="1">
        <v>2.33110942992715E-8</v>
      </c>
      <c r="P1709" s="2">
        <f t="shared" si="80"/>
        <v>1.6339194970667385E-5</v>
      </c>
    </row>
    <row r="1710" spans="2:16" x14ac:dyDescent="0.25">
      <c r="B1710">
        <v>1709</v>
      </c>
      <c r="C1710">
        <v>-0.25073619064244201</v>
      </c>
      <c r="D1710">
        <v>-0.24406076151445999</v>
      </c>
      <c r="E1710">
        <v>0.251474549191532</v>
      </c>
      <c r="F1710">
        <f t="shared" si="78"/>
        <v>-6.6754291279820244E-3</v>
      </c>
      <c r="G1710" s="2">
        <f t="shared" si="79"/>
        <v>1.7720025420453714E-4</v>
      </c>
      <c r="M1710">
        <v>0.95316715520164597</v>
      </c>
      <c r="N1710">
        <v>0.95316700234289198</v>
      </c>
      <c r="O1710" s="1">
        <v>1.1145651994393799E-9</v>
      </c>
      <c r="P1710" s="2">
        <f t="shared" si="80"/>
        <v>2.0964048296565282E-5</v>
      </c>
    </row>
    <row r="1711" spans="2:16" x14ac:dyDescent="0.25">
      <c r="B1711">
        <v>1710</v>
      </c>
      <c r="C1711">
        <v>-0.24005404352299201</v>
      </c>
      <c r="D1711">
        <v>-0.242693846177477</v>
      </c>
      <c r="E1711">
        <v>0.23050377524695501</v>
      </c>
      <c r="F1711">
        <f t="shared" si="78"/>
        <v>2.6398026544849906E-3</v>
      </c>
      <c r="G1711" s="2">
        <f t="shared" si="79"/>
        <v>3.0231860832474838E-5</v>
      </c>
      <c r="M1711">
        <v>6.05681617585258</v>
      </c>
      <c r="N1711">
        <v>6.0572094983821101</v>
      </c>
      <c r="O1711" s="1">
        <v>4.6051852724138003E-8</v>
      </c>
      <c r="P1711" s="2">
        <f t="shared" si="80"/>
        <v>3.3593135364744611</v>
      </c>
    </row>
    <row r="1712" spans="2:16" x14ac:dyDescent="0.25">
      <c r="B1712">
        <v>1711</v>
      </c>
      <c r="C1712">
        <v>-0.236452867648697</v>
      </c>
      <c r="D1712">
        <v>-0.24613606386152601</v>
      </c>
      <c r="E1712">
        <v>0.22363983447717001</v>
      </c>
      <c r="F1712">
        <f t="shared" si="78"/>
        <v>9.6831962128290094E-3</v>
      </c>
      <c r="G1712" s="2">
        <f t="shared" si="79"/>
        <v>4.1926470351469461E-4</v>
      </c>
      <c r="M1712">
        <v>0.95310304919201205</v>
      </c>
      <c r="N1712">
        <v>0.95317335180884499</v>
      </c>
      <c r="O1712" s="1">
        <v>1.3631378487934899E-9</v>
      </c>
      <c r="P1712" s="2">
        <f t="shared" si="80"/>
        <v>3.6257946604107256</v>
      </c>
    </row>
    <row r="1713" spans="2:16" x14ac:dyDescent="0.25">
      <c r="B1713">
        <v>1712</v>
      </c>
      <c r="C1713">
        <v>-0.26542216797976897</v>
      </c>
      <c r="D1713">
        <v>-0.243274941873935</v>
      </c>
      <c r="E1713">
        <v>0.28179570902032303</v>
      </c>
      <c r="F1713">
        <f t="shared" si="78"/>
        <v>-2.2147226105833973E-2</v>
      </c>
      <c r="G1713" s="2">
        <f t="shared" si="79"/>
        <v>1.7406213383737476E-3</v>
      </c>
      <c r="M1713">
        <v>6.0579939438316801</v>
      </c>
      <c r="N1713">
        <v>6.0577266991928802</v>
      </c>
      <c r="O1713" s="1">
        <v>3.7301349782175601E-8</v>
      </c>
      <c r="P1713" s="2">
        <f t="shared" si="80"/>
        <v>1.9146678976592348</v>
      </c>
    </row>
    <row r="1714" spans="2:16" x14ac:dyDescent="0.25">
      <c r="B1714">
        <v>1713</v>
      </c>
      <c r="C1714">
        <v>-0.22098373399603999</v>
      </c>
      <c r="D1714">
        <v>-0.24504727301990001</v>
      </c>
      <c r="E1714">
        <v>0.195335242763331</v>
      </c>
      <c r="F1714">
        <f t="shared" si="78"/>
        <v>2.406353902386002E-2</v>
      </c>
      <c r="G1714" s="2">
        <f t="shared" si="79"/>
        <v>2.9644108362688972E-3</v>
      </c>
      <c r="M1714">
        <v>0.95318191392475904</v>
      </c>
      <c r="N1714">
        <v>0.95311852441661504</v>
      </c>
      <c r="O1714" s="1">
        <v>1.6748258402569401E-9</v>
      </c>
      <c r="P1714" s="2">
        <f t="shared" si="80"/>
        <v>2.3991925883596967</v>
      </c>
    </row>
    <row r="1715" spans="2:16" x14ac:dyDescent="0.25">
      <c r="B1715">
        <v>1714</v>
      </c>
      <c r="C1715">
        <v>-0.24026638781739099</v>
      </c>
      <c r="D1715">
        <v>-0.24165677308369801</v>
      </c>
      <c r="E1715">
        <v>0.23091174845926801</v>
      </c>
      <c r="F1715">
        <f t="shared" si="78"/>
        <v>1.390385266307026E-3</v>
      </c>
      <c r="G1715" s="2">
        <f t="shared" si="79"/>
        <v>8.3719048582955221E-6</v>
      </c>
      <c r="M1715">
        <v>6.0578331868451203</v>
      </c>
      <c r="N1715">
        <v>6.05816097511235</v>
      </c>
      <c r="O1715" s="1">
        <v>3.4915913218308603E-8</v>
      </c>
      <c r="P1715" s="2">
        <f t="shared" si="80"/>
        <v>3.0772544158202</v>
      </c>
    </row>
    <row r="1716" spans="2:16" x14ac:dyDescent="0.25">
      <c r="B1716">
        <v>1715</v>
      </c>
      <c r="C1716">
        <v>-0.21509952040243699</v>
      </c>
      <c r="D1716">
        <v>-0.24367175502383401</v>
      </c>
      <c r="E1716">
        <v>0.185071214709434</v>
      </c>
      <c r="F1716">
        <f t="shared" si="78"/>
        <v>2.8572234621397019E-2</v>
      </c>
      <c r="G1716" s="2">
        <f t="shared" si="79"/>
        <v>4.4111267791800144E-3</v>
      </c>
      <c r="M1716">
        <v>0.95300665342491897</v>
      </c>
      <c r="N1716">
        <v>0.95307249377208503</v>
      </c>
      <c r="O1716" s="1">
        <v>1.21046033037831E-9</v>
      </c>
      <c r="P1716" s="2">
        <f t="shared" si="80"/>
        <v>3.5812419508139826</v>
      </c>
    </row>
    <row r="1717" spans="2:16" x14ac:dyDescent="0.25">
      <c r="B1717">
        <v>1716</v>
      </c>
      <c r="C1717">
        <v>-0.232876620445399</v>
      </c>
      <c r="D1717">
        <v>-0.241309470959327</v>
      </c>
      <c r="E1717">
        <v>0.21692608140028199</v>
      </c>
      <c r="F1717">
        <f t="shared" si="78"/>
        <v>8.432850513928003E-3</v>
      </c>
      <c r="G1717" s="2">
        <f t="shared" si="79"/>
        <v>3.2782119757667524E-4</v>
      </c>
      <c r="M1717">
        <v>22.909478047093199</v>
      </c>
      <c r="N1717">
        <v>22.9092565836151</v>
      </c>
      <c r="O1717" s="1">
        <v>7.9892277648404399E-7</v>
      </c>
      <c r="P1717" s="2">
        <f t="shared" si="80"/>
        <v>6.1390253945785997E-2</v>
      </c>
    </row>
    <row r="1718" spans="2:16" x14ac:dyDescent="0.25">
      <c r="B1718">
        <v>1717</v>
      </c>
      <c r="C1718">
        <v>-0.26047954352255498</v>
      </c>
      <c r="D1718">
        <v>-0.238229132656018</v>
      </c>
      <c r="E1718">
        <v>0.27139837037487402</v>
      </c>
      <c r="F1718">
        <f t="shared" si="78"/>
        <v>-2.2250410866536979E-2</v>
      </c>
      <c r="G1718" s="2">
        <f t="shared" si="79"/>
        <v>1.8241848064373687E-3</v>
      </c>
      <c r="M1718">
        <v>9.6822839995336505</v>
      </c>
      <c r="N1718">
        <v>9.6821004945641906</v>
      </c>
      <c r="O1718" s="1">
        <v>1.72640742082254E-7</v>
      </c>
      <c r="P1718" s="2">
        <f t="shared" si="80"/>
        <v>0.19505287923528156</v>
      </c>
    </row>
    <row r="1719" spans="2:16" x14ac:dyDescent="0.25">
      <c r="B1719">
        <v>1718</v>
      </c>
      <c r="C1719">
        <v>-0.21532438519444</v>
      </c>
      <c r="D1719">
        <v>-0.23981441355513899</v>
      </c>
      <c r="E1719">
        <v>0.185458363437455</v>
      </c>
      <c r="F1719">
        <f t="shared" si="78"/>
        <v>2.4490028360698995E-2</v>
      </c>
      <c r="G1719" s="2">
        <f t="shared" si="79"/>
        <v>3.23394145182408E-3</v>
      </c>
      <c r="M1719">
        <v>10.599030491049501</v>
      </c>
      <c r="N1719">
        <v>10.599029284836</v>
      </c>
      <c r="O1719" s="1">
        <v>1.73635711256714E-7</v>
      </c>
      <c r="P1719" s="2">
        <f t="shared" si="80"/>
        <v>8.37933048789092E-6</v>
      </c>
    </row>
    <row r="1720" spans="2:16" x14ac:dyDescent="0.25">
      <c r="B1720">
        <v>1719</v>
      </c>
      <c r="C1720">
        <v>-0.22839890210063801</v>
      </c>
      <c r="D1720">
        <v>-0.23718785939860601</v>
      </c>
      <c r="E1720">
        <v>0.20866423392310801</v>
      </c>
      <c r="F1720">
        <f t="shared" si="78"/>
        <v>8.7889572979679975E-3</v>
      </c>
      <c r="G1720" s="2">
        <f t="shared" si="79"/>
        <v>3.7019171389942034E-4</v>
      </c>
      <c r="M1720">
        <v>1.00378022594544</v>
      </c>
      <c r="N1720">
        <v>1.00374422683978</v>
      </c>
      <c r="O1720" s="1">
        <v>5.4344185360986503E-9</v>
      </c>
      <c r="P1720" s="2">
        <f t="shared" si="80"/>
        <v>0.23846812675739151</v>
      </c>
    </row>
    <row r="1721" spans="2:16" x14ac:dyDescent="0.25">
      <c r="B1721">
        <v>1720</v>
      </c>
      <c r="C1721">
        <v>-0.219680812960419</v>
      </c>
      <c r="D1721">
        <v>-0.21927591865166199</v>
      </c>
      <c r="E1721">
        <v>0.19303863833180199</v>
      </c>
      <c r="F1721">
        <f t="shared" si="78"/>
        <v>-4.0489430875700894E-4</v>
      </c>
      <c r="G1721" s="2">
        <f t="shared" si="79"/>
        <v>8.4925692949631641E-7</v>
      </c>
      <c r="M1721">
        <v>22.921509186060899</v>
      </c>
      <c r="N1721">
        <v>22.920260468645701</v>
      </c>
      <c r="O1721" s="1">
        <v>3.30938058643251E-6</v>
      </c>
      <c r="P1721" s="2">
        <f t="shared" si="80"/>
        <v>0.47117433075271092</v>
      </c>
    </row>
    <row r="1722" spans="2:16" x14ac:dyDescent="0.25">
      <c r="B1722">
        <v>1721</v>
      </c>
      <c r="C1722">
        <v>-0.21777262472926701</v>
      </c>
      <c r="D1722">
        <v>-0.22870027174958299</v>
      </c>
      <c r="E1722">
        <v>0.18969966432589699</v>
      </c>
      <c r="F1722">
        <f t="shared" si="78"/>
        <v>1.0927647020315984E-2</v>
      </c>
      <c r="G1722" s="2">
        <f t="shared" si="79"/>
        <v>6.2948698314759736E-4</v>
      </c>
      <c r="M1722">
        <v>9.6854839877069701</v>
      </c>
      <c r="N1722">
        <v>9.6850351482277208</v>
      </c>
      <c r="O1722" s="1">
        <v>4.9343289570324901E-7</v>
      </c>
      <c r="P1722" s="2">
        <f t="shared" si="80"/>
        <v>0.40827614025530312</v>
      </c>
    </row>
    <row r="1723" spans="2:16" x14ac:dyDescent="0.25">
      <c r="B1723">
        <v>1722</v>
      </c>
      <c r="C1723">
        <v>-0.22040953747870301</v>
      </c>
      <c r="D1723">
        <v>-0.22570793152153901</v>
      </c>
      <c r="E1723">
        <v>0.194321456846303</v>
      </c>
      <c r="F1723">
        <f t="shared" si="78"/>
        <v>5.2983940428359966E-3</v>
      </c>
      <c r="G1723" s="2">
        <f t="shared" si="79"/>
        <v>1.4446669909110488E-4</v>
      </c>
      <c r="M1723">
        <v>10.601409176974901</v>
      </c>
      <c r="N1723">
        <v>10.600862132033599</v>
      </c>
      <c r="O1723" s="1">
        <v>3.77799826012356E-7</v>
      </c>
      <c r="P1723" s="2">
        <f t="shared" si="80"/>
        <v>0.79210774383387139</v>
      </c>
    </row>
    <row r="1724" spans="2:16" x14ac:dyDescent="0.25">
      <c r="B1724">
        <v>1723</v>
      </c>
      <c r="C1724">
        <v>-0.24334308558562601</v>
      </c>
      <c r="D1724">
        <v>-0.22421539569995499</v>
      </c>
      <c r="E1724">
        <v>0.23686342920933301</v>
      </c>
      <c r="F1724">
        <f t="shared" si="78"/>
        <v>-1.9127689885671012E-2</v>
      </c>
      <c r="G1724" s="2">
        <f t="shared" si="79"/>
        <v>1.5446391263678667E-3</v>
      </c>
      <c r="M1724">
        <v>1.0031990744383199</v>
      </c>
      <c r="N1724">
        <v>1.00329221678363</v>
      </c>
      <c r="O1724" s="1">
        <v>6.1616714260718804E-9</v>
      </c>
      <c r="P1724" s="2">
        <f t="shared" si="80"/>
        <v>1.4079777855661191</v>
      </c>
    </row>
    <row r="1725" spans="2:16" x14ac:dyDescent="0.25">
      <c r="B1725">
        <v>1724</v>
      </c>
      <c r="C1725">
        <v>-0.209258628542356</v>
      </c>
      <c r="D1725">
        <v>-0.22508253318645299</v>
      </c>
      <c r="E1725">
        <v>0.17515669447771101</v>
      </c>
      <c r="F1725">
        <f t="shared" si="78"/>
        <v>1.5823904644096998E-2</v>
      </c>
      <c r="G1725" s="2">
        <f t="shared" si="79"/>
        <v>1.4295540283636595E-3</v>
      </c>
      <c r="M1725">
        <v>22.934944913007101</v>
      </c>
      <c r="N1725">
        <v>22.9348907663998</v>
      </c>
      <c r="O1725" s="1">
        <v>1.4428019449283299E-6</v>
      </c>
      <c r="P1725" s="2">
        <f t="shared" si="80"/>
        <v>2.0320565081789464E-3</v>
      </c>
    </row>
    <row r="1726" spans="2:16" x14ac:dyDescent="0.25">
      <c r="B1726">
        <v>1725</v>
      </c>
      <c r="C1726">
        <v>-0.24314441496231701</v>
      </c>
      <c r="D1726">
        <v>-0.22242164822473101</v>
      </c>
      <c r="E1726">
        <v>0.23647682610946999</v>
      </c>
      <c r="F1726">
        <f t="shared" si="78"/>
        <v>-2.0722766737585996E-2</v>
      </c>
      <c r="G1726" s="2">
        <f t="shared" si="79"/>
        <v>1.8159625546632088E-3</v>
      </c>
      <c r="M1726">
        <v>9.6891191202066</v>
      </c>
      <c r="N1726">
        <v>9.6889361341890492</v>
      </c>
      <c r="O1726" s="1">
        <v>2.0163956615803E-7</v>
      </c>
      <c r="P1726" s="2">
        <f t="shared" si="80"/>
        <v>0.16605809691574255</v>
      </c>
    </row>
    <row r="1727" spans="2:16" x14ac:dyDescent="0.25">
      <c r="B1727">
        <v>1726</v>
      </c>
      <c r="C1727">
        <v>-0.17142368290483301</v>
      </c>
      <c r="D1727">
        <v>-0.21248249117710299</v>
      </c>
      <c r="E1727">
        <v>0.117544316242627</v>
      </c>
      <c r="F1727">
        <f t="shared" si="78"/>
        <v>4.1058808272269987E-2</v>
      </c>
      <c r="G1727" s="2">
        <f t="shared" si="79"/>
        <v>1.434204384037812E-2</v>
      </c>
      <c r="M1727">
        <v>10.6032779409156</v>
      </c>
      <c r="N1727">
        <v>10.6032981359281</v>
      </c>
      <c r="O1727" s="1">
        <v>2.05194894558486E-7</v>
      </c>
      <c r="P1727" s="2">
        <f t="shared" si="80"/>
        <v>1.9875666533373903E-3</v>
      </c>
    </row>
    <row r="1728" spans="2:16" x14ac:dyDescent="0.25">
      <c r="B1728">
        <v>1727</v>
      </c>
      <c r="C1728">
        <v>-0.23810555053662899</v>
      </c>
      <c r="D1728">
        <v>-0.21956524516117101</v>
      </c>
      <c r="E1728">
        <v>0.22677701278540399</v>
      </c>
      <c r="F1728">
        <f t="shared" si="78"/>
        <v>-1.8540305375457977E-2</v>
      </c>
      <c r="G1728" s="2">
        <f t="shared" si="79"/>
        <v>1.5157749861557405E-3</v>
      </c>
      <c r="M1728">
        <v>1.0027327027103801</v>
      </c>
      <c r="N1728">
        <v>1.0026918943135401</v>
      </c>
      <c r="O1728" s="1">
        <v>4.5743084640233203E-9</v>
      </c>
      <c r="P1728" s="2">
        <f t="shared" si="80"/>
        <v>0.36406054942398003</v>
      </c>
    </row>
    <row r="1729" spans="2:16" x14ac:dyDescent="0.25">
      <c r="B1729">
        <v>1728</v>
      </c>
      <c r="C1729">
        <v>-0.194466001364138</v>
      </c>
      <c r="D1729">
        <v>-0.213079404402295</v>
      </c>
      <c r="E1729">
        <v>0.15126810274622701</v>
      </c>
      <c r="F1729">
        <f t="shared" si="78"/>
        <v>1.8613403038157006E-2</v>
      </c>
      <c r="G1729" s="2">
        <f t="shared" si="79"/>
        <v>2.2903623855328216E-3</v>
      </c>
      <c r="M1729">
        <v>22.9461291685754</v>
      </c>
      <c r="N1729">
        <v>22.945956523892601</v>
      </c>
      <c r="O1729" s="1">
        <v>1.3766908890637E-6</v>
      </c>
      <c r="P1729" s="2">
        <f t="shared" si="80"/>
        <v>2.16506019873179E-2</v>
      </c>
    </row>
    <row r="1730" spans="2:16" x14ac:dyDescent="0.25">
      <c r="B1730">
        <v>1729</v>
      </c>
      <c r="C1730">
        <v>-0.16741380916665</v>
      </c>
      <c r="D1730">
        <v>-0.21649536716034201</v>
      </c>
      <c r="E1730">
        <v>0.11210953399875</v>
      </c>
      <c r="F1730">
        <f t="shared" si="78"/>
        <v>4.9081557993692015E-2</v>
      </c>
      <c r="G1730" s="2">
        <f t="shared" si="79"/>
        <v>2.14879078447959E-2</v>
      </c>
      <c r="M1730">
        <v>9.6918948356614205</v>
      </c>
      <c r="N1730">
        <v>9.6918860703219991</v>
      </c>
      <c r="O1730" s="1">
        <v>1.5862196005606701E-7</v>
      </c>
      <c r="P1730" s="2">
        <f t="shared" si="80"/>
        <v>4.8436657285800346E-4</v>
      </c>
    </row>
    <row r="1731" spans="2:16" x14ac:dyDescent="0.25">
      <c r="B1731">
        <v>1730</v>
      </c>
      <c r="C1731">
        <v>-0.17993305212891</v>
      </c>
      <c r="D1731">
        <v>-0.22030406534191499</v>
      </c>
      <c r="E1731">
        <v>0.1295036129937</v>
      </c>
      <c r="F1731">
        <f t="shared" ref="F1731:F1760" si="81">C1731-D1731</f>
        <v>4.0371013213004986E-2</v>
      </c>
      <c r="G1731" s="2">
        <f t="shared" ref="G1731:G1760" si="82">F1731^2/E1731</f>
        <v>1.2585121528029564E-2</v>
      </c>
      <c r="M1731">
        <v>10.605220977834</v>
      </c>
      <c r="N1731">
        <v>10.6051399689914</v>
      </c>
      <c r="O1731" s="1">
        <v>2.29402444672181E-7</v>
      </c>
      <c r="P1731" s="2">
        <f t="shared" ref="P1731:P1794" si="83">(M1731-N1731)^2/O1731</f>
        <v>2.8606637512772565E-2</v>
      </c>
    </row>
    <row r="1732" spans="2:16" x14ac:dyDescent="0.25">
      <c r="B1732">
        <v>1731</v>
      </c>
      <c r="C1732">
        <v>-0.22405703012329301</v>
      </c>
      <c r="D1732">
        <v>-0.217360495022243</v>
      </c>
      <c r="E1732">
        <v>0.20080621099068199</v>
      </c>
      <c r="F1732">
        <f t="shared" si="81"/>
        <v>-6.6965351010500052E-3</v>
      </c>
      <c r="G1732" s="2">
        <f t="shared" si="82"/>
        <v>2.2331770585360867E-4</v>
      </c>
      <c r="M1732">
        <v>1.0022316025250899</v>
      </c>
      <c r="N1732">
        <v>1.0022383277239499</v>
      </c>
      <c r="O1732" s="1">
        <v>4.5724821957472099E-9</v>
      </c>
      <c r="P1732" s="2">
        <f t="shared" si="83"/>
        <v>9.8914107853595237E-3</v>
      </c>
    </row>
    <row r="1733" spans="2:16" x14ac:dyDescent="0.25">
      <c r="B1733">
        <v>1732</v>
      </c>
      <c r="C1733">
        <v>-0.23037164712969199</v>
      </c>
      <c r="D1733">
        <v>-0.215094580801765</v>
      </c>
      <c r="E1733">
        <v>0.21228438320498899</v>
      </c>
      <c r="F1733">
        <f t="shared" si="81"/>
        <v>-1.5277066327926997E-2</v>
      </c>
      <c r="G1733" s="2">
        <f t="shared" si="82"/>
        <v>1.09941556728887E-3</v>
      </c>
      <c r="M1733">
        <v>22.958253450450901</v>
      </c>
      <c r="N1733">
        <v>22.959935185163101</v>
      </c>
      <c r="O1733" s="1">
        <v>1.8051574897631099E-6</v>
      </c>
      <c r="P1733" s="2">
        <f t="shared" si="83"/>
        <v>1.566750634366868</v>
      </c>
    </row>
    <row r="1734" spans="2:16" x14ac:dyDescent="0.25">
      <c r="B1734">
        <v>1733</v>
      </c>
      <c r="C1734">
        <v>-0.231446868027713</v>
      </c>
      <c r="D1734">
        <v>-0.222891926517571</v>
      </c>
      <c r="E1734">
        <v>0.21427061087935001</v>
      </c>
      <c r="F1734">
        <f t="shared" si="81"/>
        <v>-8.5549415101419946E-3</v>
      </c>
      <c r="G1734" s="2">
        <f t="shared" si="82"/>
        <v>3.4156352073481613E-4</v>
      </c>
      <c r="M1734">
        <v>9.6949521806080092</v>
      </c>
      <c r="N1734">
        <v>9.6956117852019705</v>
      </c>
      <c r="O1734" s="1">
        <v>2.9730776128588297E-7</v>
      </c>
      <c r="P1734" s="2">
        <f t="shared" si="83"/>
        <v>1.4633934159441557</v>
      </c>
    </row>
    <row r="1735" spans="2:16" x14ac:dyDescent="0.25">
      <c r="B1735">
        <v>1734</v>
      </c>
      <c r="C1735">
        <v>-0.232180255436712</v>
      </c>
      <c r="D1735">
        <v>-0.223804608280295</v>
      </c>
      <c r="E1735">
        <v>0.21563068405862801</v>
      </c>
      <c r="F1735">
        <f t="shared" si="81"/>
        <v>-8.3756471564170043E-3</v>
      </c>
      <c r="G1735" s="2">
        <f t="shared" si="82"/>
        <v>3.2533155285878842E-4</v>
      </c>
      <c r="M1735">
        <v>10.6068181068251</v>
      </c>
      <c r="N1735">
        <v>10.607465826148401</v>
      </c>
      <c r="O1735" s="1">
        <v>2.3881209287413803E-7</v>
      </c>
      <c r="P1735" s="2">
        <f t="shared" si="83"/>
        <v>1.7567800555130968</v>
      </c>
    </row>
    <row r="1736" spans="2:16" x14ac:dyDescent="0.25">
      <c r="B1736">
        <v>1735</v>
      </c>
      <c r="C1736">
        <v>-0.25410084135843197</v>
      </c>
      <c r="D1736">
        <v>-0.22389464383834601</v>
      </c>
      <c r="E1736">
        <v>0.25826895031625202</v>
      </c>
      <c r="F1736">
        <f t="shared" si="81"/>
        <v>-3.0206197520085964E-2</v>
      </c>
      <c r="G1736" s="2">
        <f t="shared" si="82"/>
        <v>3.5328070505772765E-3</v>
      </c>
      <c r="M1736">
        <v>1.00164600494746</v>
      </c>
      <c r="N1736">
        <v>1.0016659717685199</v>
      </c>
      <c r="O1736" s="1">
        <v>8.2518346799005603E-9</v>
      </c>
      <c r="P1736" s="2">
        <f t="shared" si="83"/>
        <v>4.8313370141540184E-2</v>
      </c>
    </row>
    <row r="1737" spans="2:16" x14ac:dyDescent="0.25">
      <c r="B1737">
        <v>1736</v>
      </c>
      <c r="C1737">
        <v>-0.20152536317770101</v>
      </c>
      <c r="D1737">
        <v>-0.22486716462142001</v>
      </c>
      <c r="E1737">
        <v>0.16244988801561699</v>
      </c>
      <c r="F1737">
        <f t="shared" si="81"/>
        <v>2.3341801443719001E-2</v>
      </c>
      <c r="G1737" s="2">
        <f t="shared" si="82"/>
        <v>3.3538939379608853E-3</v>
      </c>
      <c r="M1737">
        <v>22.971147859251701</v>
      </c>
      <c r="N1737">
        <v>22.971384251839901</v>
      </c>
      <c r="O1737" s="1">
        <v>8.36151524639965E-7</v>
      </c>
      <c r="P1737" s="2">
        <f t="shared" si="83"/>
        <v>6.6831733374733193E-2</v>
      </c>
    </row>
    <row r="1738" spans="2:16" x14ac:dyDescent="0.25">
      <c r="B1738">
        <v>1737</v>
      </c>
      <c r="C1738">
        <v>-0.22185781294442</v>
      </c>
      <c r="D1738">
        <v>-0.21741755807774699</v>
      </c>
      <c r="E1738">
        <v>0.19688355665792601</v>
      </c>
      <c r="F1738">
        <f t="shared" si="81"/>
        <v>-4.4402548666730157E-3</v>
      </c>
      <c r="G1738" s="2">
        <f t="shared" si="82"/>
        <v>1.0013971514781497E-4</v>
      </c>
      <c r="M1738">
        <v>9.6985788145763703</v>
      </c>
      <c r="N1738">
        <v>9.6986626671129308</v>
      </c>
      <c r="O1738" s="1">
        <v>1.5762332650593299E-7</v>
      </c>
      <c r="P1738" s="2">
        <f t="shared" si="83"/>
        <v>4.4607914599287521E-2</v>
      </c>
    </row>
    <row r="1739" spans="2:16" x14ac:dyDescent="0.25">
      <c r="B1739">
        <v>1738</v>
      </c>
      <c r="C1739">
        <v>-0.19019705437180201</v>
      </c>
      <c r="D1739">
        <v>-0.21816434307753799</v>
      </c>
      <c r="E1739">
        <v>0.14469967796684099</v>
      </c>
      <c r="F1739">
        <f t="shared" si="81"/>
        <v>2.7967288705735976E-2</v>
      </c>
      <c r="G1739" s="2">
        <f t="shared" si="82"/>
        <v>5.4054663323385354E-3</v>
      </c>
      <c r="M1739">
        <v>10.6093474183902</v>
      </c>
      <c r="N1739">
        <v>10.6093701185829</v>
      </c>
      <c r="O1739" s="1">
        <v>2.02447213876153E-7</v>
      </c>
      <c r="P1739" s="2">
        <f t="shared" si="83"/>
        <v>2.5453486799907506E-3</v>
      </c>
    </row>
    <row r="1740" spans="2:16" x14ac:dyDescent="0.25">
      <c r="B1740">
        <v>1739</v>
      </c>
      <c r="C1740">
        <v>-0.238305165531258</v>
      </c>
      <c r="D1740">
        <v>-0.214677433067123</v>
      </c>
      <c r="E1740">
        <v>0.22715740767552101</v>
      </c>
      <c r="F1740">
        <f t="shared" si="81"/>
        <v>-2.3627732464134993E-2</v>
      </c>
      <c r="G1740" s="2">
        <f t="shared" si="82"/>
        <v>2.4576338808822346E-3</v>
      </c>
      <c r="M1740">
        <v>1.0011026321773899</v>
      </c>
      <c r="N1740">
        <v>1.0011976928289801</v>
      </c>
      <c r="O1740" s="1">
        <v>2.9817112857754399E-9</v>
      </c>
      <c r="P1740" s="2">
        <f t="shared" si="83"/>
        <v>3.0306513993671138</v>
      </c>
    </row>
    <row r="1741" spans="2:16" x14ac:dyDescent="0.25">
      <c r="B1741">
        <v>1740</v>
      </c>
      <c r="C1741">
        <v>-0.189142820762844</v>
      </c>
      <c r="D1741">
        <v>-0.20800061645401</v>
      </c>
      <c r="E1741">
        <v>0.14310002658450099</v>
      </c>
      <c r="F1741">
        <f t="shared" si="81"/>
        <v>1.8857795691165996E-2</v>
      </c>
      <c r="G1741" s="2">
        <f t="shared" si="82"/>
        <v>2.4850900926965671E-3</v>
      </c>
      <c r="M1741">
        <v>22.9822134885571</v>
      </c>
      <c r="N1741">
        <v>22.9807690245365</v>
      </c>
      <c r="O1741" s="1">
        <v>1.9082423557959698E-6</v>
      </c>
      <c r="P1741" s="2">
        <f t="shared" si="83"/>
        <v>1.0934021564257801</v>
      </c>
    </row>
    <row r="1742" spans="2:16" x14ac:dyDescent="0.25">
      <c r="B1742">
        <v>1741</v>
      </c>
      <c r="C1742">
        <v>-0.25695281231246497</v>
      </c>
      <c r="D1742">
        <v>-0.20576232806779499</v>
      </c>
      <c r="E1742">
        <v>0.26409899102113898</v>
      </c>
      <c r="F1742">
        <f t="shared" si="81"/>
        <v>-5.1190484244669987E-2</v>
      </c>
      <c r="G1742" s="2">
        <f t="shared" si="82"/>
        <v>9.922285833322473E-3</v>
      </c>
      <c r="M1742">
        <v>9.7020444687383396</v>
      </c>
      <c r="N1742">
        <v>9.7011630494105603</v>
      </c>
      <c r="O1742" s="1">
        <v>2.9714463955459802E-7</v>
      </c>
      <c r="P1742" s="2">
        <f t="shared" si="83"/>
        <v>2.6145517299165695</v>
      </c>
    </row>
    <row r="1743" spans="2:16" x14ac:dyDescent="0.25">
      <c r="B1743">
        <v>1742</v>
      </c>
      <c r="C1743">
        <v>-0.241588717407275</v>
      </c>
      <c r="D1743">
        <v>-0.20599287600226701</v>
      </c>
      <c r="E1743">
        <v>0.233460433513969</v>
      </c>
      <c r="F1743">
        <f t="shared" si="81"/>
        <v>-3.5595841405007989E-2</v>
      </c>
      <c r="G1743" s="2">
        <f t="shared" si="82"/>
        <v>5.4273176240575548E-3</v>
      </c>
      <c r="M1743">
        <v>10.611839977102299</v>
      </c>
      <c r="N1743">
        <v>10.610930609637901</v>
      </c>
      <c r="O1743" s="1">
        <v>3.1697913609014502E-7</v>
      </c>
      <c r="P1743" s="2">
        <f t="shared" si="83"/>
        <v>2.6088442145018913</v>
      </c>
    </row>
    <row r="1744" spans="2:16" x14ac:dyDescent="0.25">
      <c r="B1744">
        <v>1743</v>
      </c>
      <c r="C1744">
        <v>-0.19847596492775399</v>
      </c>
      <c r="D1744">
        <v>-0.196945963985488</v>
      </c>
      <c r="E1744">
        <v>0.15757083461601201</v>
      </c>
      <c r="F1744">
        <f t="shared" si="81"/>
        <v>-1.530000942265991E-3</v>
      </c>
      <c r="G1744" s="2">
        <f t="shared" si="82"/>
        <v>1.4856193971678963E-5</v>
      </c>
      <c r="M1744">
        <v>1.0007404802316899</v>
      </c>
      <c r="N1744">
        <v>1.0008141828971</v>
      </c>
      <c r="O1744" s="1">
        <v>3.1531480912455599E-9</v>
      </c>
      <c r="P1744" s="2">
        <f t="shared" si="83"/>
        <v>1.7227490531225966</v>
      </c>
    </row>
    <row r="1745" spans="2:16" x14ac:dyDescent="0.25">
      <c r="B1745">
        <v>1744</v>
      </c>
      <c r="C1745">
        <v>-0.209744170564718</v>
      </c>
      <c r="D1745">
        <v>-0.19908059663838801</v>
      </c>
      <c r="E1745">
        <v>0.175970468343526</v>
      </c>
      <c r="F1745">
        <f t="shared" si="81"/>
        <v>-1.0663573926329994E-2</v>
      </c>
      <c r="G1745" s="2">
        <f t="shared" si="82"/>
        <v>6.4619825106289417E-4</v>
      </c>
      <c r="M1745">
        <v>22.986716166513599</v>
      </c>
      <c r="N1745">
        <v>22.987080556224001</v>
      </c>
      <c r="O1745" s="1">
        <v>7.1828991607731401E-7</v>
      </c>
      <c r="P1745" s="2">
        <f t="shared" si="83"/>
        <v>0.184855527099655</v>
      </c>
    </row>
    <row r="1746" spans="2:16" x14ac:dyDescent="0.25">
      <c r="B1746">
        <v>1745</v>
      </c>
      <c r="C1746">
        <v>-0.19910706491317401</v>
      </c>
      <c r="D1746">
        <v>-0.20112545791498501</v>
      </c>
      <c r="E1746">
        <v>0.15857449319335501</v>
      </c>
      <c r="F1746">
        <f t="shared" si="81"/>
        <v>2.018393001811003E-3</v>
      </c>
      <c r="G1746" s="2">
        <f t="shared" si="82"/>
        <v>2.5690829765365741E-5</v>
      </c>
      <c r="M1746">
        <v>9.7026231852267806</v>
      </c>
      <c r="N1746">
        <v>9.7028444171341999</v>
      </c>
      <c r="O1746" s="1">
        <v>1.42411909723505E-7</v>
      </c>
      <c r="P1746" s="2">
        <f t="shared" si="83"/>
        <v>0.34367600964978362</v>
      </c>
    </row>
    <row r="1747" spans="2:16" x14ac:dyDescent="0.25">
      <c r="B1747">
        <v>1746</v>
      </c>
      <c r="C1747">
        <v>-0.208456611461831</v>
      </c>
      <c r="D1747">
        <v>-0.203392825116258</v>
      </c>
      <c r="E1747">
        <v>0.17381663544859499</v>
      </c>
      <c r="F1747">
        <f t="shared" si="81"/>
        <v>-5.0637863455730014E-3</v>
      </c>
      <c r="G1747" s="2">
        <f t="shared" si="82"/>
        <v>1.4752288863165223E-4</v>
      </c>
      <c r="M1747">
        <v>10.611738287379101</v>
      </c>
      <c r="N1747">
        <v>10.6119798557684</v>
      </c>
      <c r="O1747" s="1">
        <v>1.6464142753132999E-7</v>
      </c>
      <c r="P1747" s="2">
        <f t="shared" si="83"/>
        <v>0.35443865850510681</v>
      </c>
    </row>
    <row r="1748" spans="2:16" x14ac:dyDescent="0.25">
      <c r="B1748">
        <v>1747</v>
      </c>
      <c r="C1748">
        <v>-0.196247382752956</v>
      </c>
      <c r="D1748">
        <v>-0.20311975960581499</v>
      </c>
      <c r="E1748">
        <v>0.15405214094954101</v>
      </c>
      <c r="F1748">
        <f t="shared" si="81"/>
        <v>6.8723768528589912E-3</v>
      </c>
      <c r="G1748" s="2">
        <f t="shared" si="82"/>
        <v>3.0658167628570549E-4</v>
      </c>
      <c r="M1748">
        <v>1.0005148731494</v>
      </c>
      <c r="N1748">
        <v>1.0005564320075899</v>
      </c>
      <c r="O1748" s="1">
        <v>5.3377612306071496E-9</v>
      </c>
      <c r="P1748" s="2">
        <f t="shared" si="83"/>
        <v>0.32356986748397304</v>
      </c>
    </row>
    <row r="1749" spans="2:16" x14ac:dyDescent="0.25">
      <c r="B1749">
        <v>1748</v>
      </c>
      <c r="C1749">
        <v>-0.20079791469708999</v>
      </c>
      <c r="D1749">
        <v>-0.20312691203920399</v>
      </c>
      <c r="E1749">
        <v>0.161279210186799</v>
      </c>
      <c r="F1749">
        <f t="shared" si="81"/>
        <v>2.3289973421140031E-3</v>
      </c>
      <c r="G1749" s="2">
        <f t="shared" si="82"/>
        <v>3.3632534616777747E-5</v>
      </c>
      <c r="M1749">
        <v>22.993327523538699</v>
      </c>
      <c r="N1749">
        <v>22.992405821379801</v>
      </c>
      <c r="O1749" s="1">
        <v>6.3601341718001398E-7</v>
      </c>
      <c r="P1749" s="2">
        <f t="shared" si="83"/>
        <v>1.3357184719217077</v>
      </c>
    </row>
    <row r="1750" spans="2:16" x14ac:dyDescent="0.25">
      <c r="B1750">
        <v>1749</v>
      </c>
      <c r="C1750">
        <v>-0.192248533417468</v>
      </c>
      <c r="D1750">
        <v>-0.21034502481067599</v>
      </c>
      <c r="E1750">
        <v>0.14783799440466899</v>
      </c>
      <c r="F1750">
        <f t="shared" si="81"/>
        <v>1.8096491393207986E-2</v>
      </c>
      <c r="G1750" s="2">
        <f t="shared" si="82"/>
        <v>2.2151477505034946E-3</v>
      </c>
      <c r="M1750">
        <v>9.7045726476961391</v>
      </c>
      <c r="N1750">
        <v>9.7042629147901298</v>
      </c>
      <c r="O1750" s="1">
        <v>1.10356119887492E-7</v>
      </c>
      <c r="P1750" s="2">
        <f t="shared" si="83"/>
        <v>0.86931719928889917</v>
      </c>
    </row>
    <row r="1751" spans="2:16" x14ac:dyDescent="0.25">
      <c r="B1751">
        <v>1750</v>
      </c>
      <c r="C1751">
        <v>-0.20060939389597801</v>
      </c>
      <c r="D1751">
        <v>-0.212299333351783</v>
      </c>
      <c r="E1751">
        <v>0.160976515677247</v>
      </c>
      <c r="F1751">
        <f t="shared" si="81"/>
        <v>1.1689939455804987E-2</v>
      </c>
      <c r="G1751" s="2">
        <f t="shared" si="82"/>
        <v>8.4891068678846727E-4</v>
      </c>
      <c r="M1751">
        <v>10.6132170226245</v>
      </c>
      <c r="N1751">
        <v>10.612864998892601</v>
      </c>
      <c r="O1751" s="1">
        <v>1.36492007374536E-7</v>
      </c>
      <c r="P1751" s="2">
        <f t="shared" si="83"/>
        <v>0.90789717437729478</v>
      </c>
    </row>
    <row r="1752" spans="2:16" x14ac:dyDescent="0.25">
      <c r="B1752">
        <v>1751</v>
      </c>
      <c r="C1752">
        <v>-0.212817230644649</v>
      </c>
      <c r="D1752">
        <v>-0.21246848398378301</v>
      </c>
      <c r="E1752">
        <v>0.181164694637031</v>
      </c>
      <c r="F1752">
        <f t="shared" si="81"/>
        <v>-3.4874666086598394E-4</v>
      </c>
      <c r="G1752" s="2">
        <f t="shared" si="82"/>
        <v>6.7134622288769603E-7</v>
      </c>
      <c r="M1752">
        <v>1.00044366098704</v>
      </c>
      <c r="N1752">
        <v>1.00033906501206</v>
      </c>
      <c r="O1752" s="1">
        <v>3.5953947770914701E-9</v>
      </c>
      <c r="P1752" s="2">
        <f t="shared" si="83"/>
        <v>3.0428697431800056</v>
      </c>
    </row>
    <row r="1753" spans="2:16" x14ac:dyDescent="0.25">
      <c r="B1753">
        <v>1752</v>
      </c>
      <c r="C1753">
        <v>-0.18551666278405499</v>
      </c>
      <c r="D1753">
        <v>-0.21728792394405599</v>
      </c>
      <c r="E1753">
        <v>0.13766572868213101</v>
      </c>
      <c r="F1753">
        <f t="shared" si="81"/>
        <v>3.1771261160001008E-2</v>
      </c>
      <c r="G1753" s="2">
        <f t="shared" si="82"/>
        <v>7.3323480386880795E-3</v>
      </c>
      <c r="M1753">
        <v>22.994813510095199</v>
      </c>
      <c r="N1753">
        <v>22.9924470190523</v>
      </c>
      <c r="O1753" s="1">
        <v>1.5424273963988899E-6</v>
      </c>
      <c r="P1753" s="2">
        <f t="shared" si="83"/>
        <v>3.6308223448291033</v>
      </c>
    </row>
    <row r="1754" spans="2:16" x14ac:dyDescent="0.25">
      <c r="B1754">
        <v>1753</v>
      </c>
      <c r="C1754">
        <v>-0.19296344924276901</v>
      </c>
      <c r="D1754">
        <v>-0.21860198744730799</v>
      </c>
      <c r="E1754">
        <v>0.14893957097466701</v>
      </c>
      <c r="F1754">
        <f t="shared" si="81"/>
        <v>2.5638538204538985E-2</v>
      </c>
      <c r="G1754" s="2">
        <f t="shared" si="82"/>
        <v>4.4134318164338647E-3</v>
      </c>
      <c r="M1754">
        <v>9.7049499371266101</v>
      </c>
      <c r="N1754">
        <v>9.7042738881941197</v>
      </c>
      <c r="O1754" s="1">
        <v>2.4328006515650598E-7</v>
      </c>
      <c r="P1754" s="2">
        <f t="shared" si="83"/>
        <v>1.8786667079663544</v>
      </c>
    </row>
    <row r="1755" spans="2:16" x14ac:dyDescent="0.25">
      <c r="B1755">
        <v>1754</v>
      </c>
      <c r="C1755">
        <v>-0.17423364696945201</v>
      </c>
      <c r="D1755">
        <v>-0.22001582831993099</v>
      </c>
      <c r="E1755">
        <v>0.121429454945102</v>
      </c>
      <c r="F1755">
        <f t="shared" si="81"/>
        <v>4.5782181350478984E-2</v>
      </c>
      <c r="G1755" s="2">
        <f t="shared" si="82"/>
        <v>1.726111782479586E-2</v>
      </c>
      <c r="M1755">
        <v>10.614061296992199</v>
      </c>
      <c r="N1755">
        <v>10.612871846084699</v>
      </c>
      <c r="O1755" s="1">
        <v>3.1831714170951298E-7</v>
      </c>
      <c r="P1755" s="2">
        <f t="shared" si="83"/>
        <v>4.4446034346570311</v>
      </c>
    </row>
    <row r="1756" spans="2:16" x14ac:dyDescent="0.25">
      <c r="B1756">
        <v>1755</v>
      </c>
      <c r="C1756">
        <v>-0.20835157601908399</v>
      </c>
      <c r="D1756">
        <v>-0.221390508707794</v>
      </c>
      <c r="E1756">
        <v>0.17364151691854399</v>
      </c>
      <c r="F1756">
        <f t="shared" si="81"/>
        <v>1.3038932688710009E-2</v>
      </c>
      <c r="G1756" s="2">
        <f t="shared" si="82"/>
        <v>9.79107811759469E-4</v>
      </c>
      <c r="M1756">
        <v>1.0002096400402301</v>
      </c>
      <c r="N1756">
        <v>1.0003373837832901</v>
      </c>
      <c r="O1756" s="1">
        <v>7.3988405459383102E-9</v>
      </c>
      <c r="P1756" s="2">
        <f t="shared" si="83"/>
        <v>2.2055433942202733</v>
      </c>
    </row>
    <row r="1757" spans="2:16" x14ac:dyDescent="0.25">
      <c r="B1757">
        <v>1756</v>
      </c>
      <c r="C1757">
        <v>-0.19656325642375699</v>
      </c>
      <c r="D1757">
        <v>-0.21797633636084099</v>
      </c>
      <c r="E1757">
        <v>0.15454845510364601</v>
      </c>
      <c r="F1757">
        <f t="shared" si="81"/>
        <v>2.1413079937083995E-2</v>
      </c>
      <c r="G1757" s="2">
        <f t="shared" si="82"/>
        <v>2.9668364661713919E-3</v>
      </c>
      <c r="M1757">
        <v>22.992104800568899</v>
      </c>
      <c r="N1757">
        <v>22.9938650569452</v>
      </c>
      <c r="O1757" s="1">
        <v>1.10942711171211E-6</v>
      </c>
      <c r="P1757" s="2">
        <f t="shared" si="83"/>
        <v>2.7928851545057825</v>
      </c>
    </row>
    <row r="1758" spans="2:16" x14ac:dyDescent="0.25">
      <c r="B1758">
        <v>1757</v>
      </c>
      <c r="C1758">
        <v>-0.18320444944723799</v>
      </c>
      <c r="D1758">
        <v>-0.22528262017326001</v>
      </c>
      <c r="E1758">
        <v>0.134255481189062</v>
      </c>
      <c r="F1758">
        <f t="shared" si="81"/>
        <v>4.2078170726022018E-2</v>
      </c>
      <c r="G1758" s="2">
        <f t="shared" si="82"/>
        <v>1.3188083167754551E-2</v>
      </c>
      <c r="M1758">
        <v>9.7036731921916193</v>
      </c>
      <c r="N1758">
        <v>9.7046515920676502</v>
      </c>
      <c r="O1758" s="1">
        <v>2.25264430387827E-7</v>
      </c>
      <c r="P1758" s="2">
        <f t="shared" si="83"/>
        <v>4.2495227309928918</v>
      </c>
    </row>
    <row r="1759" spans="2:16" x14ac:dyDescent="0.25">
      <c r="B1759">
        <v>1758</v>
      </c>
      <c r="C1759">
        <v>-0.173431577229474</v>
      </c>
      <c r="D1759">
        <v>-0.224480650797412</v>
      </c>
      <c r="E1759">
        <v>0.120314047921211</v>
      </c>
      <c r="F1759">
        <f t="shared" si="81"/>
        <v>5.1049073567938003E-2</v>
      </c>
      <c r="G1759" s="2">
        <f t="shared" si="82"/>
        <v>2.1660046828873382E-2</v>
      </c>
      <c r="M1759">
        <v>10.6125387300276</v>
      </c>
      <c r="N1759">
        <v>10.613107523976399</v>
      </c>
      <c r="O1759" s="1">
        <v>2.3979122793821102E-7</v>
      </c>
      <c r="P1759" s="2">
        <f t="shared" si="83"/>
        <v>1.3492009652425176</v>
      </c>
    </row>
    <row r="1760" spans="2:16" x14ac:dyDescent="0.25">
      <c r="B1760">
        <v>1759</v>
      </c>
      <c r="C1760">
        <v>-0.18557731654624601</v>
      </c>
      <c r="D1760">
        <v>-0.22441468937623099</v>
      </c>
      <c r="E1760">
        <v>0.13775576166602199</v>
      </c>
      <c r="F1760">
        <f t="shared" si="81"/>
        <v>3.8837372829984979E-2</v>
      </c>
      <c r="G1760" s="2">
        <f t="shared" si="82"/>
        <v>1.0949389775740276E-2</v>
      </c>
      <c r="M1760">
        <v>1.00021050116197</v>
      </c>
      <c r="N1760">
        <v>1.0002795188759901</v>
      </c>
      <c r="O1760" s="1">
        <v>4.3044665192691102E-9</v>
      </c>
      <c r="P1760" s="2">
        <f t="shared" si="83"/>
        <v>1.1066283887306505</v>
      </c>
    </row>
    <row r="1761" spans="13:16" x14ac:dyDescent="0.25">
      <c r="M1761">
        <v>22.993609845430001</v>
      </c>
      <c r="N1761">
        <v>22.993196212224301</v>
      </c>
      <c r="O1761" s="1">
        <v>1.4171132001747501E-6</v>
      </c>
      <c r="P1761" s="2">
        <f t="shared" si="83"/>
        <v>0.12073307117320324</v>
      </c>
    </row>
    <row r="1762" spans="13:16" x14ac:dyDescent="0.25">
      <c r="M1762">
        <v>9.7043443674608501</v>
      </c>
      <c r="N1762">
        <v>9.7044734418751801</v>
      </c>
      <c r="O1762" s="1">
        <v>2.9889740884007799E-7</v>
      </c>
      <c r="P1762" s="2">
        <f t="shared" si="83"/>
        <v>5.5738872074218189E-2</v>
      </c>
    </row>
    <row r="1763" spans="13:16" x14ac:dyDescent="0.25">
      <c r="M1763">
        <v>10.6132671920269</v>
      </c>
      <c r="N1763">
        <v>10.6129963631456</v>
      </c>
      <c r="O1763" s="1">
        <v>2.76749093634614E-7</v>
      </c>
      <c r="P1763" s="2">
        <f t="shared" si="83"/>
        <v>0.26503531405623293</v>
      </c>
    </row>
    <row r="1764" spans="13:16" x14ac:dyDescent="0.25">
      <c r="M1764">
        <v>1.00011440858446</v>
      </c>
      <c r="N1764">
        <v>1.0003068111056399</v>
      </c>
      <c r="O1764" s="1">
        <v>7.0806389299491003E-9</v>
      </c>
      <c r="P1764" s="2">
        <f t="shared" si="83"/>
        <v>5.2281623907989569</v>
      </c>
    </row>
    <row r="1765" spans="13:16" x14ac:dyDescent="0.25">
      <c r="M1765">
        <v>6.0442790474472599</v>
      </c>
      <c r="N1765">
        <v>6.0443324760961801</v>
      </c>
      <c r="O1765" s="1">
        <v>4.9359504321737697E-8</v>
      </c>
      <c r="P1765" s="2">
        <f t="shared" si="83"/>
        <v>5.7833249435259887E-2</v>
      </c>
    </row>
    <row r="1766" spans="13:16" x14ac:dyDescent="0.25">
      <c r="M1766">
        <v>0.95302525862630705</v>
      </c>
      <c r="N1766">
        <v>0.95303469278779196</v>
      </c>
      <c r="O1766" s="1">
        <v>1.38572741115451E-9</v>
      </c>
      <c r="P1766" s="2">
        <f t="shared" si="83"/>
        <v>6.4228651469940085E-2</v>
      </c>
    </row>
    <row r="1767" spans="13:16" x14ac:dyDescent="0.25">
      <c r="M1767">
        <v>6.0438296585977103</v>
      </c>
      <c r="N1767">
        <v>6.04408165371719</v>
      </c>
      <c r="O1767" s="1">
        <v>4.1954789387608798E-8</v>
      </c>
      <c r="P1767" s="2">
        <f t="shared" si="83"/>
        <v>1.5135707071466709</v>
      </c>
    </row>
    <row r="1768" spans="13:16" x14ac:dyDescent="0.25">
      <c r="M1768">
        <v>0.95299950494989805</v>
      </c>
      <c r="N1768">
        <v>0.95306133755049405</v>
      </c>
      <c r="O1768" s="1">
        <v>1.9870362474446702E-9</v>
      </c>
      <c r="P1768" s="2">
        <f t="shared" si="83"/>
        <v>1.9241070722194142</v>
      </c>
    </row>
    <row r="1769" spans="13:16" x14ac:dyDescent="0.25">
      <c r="M1769">
        <v>6.0439360447824502</v>
      </c>
      <c r="N1769">
        <v>6.0440577803915403</v>
      </c>
      <c r="O1769" s="1">
        <v>3.8038314482427099E-8</v>
      </c>
      <c r="P1769" s="2">
        <f t="shared" si="83"/>
        <v>0.38959556232150228</v>
      </c>
    </row>
    <row r="1770" spans="13:16" x14ac:dyDescent="0.25">
      <c r="M1770">
        <v>0.95303900907731298</v>
      </c>
      <c r="N1770">
        <v>0.95306387370094703</v>
      </c>
      <c r="O1770" s="1">
        <v>1.39581164857728E-9</v>
      </c>
      <c r="P1770" s="2">
        <f t="shared" si="83"/>
        <v>0.44293190208933847</v>
      </c>
    </row>
    <row r="1771" spans="13:16" x14ac:dyDescent="0.25">
      <c r="M1771">
        <v>6.0439311005212497</v>
      </c>
      <c r="N1771">
        <v>6.0440852414736597</v>
      </c>
      <c r="O1771" s="1">
        <v>3.2438027644935698E-8</v>
      </c>
      <c r="P1771" s="2">
        <f t="shared" si="83"/>
        <v>0.73245616132758096</v>
      </c>
    </row>
    <row r="1772" spans="13:16" x14ac:dyDescent="0.25">
      <c r="M1772">
        <v>0.95303015320360096</v>
      </c>
      <c r="N1772">
        <v>0.95306095641148802</v>
      </c>
      <c r="O1772" s="1">
        <v>1.02775472209183E-9</v>
      </c>
      <c r="P1772" s="2">
        <f t="shared" si="83"/>
        <v>0.92321406629250136</v>
      </c>
    </row>
    <row r="1773" spans="13:16" x14ac:dyDescent="0.25">
      <c r="M1773">
        <v>6.0440117439253296</v>
      </c>
      <c r="N1773">
        <v>6.0438238852332402</v>
      </c>
      <c r="O1773" s="1">
        <v>3.3826983895250801E-8</v>
      </c>
      <c r="P1773" s="2">
        <f t="shared" si="83"/>
        <v>1.0432762289068236</v>
      </c>
    </row>
    <row r="1774" spans="13:16" x14ac:dyDescent="0.25">
      <c r="M1774">
        <v>0.95311873751965603</v>
      </c>
      <c r="N1774">
        <v>0.95308872212350904</v>
      </c>
      <c r="O1774" s="1">
        <v>8.22845616603732E-10</v>
      </c>
      <c r="P1774" s="2">
        <f t="shared" si="83"/>
        <v>1.0948882605461068</v>
      </c>
    </row>
    <row r="1775" spans="13:16" x14ac:dyDescent="0.25">
      <c r="M1775">
        <v>6.0437299290722004</v>
      </c>
      <c r="N1775">
        <v>6.0437595460119304</v>
      </c>
      <c r="O1775" s="1">
        <v>2.5358893031017799E-8</v>
      </c>
      <c r="P1775" s="2">
        <f t="shared" si="83"/>
        <v>3.4589960922154377E-2</v>
      </c>
    </row>
    <row r="1776" spans="13:16" x14ac:dyDescent="0.25">
      <c r="M1776">
        <v>0.95308853716840802</v>
      </c>
      <c r="N1776">
        <v>0.95309555763985598</v>
      </c>
      <c r="O1776" s="1">
        <v>1.1975646211260001E-9</v>
      </c>
      <c r="P1776" s="2">
        <f t="shared" si="83"/>
        <v>4.1156041588208021E-2</v>
      </c>
    </row>
    <row r="1777" spans="13:16" x14ac:dyDescent="0.25">
      <c r="M1777">
        <v>6.0436289765780904</v>
      </c>
      <c r="N1777">
        <v>6.0436914898712697</v>
      </c>
      <c r="O1777" s="1">
        <v>2.9310893791109102E-8</v>
      </c>
      <c r="P1777" s="2">
        <f t="shared" si="83"/>
        <v>0.13332625923903282</v>
      </c>
    </row>
    <row r="1778" spans="13:16" x14ac:dyDescent="0.25">
      <c r="M1778">
        <v>0.95308803261656705</v>
      </c>
      <c r="N1778">
        <v>0.95310278818105199</v>
      </c>
      <c r="O1778" s="1">
        <v>1.36367010619429E-9</v>
      </c>
      <c r="P1778" s="2">
        <f t="shared" si="83"/>
        <v>0.15966228362718815</v>
      </c>
    </row>
    <row r="1779" spans="13:16" x14ac:dyDescent="0.25">
      <c r="M1779">
        <v>6.0432107939115296</v>
      </c>
      <c r="N1779">
        <v>6.0434163919836301</v>
      </c>
      <c r="O1779" s="1">
        <v>3.9689984465920698E-8</v>
      </c>
      <c r="P1779" s="2">
        <f t="shared" si="83"/>
        <v>1.0650184881716502</v>
      </c>
    </row>
    <row r="1780" spans="13:16" x14ac:dyDescent="0.25">
      <c r="M1780">
        <v>0.95309102953153102</v>
      </c>
      <c r="N1780">
        <v>0.95313201700754002</v>
      </c>
      <c r="O1780" s="1">
        <v>1.2858316074465301E-9</v>
      </c>
      <c r="P1780" s="2">
        <f t="shared" si="83"/>
        <v>1.3065265932641967</v>
      </c>
    </row>
    <row r="1781" spans="13:16" x14ac:dyDescent="0.25">
      <c r="M1781">
        <v>6.04330674248832</v>
      </c>
      <c r="N1781">
        <v>6.0430873321376897</v>
      </c>
      <c r="O1781" s="1">
        <v>5.3254759508621899E-8</v>
      </c>
      <c r="P1781" s="2">
        <f t="shared" si="83"/>
        <v>0.90397369940111982</v>
      </c>
    </row>
    <row r="1782" spans="13:16" x14ac:dyDescent="0.25">
      <c r="M1782">
        <v>0.95319909917859102</v>
      </c>
      <c r="N1782">
        <v>0.95316698215359497</v>
      </c>
      <c r="O1782" s="1">
        <v>1.0686926115121201E-9</v>
      </c>
      <c r="P1782" s="2">
        <f t="shared" si="83"/>
        <v>0.96520110973535733</v>
      </c>
    </row>
    <row r="1783" spans="13:16" x14ac:dyDescent="0.25">
      <c r="M1783">
        <v>6.0432290350835398</v>
      </c>
      <c r="N1783">
        <v>6.0433220970278301</v>
      </c>
      <c r="O1783" s="1">
        <v>3.6951152790828003E-8</v>
      </c>
      <c r="P1783" s="2">
        <f t="shared" si="83"/>
        <v>0.23437768028805939</v>
      </c>
    </row>
    <row r="1784" spans="13:16" x14ac:dyDescent="0.25">
      <c r="M1784">
        <v>0.95312381869926199</v>
      </c>
      <c r="N1784">
        <v>0.95314203624798599</v>
      </c>
      <c r="O1784" s="1">
        <v>1.2682471241259E-9</v>
      </c>
      <c r="P1784" s="2">
        <f t="shared" si="83"/>
        <v>0.26168329121185147</v>
      </c>
    </row>
    <row r="1785" spans="13:16" x14ac:dyDescent="0.25">
      <c r="M1785">
        <v>6.0425780268164999</v>
      </c>
      <c r="N1785">
        <v>6.0427109455520602</v>
      </c>
      <c r="O1785" s="1">
        <v>2.8767031386221598E-8</v>
      </c>
      <c r="P1785" s="2">
        <f t="shared" si="83"/>
        <v>0.61415409973152368</v>
      </c>
    </row>
    <row r="1786" spans="13:16" x14ac:dyDescent="0.25">
      <c r="M1786">
        <v>0.95317687982646904</v>
      </c>
      <c r="N1786">
        <v>0.95320698003794102</v>
      </c>
      <c r="O1786" s="1">
        <v>1.1710914355402201E-9</v>
      </c>
      <c r="P1786" s="2">
        <f t="shared" si="83"/>
        <v>0.77365669593528252</v>
      </c>
    </row>
    <row r="1787" spans="13:16" x14ac:dyDescent="0.25">
      <c r="M1787">
        <v>6.04264172285166</v>
      </c>
      <c r="N1787">
        <v>6.0426573696406702</v>
      </c>
      <c r="O1787" s="1">
        <v>3.25203421000951E-8</v>
      </c>
      <c r="P1787" s="2">
        <f t="shared" si="83"/>
        <v>7.5282727831397266E-3</v>
      </c>
    </row>
    <row r="1788" spans="13:16" x14ac:dyDescent="0.25">
      <c r="M1788">
        <v>0.95320976708287597</v>
      </c>
      <c r="N1788">
        <v>0.95321267378684404</v>
      </c>
      <c r="O1788" s="1">
        <v>1.03824586331941E-9</v>
      </c>
      <c r="P1788" s="2">
        <f t="shared" si="83"/>
        <v>8.1376947951538273E-3</v>
      </c>
    </row>
    <row r="1789" spans="13:16" x14ac:dyDescent="0.25">
      <c r="M1789">
        <v>6.0424767279438401</v>
      </c>
      <c r="N1789">
        <v>6.0425135170516002</v>
      </c>
      <c r="O1789" s="1">
        <v>3.1756669700790202E-8</v>
      </c>
      <c r="P1789" s="2">
        <f t="shared" si="83"/>
        <v>4.26190297201035E-2</v>
      </c>
    </row>
    <row r="1790" spans="13:16" x14ac:dyDescent="0.25">
      <c r="M1790">
        <v>0.95321754924447</v>
      </c>
      <c r="N1790">
        <v>0.95322796205530702</v>
      </c>
      <c r="O1790" s="1">
        <v>2.0201122024275801E-9</v>
      </c>
      <c r="P1790" s="2">
        <f t="shared" si="83"/>
        <v>5.3673567932189165E-2</v>
      </c>
    </row>
    <row r="1791" spans="13:16" x14ac:dyDescent="0.25">
      <c r="M1791">
        <v>6.0418818197242503</v>
      </c>
      <c r="N1791">
        <v>6.0420433013830399</v>
      </c>
      <c r="O1791" s="1">
        <v>4.0772114227121098E-8</v>
      </c>
      <c r="P1791" s="2">
        <f t="shared" si="83"/>
        <v>0.63956276537885015</v>
      </c>
    </row>
    <row r="1792" spans="13:16" x14ac:dyDescent="0.25">
      <c r="M1792">
        <v>0.953240476869884</v>
      </c>
      <c r="N1792">
        <v>0.95327793956932805</v>
      </c>
      <c r="O1792" s="1">
        <v>1.71327670897446E-9</v>
      </c>
      <c r="P1792" s="2">
        <f t="shared" si="83"/>
        <v>0.81916356084419972</v>
      </c>
    </row>
    <row r="1793" spans="13:16" x14ac:dyDescent="0.25">
      <c r="M1793">
        <v>6.0420206369387799</v>
      </c>
      <c r="N1793">
        <v>6.0421953811464499</v>
      </c>
      <c r="O1793" s="1">
        <v>4.65497419266775E-8</v>
      </c>
      <c r="P1793" s="2">
        <f t="shared" si="83"/>
        <v>0.65597652855588751</v>
      </c>
    </row>
    <row r="1794" spans="13:16" x14ac:dyDescent="0.25">
      <c r="M1794">
        <v>0.95322405434149005</v>
      </c>
      <c r="N1794">
        <v>0.95326177485191399</v>
      </c>
      <c r="O1794" s="1">
        <v>1.9222436121071999E-9</v>
      </c>
      <c r="P1794" s="2">
        <f t="shared" si="83"/>
        <v>0.74019593441808451</v>
      </c>
    </row>
    <row r="1795" spans="13:16" x14ac:dyDescent="0.25">
      <c r="M1795">
        <v>6.0427263932637798</v>
      </c>
      <c r="N1795">
        <v>6.0425013614760896</v>
      </c>
      <c r="O1795" s="1">
        <v>5.5353653975872799E-8</v>
      </c>
      <c r="P1795" s="2">
        <f t="shared" ref="P1795:P1858" si="84">(M1795-N1795)^2/O1795</f>
        <v>0.91483220770049745</v>
      </c>
    </row>
    <row r="1796" spans="13:16" x14ac:dyDescent="0.25">
      <c r="M1796">
        <v>0.95326541253732899</v>
      </c>
      <c r="N1796">
        <v>0.95322925394527702</v>
      </c>
      <c r="O1796" s="1">
        <v>1.28964005029568E-9</v>
      </c>
      <c r="P1796" s="2">
        <f t="shared" si="84"/>
        <v>1.0138051922946443</v>
      </c>
    </row>
    <row r="1797" spans="13:16" x14ac:dyDescent="0.25">
      <c r="M1797">
        <v>3.83997993179258</v>
      </c>
      <c r="N1797">
        <v>3.8399437365239599</v>
      </c>
      <c r="O1797" s="1">
        <v>2.56650518105655E-8</v>
      </c>
      <c r="P1797" s="2">
        <f t="shared" si="84"/>
        <v>5.10459702224699E-2</v>
      </c>
    </row>
    <row r="1798" spans="13:16" x14ac:dyDescent="0.25">
      <c r="M1798">
        <v>1.6227799485461201</v>
      </c>
      <c r="N1798">
        <v>1.62268890840364</v>
      </c>
      <c r="O1798" s="1">
        <v>4.0613364415645301E-9</v>
      </c>
      <c r="P1798" s="2">
        <f t="shared" si="84"/>
        <v>2.0407832894530094</v>
      </c>
    </row>
    <row r="1799" spans="13:16" x14ac:dyDescent="0.25">
      <c r="M1799">
        <v>1.77632598718708</v>
      </c>
      <c r="N1799">
        <v>1.7762472104534399</v>
      </c>
      <c r="O1799" s="1">
        <v>7.2444451288819299E-9</v>
      </c>
      <c r="P1799" s="2">
        <f t="shared" si="84"/>
        <v>0.85662513175254862</v>
      </c>
    </row>
    <row r="1800" spans="13:16" x14ac:dyDescent="0.25">
      <c r="M1800">
        <v>1.0033530934469399</v>
      </c>
      <c r="N1800">
        <v>1.00328430270585</v>
      </c>
      <c r="O1800" s="1">
        <v>7.8930427659495505E-9</v>
      </c>
      <c r="P1800" s="2">
        <f t="shared" si="84"/>
        <v>0.59953635119167403</v>
      </c>
    </row>
    <row r="1801" spans="13:16" x14ac:dyDescent="0.25">
      <c r="M1801">
        <v>3.8403517031066099</v>
      </c>
      <c r="N1801">
        <v>3.8404611564293001</v>
      </c>
      <c r="O1801" s="1">
        <v>5.6296985779091399E-8</v>
      </c>
      <c r="P1801" s="2">
        <f t="shared" si="84"/>
        <v>0.21280055552054278</v>
      </c>
    </row>
    <row r="1802" spans="13:16" x14ac:dyDescent="0.25">
      <c r="M1802">
        <v>1.6228137984700901</v>
      </c>
      <c r="N1802">
        <v>1.6228292137856399</v>
      </c>
      <c r="O1802" s="1">
        <v>8.6486203917627303E-9</v>
      </c>
      <c r="P1802" s="2">
        <f t="shared" si="84"/>
        <v>2.7476284394106508E-2</v>
      </c>
    </row>
    <row r="1803" spans="13:16" x14ac:dyDescent="0.25">
      <c r="M1803">
        <v>1.7762875590298199</v>
      </c>
      <c r="N1803">
        <v>1.77633904211702</v>
      </c>
      <c r="O1803" s="1">
        <v>1.5121701585382099E-8</v>
      </c>
      <c r="P1803" s="2">
        <f t="shared" si="84"/>
        <v>0.17527844023912734</v>
      </c>
    </row>
    <row r="1804" spans="13:16" x14ac:dyDescent="0.25">
      <c r="M1804">
        <v>1.00313677535055</v>
      </c>
      <c r="N1804">
        <v>1.00316718468877</v>
      </c>
      <c r="O1804" s="1">
        <v>6.8852409931776798E-9</v>
      </c>
      <c r="P1804" s="2">
        <f t="shared" si="84"/>
        <v>0.13430580743539136</v>
      </c>
    </row>
    <row r="1805" spans="13:16" x14ac:dyDescent="0.25">
      <c r="M1805">
        <v>3.84111417218804</v>
      </c>
      <c r="N1805">
        <v>3.8413913287373802</v>
      </c>
      <c r="O1805" s="1">
        <v>8.7711564282324305E-8</v>
      </c>
      <c r="P1805" s="2">
        <f t="shared" si="84"/>
        <v>0.87577679717278945</v>
      </c>
    </row>
    <row r="1806" spans="13:16" x14ac:dyDescent="0.25">
      <c r="M1806">
        <v>1.6229315233805299</v>
      </c>
      <c r="N1806">
        <v>1.62308142551427</v>
      </c>
      <c r="O1806" s="1">
        <v>1.63805838730124E-8</v>
      </c>
      <c r="P1806" s="2">
        <f t="shared" si="84"/>
        <v>1.3717856380479159</v>
      </c>
    </row>
    <row r="1807" spans="13:16" x14ac:dyDescent="0.25">
      <c r="M1807">
        <v>1.77635967261774</v>
      </c>
      <c r="N1807">
        <v>1.7765041098868199</v>
      </c>
      <c r="O1807" s="1">
        <v>1.83559978296275E-8</v>
      </c>
      <c r="P1807" s="2">
        <f t="shared" si="84"/>
        <v>1.1365290458691051</v>
      </c>
    </row>
    <row r="1808" spans="13:16" x14ac:dyDescent="0.25">
      <c r="M1808">
        <v>1.0029042252431</v>
      </c>
      <c r="N1808">
        <v>1.0029567141922799</v>
      </c>
      <c r="O1808" s="1">
        <v>1.18575067030784E-8</v>
      </c>
      <c r="P1808" s="2">
        <f t="shared" si="84"/>
        <v>0.23234984006398512</v>
      </c>
    </row>
    <row r="1809" spans="13:16" x14ac:dyDescent="0.25">
      <c r="M1809">
        <v>3.8427903532712699</v>
      </c>
      <c r="N1809">
        <v>3.8425028623041899</v>
      </c>
      <c r="O1809" s="1">
        <v>7.4191685805787805E-8</v>
      </c>
      <c r="P1809" s="2">
        <f t="shared" si="84"/>
        <v>1.1140204627371104</v>
      </c>
    </row>
    <row r="1810" spans="13:16" x14ac:dyDescent="0.25">
      <c r="M1810">
        <v>1.6235398470270801</v>
      </c>
      <c r="N1810">
        <v>1.6233827837763699</v>
      </c>
      <c r="O1810" s="1">
        <v>1.9892528973630898E-8</v>
      </c>
      <c r="P1810" s="2">
        <f t="shared" si="84"/>
        <v>1.2401070148673292</v>
      </c>
    </row>
    <row r="1811" spans="13:16" x14ac:dyDescent="0.25">
      <c r="M1811">
        <v>1.77681300675181</v>
      </c>
      <c r="N1811">
        <v>1.7767013296037699</v>
      </c>
      <c r="O1811" s="1">
        <v>1.8427841747911001E-8</v>
      </c>
      <c r="P1811" s="2">
        <f t="shared" si="84"/>
        <v>0.67679034609544553</v>
      </c>
    </row>
    <row r="1812" spans="13:16" x14ac:dyDescent="0.25">
      <c r="M1812">
        <v>1.0028266641513299</v>
      </c>
      <c r="N1812">
        <v>1.00270533171961</v>
      </c>
      <c r="O1812" s="1">
        <v>1.1090912564849301E-8</v>
      </c>
      <c r="P1812" s="2">
        <f t="shared" si="84"/>
        <v>1.3273532634039398</v>
      </c>
    </row>
    <row r="1813" spans="13:16" x14ac:dyDescent="0.25">
      <c r="M1813">
        <v>3.8440836156755398</v>
      </c>
      <c r="N1813">
        <v>3.8439439525051702</v>
      </c>
      <c r="O1813" s="1">
        <v>4.7204407354926298E-8</v>
      </c>
      <c r="P1813" s="2">
        <f t="shared" si="84"/>
        <v>0.41321991421332166</v>
      </c>
    </row>
    <row r="1814" spans="13:16" x14ac:dyDescent="0.25">
      <c r="M1814">
        <v>1.6238861551527799</v>
      </c>
      <c r="N1814">
        <v>1.6237734447254399</v>
      </c>
      <c r="O1814" s="1">
        <v>1.4670645008775201E-8</v>
      </c>
      <c r="P1814" s="2">
        <f t="shared" si="84"/>
        <v>0.86592242014970022</v>
      </c>
    </row>
    <row r="1815" spans="13:16" x14ac:dyDescent="0.25">
      <c r="M1815">
        <v>1.7770519258428199</v>
      </c>
      <c r="N1815">
        <v>1.7769569703125201</v>
      </c>
      <c r="O1815" s="1">
        <v>1.6574762098200399E-8</v>
      </c>
      <c r="P1815" s="2">
        <f t="shared" si="84"/>
        <v>0.54399288997924355</v>
      </c>
    </row>
    <row r="1816" spans="13:16" x14ac:dyDescent="0.25">
      <c r="M1816">
        <v>1.00242212229362</v>
      </c>
      <c r="N1816">
        <v>1.0023796192783401</v>
      </c>
      <c r="O1816" s="1">
        <v>8.6635990633356895E-9</v>
      </c>
      <c r="P1816" s="2">
        <f t="shared" si="84"/>
        <v>0.20851684094368775</v>
      </c>
    </row>
    <row r="1817" spans="13:16" x14ac:dyDescent="0.25">
      <c r="M1817">
        <v>3.8456317521132202</v>
      </c>
      <c r="N1817">
        <v>3.8456169893086098</v>
      </c>
      <c r="O1817" s="1">
        <v>7.7760575451908896E-8</v>
      </c>
      <c r="P1817" s="2">
        <f t="shared" si="84"/>
        <v>2.8027107399352792E-3</v>
      </c>
    </row>
    <row r="1818" spans="13:16" x14ac:dyDescent="0.25">
      <c r="M1818">
        <v>1.62396074130381</v>
      </c>
      <c r="N1818">
        <v>1.6242269175850901</v>
      </c>
      <c r="O1818" s="1">
        <v>1.61095196577936E-8</v>
      </c>
      <c r="P1818" s="2">
        <f t="shared" si="84"/>
        <v>4.3980090170991364</v>
      </c>
    </row>
    <row r="1819" spans="13:16" x14ac:dyDescent="0.25">
      <c r="M1819">
        <v>1.77739870932396</v>
      </c>
      <c r="N1819">
        <v>1.77725368286899</v>
      </c>
      <c r="O1819" s="1">
        <v>1.44315329588011E-8</v>
      </c>
      <c r="P1819" s="2">
        <f t="shared" si="84"/>
        <v>1.4574108447955512</v>
      </c>
    </row>
    <row r="1820" spans="13:16" x14ac:dyDescent="0.25">
      <c r="M1820">
        <v>1.00187241625187</v>
      </c>
      <c r="N1820">
        <v>1.0020017684793701</v>
      </c>
      <c r="O1820" s="1">
        <v>1.14649615438301E-8</v>
      </c>
      <c r="P1820" s="2">
        <f t="shared" si="84"/>
        <v>1.4594029552800674</v>
      </c>
    </row>
    <row r="1821" spans="13:16" x14ac:dyDescent="0.25">
      <c r="M1821">
        <v>3.84668014512292</v>
      </c>
      <c r="N1821">
        <v>3.8463472336814801</v>
      </c>
      <c r="O1821" s="1">
        <v>7.32646830922801E-8</v>
      </c>
      <c r="P1821" s="2">
        <f t="shared" si="84"/>
        <v>1.5127346924026224</v>
      </c>
    </row>
    <row r="1822" spans="13:16" x14ac:dyDescent="0.25">
      <c r="M1822">
        <v>1.6244817676572301</v>
      </c>
      <c r="N1822">
        <v>1.6244248265178201</v>
      </c>
      <c r="O1822" s="1">
        <v>1.8262318841263201E-8</v>
      </c>
      <c r="P1822" s="2">
        <f t="shared" si="84"/>
        <v>0.17754006955485946</v>
      </c>
    </row>
    <row r="1823" spans="13:16" x14ac:dyDescent="0.25">
      <c r="M1823">
        <v>1.7776351638110199</v>
      </c>
      <c r="N1823">
        <v>1.77738316654105</v>
      </c>
      <c r="O1823" s="1">
        <v>1.6024388960578001E-8</v>
      </c>
      <c r="P1823" s="2">
        <f t="shared" si="84"/>
        <v>3.9628733568890993</v>
      </c>
    </row>
    <row r="1824" spans="13:16" x14ac:dyDescent="0.25">
      <c r="M1824">
        <v>1.0018840267800599</v>
      </c>
      <c r="N1824">
        <v>1.0018369409473</v>
      </c>
      <c r="O1824" s="1">
        <v>6.6327000740850304E-9</v>
      </c>
      <c r="P1824" s="2">
        <f t="shared" si="84"/>
        <v>0.33426442051216804</v>
      </c>
    </row>
    <row r="1825" spans="13:16" x14ac:dyDescent="0.25">
      <c r="M1825">
        <v>3.84618435196287</v>
      </c>
      <c r="N1825">
        <v>3.84652646398035</v>
      </c>
      <c r="O1825" s="1">
        <v>5.8616839392616301E-8</v>
      </c>
      <c r="P1825" s="2">
        <f t="shared" si="84"/>
        <v>1.996706641248805</v>
      </c>
    </row>
    <row r="1826" spans="13:16" x14ac:dyDescent="0.25">
      <c r="M1826">
        <v>1.6244262639331799</v>
      </c>
      <c r="N1826">
        <v>1.6244733989900799</v>
      </c>
      <c r="O1826" s="1">
        <v>1.21753557884744E-8</v>
      </c>
      <c r="P1826" s="2">
        <f t="shared" si="84"/>
        <v>0.18247627646913708</v>
      </c>
    </row>
    <row r="1827" spans="13:16" x14ac:dyDescent="0.25">
      <c r="M1827">
        <v>1.7770731639853301</v>
      </c>
      <c r="N1827">
        <v>1.7774149445418399</v>
      </c>
      <c r="O1827" s="1">
        <v>1.40000216266077E-8</v>
      </c>
      <c r="P1827" s="2">
        <f t="shared" si="84"/>
        <v>8.3438405970842027</v>
      </c>
    </row>
    <row r="1828" spans="13:16" x14ac:dyDescent="0.25">
      <c r="M1828">
        <v>1.00172616058282</v>
      </c>
      <c r="N1828">
        <v>1.0017964948029501</v>
      </c>
      <c r="O1828" s="1">
        <v>1.47557308590007E-8</v>
      </c>
      <c r="P1828" s="2">
        <f t="shared" si="84"/>
        <v>0.33525296500525981</v>
      </c>
    </row>
    <row r="1829" spans="13:16" x14ac:dyDescent="0.25">
      <c r="M1829">
        <v>3.84749751056005</v>
      </c>
      <c r="N1829">
        <v>3.8474128217718202</v>
      </c>
      <c r="O1829" s="1">
        <v>9.5182635953322002E-8</v>
      </c>
      <c r="P1829" s="2">
        <f t="shared" si="84"/>
        <v>7.5351883040328763E-2</v>
      </c>
    </row>
    <row r="1830" spans="13:16" x14ac:dyDescent="0.25">
      <c r="M1830">
        <v>1.6245665557726601</v>
      </c>
      <c r="N1830">
        <v>1.6247135952795699</v>
      </c>
      <c r="O1830" s="1">
        <v>2.3594140013802098E-8</v>
      </c>
      <c r="P1830" s="2">
        <f t="shared" si="84"/>
        <v>0.91635535686606895</v>
      </c>
    </row>
    <row r="1831" spans="13:16" x14ac:dyDescent="0.25">
      <c r="M1831">
        <v>1.7775722711111599</v>
      </c>
      <c r="N1831">
        <v>1.77757208468258</v>
      </c>
      <c r="O1831" s="1">
        <v>1.7093062583170901E-8</v>
      </c>
      <c r="P1831" s="2">
        <f t="shared" si="84"/>
        <v>2.0333170394127297E-6</v>
      </c>
    </row>
    <row r="1832" spans="13:16" x14ac:dyDescent="0.25">
      <c r="M1832">
        <v>1.0017276600833001</v>
      </c>
      <c r="N1832">
        <v>1.00159652588385</v>
      </c>
      <c r="O1832" s="1">
        <v>8.8730727382278206E-9</v>
      </c>
      <c r="P1832" s="2">
        <f t="shared" si="84"/>
        <v>1.9380184038537704</v>
      </c>
    </row>
    <row r="1833" spans="13:16" x14ac:dyDescent="0.25">
      <c r="M1833">
        <v>3.8482811734478202</v>
      </c>
      <c r="N1833">
        <v>3.8486928799292</v>
      </c>
      <c r="O1833" s="1">
        <v>6.1249922119711104E-8</v>
      </c>
      <c r="P1833" s="2">
        <f t="shared" si="84"/>
        <v>2.7673868136327271</v>
      </c>
    </row>
    <row r="1834" spans="13:16" x14ac:dyDescent="0.25">
      <c r="M1834">
        <v>1.62476277575421</v>
      </c>
      <c r="N1834">
        <v>1.625060446415</v>
      </c>
      <c r="O1834" s="1">
        <v>2.3354357031024699E-8</v>
      </c>
      <c r="P1834" s="2">
        <f t="shared" si="84"/>
        <v>3.7940595914265254</v>
      </c>
    </row>
    <row r="1835" spans="13:16" x14ac:dyDescent="0.25">
      <c r="M1835">
        <v>1.7774144307369899</v>
      </c>
      <c r="N1835">
        <v>1.7777989835975101</v>
      </c>
      <c r="O1835" s="1">
        <v>1.1032117181000599E-8</v>
      </c>
      <c r="P1835" s="2">
        <f t="shared" si="84"/>
        <v>13.404580472453837</v>
      </c>
    </row>
    <row r="1836" spans="13:16" x14ac:dyDescent="0.25">
      <c r="M1836">
        <v>1.00133126269158</v>
      </c>
      <c r="N1836">
        <v>1.00130788693621</v>
      </c>
      <c r="O1836" s="1">
        <v>9.1347023384575505E-9</v>
      </c>
      <c r="P1836" s="2">
        <f t="shared" si="84"/>
        <v>5.9818691280098674E-2</v>
      </c>
    </row>
    <row r="1837" spans="13:16" x14ac:dyDescent="0.25">
      <c r="M1837">
        <v>3.8491990292731502</v>
      </c>
      <c r="N1837">
        <v>3.8488502725010698</v>
      </c>
      <c r="O1837" s="1">
        <v>6.5809056484851302E-8</v>
      </c>
      <c r="P1837" s="2">
        <f t="shared" si="84"/>
        <v>1.8482454022100059</v>
      </c>
    </row>
    <row r="1838" spans="13:16" x14ac:dyDescent="0.25">
      <c r="M1838">
        <v>1.6252016776176701</v>
      </c>
      <c r="N1838">
        <v>1.62510309146115</v>
      </c>
      <c r="O1838" s="1">
        <v>1.31350101877049E-8</v>
      </c>
      <c r="P1838" s="2">
        <f t="shared" si="84"/>
        <v>0.73994843692710943</v>
      </c>
    </row>
    <row r="1839" spans="13:16" x14ac:dyDescent="0.25">
      <c r="M1839">
        <v>1.7780183973936701</v>
      </c>
      <c r="N1839">
        <v>1.7778268792780101</v>
      </c>
      <c r="O1839" s="1">
        <v>1.3275905176839E-8</v>
      </c>
      <c r="P1839" s="2">
        <f t="shared" si="84"/>
        <v>2.762839003244828</v>
      </c>
    </row>
    <row r="1840" spans="13:16" x14ac:dyDescent="0.25">
      <c r="M1840">
        <v>1.00131719213941</v>
      </c>
      <c r="N1840">
        <v>1.00127240902285</v>
      </c>
      <c r="O1840" s="1">
        <v>5.7289915821092399E-9</v>
      </c>
      <c r="P1840" s="2">
        <f t="shared" si="84"/>
        <v>0.35006641222643831</v>
      </c>
    </row>
    <row r="1841" spans="13:16" x14ac:dyDescent="0.25">
      <c r="M1841">
        <v>3.84948791106059</v>
      </c>
      <c r="N1841">
        <v>3.8495011989125798</v>
      </c>
      <c r="O1841" s="1">
        <v>5.7975699359758301E-8</v>
      </c>
      <c r="P1841" s="2">
        <f t="shared" si="84"/>
        <v>3.0455348094768435E-3</v>
      </c>
    </row>
    <row r="1842" spans="13:16" x14ac:dyDescent="0.25">
      <c r="M1842">
        <v>1.62510009514458</v>
      </c>
      <c r="N1842">
        <v>1.6252794513883699</v>
      </c>
      <c r="O1842" s="1">
        <v>1.3466307472620199E-8</v>
      </c>
      <c r="P1842" s="2">
        <f t="shared" si="84"/>
        <v>2.3888257602795937</v>
      </c>
    </row>
    <row r="1843" spans="13:16" x14ac:dyDescent="0.25">
      <c r="M1843">
        <v>1.77803020637918</v>
      </c>
      <c r="N1843">
        <v>1.77794223961526</v>
      </c>
      <c r="O1843" s="1">
        <v>1.40080642976133E-8</v>
      </c>
      <c r="P1843" s="2">
        <f t="shared" si="84"/>
        <v>0.55240691291455035</v>
      </c>
    </row>
    <row r="1844" spans="13:16" x14ac:dyDescent="0.25">
      <c r="M1844">
        <v>1.0010377249522</v>
      </c>
      <c r="N1844">
        <v>1.0011257122303601</v>
      </c>
      <c r="O1844" s="1">
        <v>7.6952773670009508E-9</v>
      </c>
      <c r="P1844" s="2">
        <f t="shared" si="84"/>
        <v>1.0060405556289016</v>
      </c>
    </row>
    <row r="1845" spans="13:16" x14ac:dyDescent="0.25">
      <c r="M1845">
        <v>3.8496821591580801</v>
      </c>
      <c r="N1845">
        <v>3.85017622578482</v>
      </c>
      <c r="O1845" s="1">
        <v>5.5839135755774003E-8</v>
      </c>
      <c r="P1845" s="2">
        <f t="shared" si="84"/>
        <v>4.3715187986751749</v>
      </c>
    </row>
    <row r="1846" spans="13:16" x14ac:dyDescent="0.25">
      <c r="M1846">
        <v>1.62525080923798</v>
      </c>
      <c r="N1846">
        <v>1.6254623297322199</v>
      </c>
      <c r="O1846" s="1">
        <v>1.8699381438132801E-8</v>
      </c>
      <c r="P1846" s="2">
        <f t="shared" si="84"/>
        <v>2.3926416834436024</v>
      </c>
    </row>
    <row r="1847" spans="13:16" x14ac:dyDescent="0.25">
      <c r="M1847">
        <v>1.7777856554217999</v>
      </c>
      <c r="N1847">
        <v>1.7780618584558601</v>
      </c>
      <c r="O1847" s="1">
        <v>1.9248432104189701E-8</v>
      </c>
      <c r="P1847" s="2">
        <f t="shared" si="84"/>
        <v>3.9633418249915753</v>
      </c>
    </row>
    <row r="1848" spans="13:16" x14ac:dyDescent="0.25">
      <c r="M1848">
        <v>1.00089463229461</v>
      </c>
      <c r="N1848">
        <v>1.0009736329021801</v>
      </c>
      <c r="O1848" s="1">
        <v>4.61271384985002E-9</v>
      </c>
      <c r="P1848" s="2">
        <f t="shared" si="84"/>
        <v>1.3530204126268983</v>
      </c>
    </row>
    <row r="1849" spans="13:16" x14ac:dyDescent="0.25">
      <c r="M1849">
        <v>3.8502453708216202</v>
      </c>
      <c r="N1849">
        <v>3.8504016449409399</v>
      </c>
      <c r="O1849" s="1">
        <v>9.1311416664092204E-8</v>
      </c>
      <c r="P1849" s="2">
        <f t="shared" si="84"/>
        <v>0.26745396426164192</v>
      </c>
    </row>
    <row r="1850" spans="13:16" x14ac:dyDescent="0.25">
      <c r="M1850">
        <v>1.62551918287278</v>
      </c>
      <c r="N1850">
        <v>1.6255233977524399</v>
      </c>
      <c r="O1850" s="1">
        <v>1.4472055738458901E-8</v>
      </c>
      <c r="P1850" s="2">
        <f t="shared" si="84"/>
        <v>1.2275526621087053E-3</v>
      </c>
    </row>
    <row r="1851" spans="13:16" x14ac:dyDescent="0.25">
      <c r="M1851">
        <v>1.7780132147205401</v>
      </c>
      <c r="N1851">
        <v>1.7781018012136001</v>
      </c>
      <c r="O1851" s="1">
        <v>2.2742660126161201E-8</v>
      </c>
      <c r="P1851" s="2">
        <f t="shared" si="84"/>
        <v>0.34505931624239988</v>
      </c>
    </row>
    <row r="1852" spans="13:16" x14ac:dyDescent="0.25">
      <c r="M1852">
        <v>1.00092184631667</v>
      </c>
      <c r="N1852">
        <v>1.0009228584611001</v>
      </c>
      <c r="O1852" s="1">
        <v>5.42680997071981E-9</v>
      </c>
      <c r="P1852" s="2">
        <f t="shared" si="84"/>
        <v>1.8877321166584568E-4</v>
      </c>
    </row>
    <row r="1853" spans="13:16" x14ac:dyDescent="0.25">
      <c r="M1853">
        <v>3.85015456916679</v>
      </c>
      <c r="N1853">
        <v>3.8503393084523498</v>
      </c>
      <c r="O1853" s="1">
        <v>7.3585831307317599E-8</v>
      </c>
      <c r="P1853" s="2">
        <f t="shared" si="84"/>
        <v>0.4637931382011487</v>
      </c>
    </row>
    <row r="1854" spans="13:16" x14ac:dyDescent="0.25">
      <c r="M1854">
        <v>1.6254124954848801</v>
      </c>
      <c r="N1854">
        <v>1.6255065103808199</v>
      </c>
      <c r="O1854" s="1">
        <v>2.6808552319711998E-8</v>
      </c>
      <c r="P1854" s="2">
        <f t="shared" si="84"/>
        <v>0.32970078179426399</v>
      </c>
    </row>
    <row r="1855" spans="13:16" x14ac:dyDescent="0.25">
      <c r="M1855">
        <v>1.77795490473568</v>
      </c>
      <c r="N1855">
        <v>1.7780907557514201</v>
      </c>
      <c r="O1855" s="1">
        <v>1.8508447249540899E-8</v>
      </c>
      <c r="P1855" s="2">
        <f t="shared" si="84"/>
        <v>0.99713921047988596</v>
      </c>
    </row>
    <row r="1856" spans="13:16" x14ac:dyDescent="0.25">
      <c r="M1856">
        <v>1.00095801568169</v>
      </c>
      <c r="N1856">
        <v>1.00093689886173</v>
      </c>
      <c r="O1856" s="1">
        <v>7.0562712227370601E-9</v>
      </c>
      <c r="P1856" s="2">
        <f t="shared" si="84"/>
        <v>6.319486186772362E-2</v>
      </c>
    </row>
    <row r="1857" spans="13:16" x14ac:dyDescent="0.25">
      <c r="M1857">
        <v>1.0530782037705499</v>
      </c>
      <c r="N1857">
        <v>1.0530361042432499</v>
      </c>
      <c r="O1857" s="1">
        <v>1.4564990319493399E-9</v>
      </c>
      <c r="P1857" s="2">
        <f t="shared" si="84"/>
        <v>1.2168701523377949</v>
      </c>
    </row>
    <row r="1858" spans="13:16" x14ac:dyDescent="0.25">
      <c r="M1858">
        <v>0.98953356994206498</v>
      </c>
      <c r="N1858">
        <v>0.989484822551569</v>
      </c>
      <c r="O1858" s="1">
        <v>1.6631511265122699E-9</v>
      </c>
      <c r="P1858" s="2">
        <f t="shared" si="84"/>
        <v>1.4287986475115266</v>
      </c>
    </row>
    <row r="1859" spans="13:16" x14ac:dyDescent="0.25">
      <c r="M1859">
        <v>1.0529551177463099</v>
      </c>
      <c r="N1859">
        <v>1.05296400673712</v>
      </c>
      <c r="O1859" s="1">
        <v>1.8637781616486099E-9</v>
      </c>
      <c r="P1859" s="2">
        <f t="shared" ref="P1859:P1922" si="85">(M1859-N1859)^2/O1859</f>
        <v>4.2394615007125665E-2</v>
      </c>
    </row>
    <row r="1860" spans="13:16" x14ac:dyDescent="0.25">
      <c r="M1860">
        <v>0.98952127982413596</v>
      </c>
      <c r="N1860">
        <v>0.98953046628173902</v>
      </c>
      <c r="O1860" s="1">
        <v>1.82133533156867E-9</v>
      </c>
      <c r="P1860" s="2">
        <f t="shared" si="85"/>
        <v>4.6334687429662874E-2</v>
      </c>
    </row>
    <row r="1861" spans="13:16" x14ac:dyDescent="0.25">
      <c r="M1861">
        <v>1.0530692305423199</v>
      </c>
      <c r="N1861">
        <v>1.0530081315705899</v>
      </c>
      <c r="O1861" s="1">
        <v>1.4912458169315499E-9</v>
      </c>
      <c r="P1861" s="2">
        <f t="shared" si="85"/>
        <v>2.503332652524108</v>
      </c>
    </row>
    <row r="1862" spans="13:16" x14ac:dyDescent="0.25">
      <c r="M1862">
        <v>0.98956334096625598</v>
      </c>
      <c r="N1862">
        <v>0.98950253096366803</v>
      </c>
      <c r="O1862" s="1">
        <v>1.2383117136818299E-9</v>
      </c>
      <c r="P1862" s="2">
        <f t="shared" si="85"/>
        <v>2.9862080556050237</v>
      </c>
    </row>
    <row r="1863" spans="13:16" x14ac:dyDescent="0.25">
      <c r="M1863">
        <v>1.0530199479854101</v>
      </c>
      <c r="N1863">
        <v>1.0530108000034599</v>
      </c>
      <c r="O1863" s="1">
        <v>1.2346463349251501E-9</v>
      </c>
      <c r="P1863" s="2">
        <f t="shared" si="85"/>
        <v>6.7781008531321948E-2</v>
      </c>
    </row>
    <row r="1864" spans="13:16" x14ac:dyDescent="0.25">
      <c r="M1864">
        <v>0.98951022719257298</v>
      </c>
      <c r="N1864">
        <v>0.98950084164853702</v>
      </c>
      <c r="O1864" s="1">
        <v>1.11513166434629E-9</v>
      </c>
      <c r="P1864" s="2">
        <f t="shared" si="85"/>
        <v>7.8993754430338778E-2</v>
      </c>
    </row>
    <row r="1865" spans="13:16" x14ac:dyDescent="0.25">
      <c r="M1865">
        <v>1.05307802467171</v>
      </c>
      <c r="N1865">
        <v>1.0530565248341901</v>
      </c>
      <c r="O1865" s="1">
        <v>1.0318704156325301E-9</v>
      </c>
      <c r="P1865" s="2">
        <f t="shared" si="85"/>
        <v>0.44796614611470964</v>
      </c>
    </row>
    <row r="1866" spans="13:16" x14ac:dyDescent="0.25">
      <c r="M1866">
        <v>0.98950304684725898</v>
      </c>
      <c r="N1866">
        <v>0.98947189556610804</v>
      </c>
      <c r="O1866" s="1">
        <v>1.3963506635133699E-9</v>
      </c>
      <c r="P1866" s="2">
        <f t="shared" si="85"/>
        <v>0.69495603267982331</v>
      </c>
    </row>
    <row r="1867" spans="13:16" x14ac:dyDescent="0.25">
      <c r="M1867">
        <v>1.0530223406846499</v>
      </c>
      <c r="N1867">
        <v>1.0530275904158799</v>
      </c>
      <c r="O1867" s="1">
        <v>1.0811420532197799E-9</v>
      </c>
      <c r="P1867" s="2">
        <f t="shared" si="85"/>
        <v>2.549126445006978E-2</v>
      </c>
    </row>
    <row r="1868" spans="13:16" x14ac:dyDescent="0.25">
      <c r="M1868">
        <v>0.98948367104914003</v>
      </c>
      <c r="N1868">
        <v>0.98949021224149702</v>
      </c>
      <c r="O1868" s="1">
        <v>1.45534911227137E-9</v>
      </c>
      <c r="P1868" s="2">
        <f t="shared" si="85"/>
        <v>2.9399954341106108E-2</v>
      </c>
    </row>
    <row r="1869" spans="13:16" x14ac:dyDescent="0.25">
      <c r="M1869">
        <v>1.0529903958775599</v>
      </c>
      <c r="N1869">
        <v>1.0530301818373899</v>
      </c>
      <c r="O1869" s="1">
        <v>2.03718740382403E-9</v>
      </c>
      <c r="P1869" s="2">
        <f t="shared" si="85"/>
        <v>0.77701373797209772</v>
      </c>
    </row>
    <row r="1870" spans="13:16" x14ac:dyDescent="0.25">
      <c r="M1870">
        <v>0.98945179941268002</v>
      </c>
      <c r="N1870">
        <v>0.989488571730886</v>
      </c>
      <c r="O1870" s="1">
        <v>1.55828123592105E-9</v>
      </c>
      <c r="P1870" s="2">
        <f t="shared" si="85"/>
        <v>0.86775310840638498</v>
      </c>
    </row>
    <row r="1871" spans="13:16" x14ac:dyDescent="0.25">
      <c r="M1871">
        <v>1.0530181684092701</v>
      </c>
      <c r="N1871">
        <v>1.05304850234422</v>
      </c>
      <c r="O1871" s="1">
        <v>1.1704915071743E-9</v>
      </c>
      <c r="P1871" s="2">
        <f t="shared" si="85"/>
        <v>0.7861207056217141</v>
      </c>
    </row>
    <row r="1872" spans="13:16" x14ac:dyDescent="0.25">
      <c r="M1872">
        <v>0.98944732017834902</v>
      </c>
      <c r="N1872">
        <v>0.98947697404741997</v>
      </c>
      <c r="O1872" s="1">
        <v>9.6283018199751591E-10</v>
      </c>
      <c r="P1872" s="2">
        <f t="shared" si="85"/>
        <v>0.91329911267675556</v>
      </c>
    </row>
    <row r="1873" spans="13:16" x14ac:dyDescent="0.25">
      <c r="M1873">
        <v>1.0530537492991401</v>
      </c>
      <c r="N1873">
        <v>1.0530427397995401</v>
      </c>
      <c r="O1873" s="1">
        <v>1.19922652153709E-9</v>
      </c>
      <c r="P1873" s="2">
        <f t="shared" si="85"/>
        <v>0.10107271584235376</v>
      </c>
    </row>
    <row r="1874" spans="13:16" x14ac:dyDescent="0.25">
      <c r="M1874">
        <v>0.989492616148266</v>
      </c>
      <c r="N1874">
        <v>0.98948062195426201</v>
      </c>
      <c r="O1874" s="1">
        <v>1.22503698822052E-9</v>
      </c>
      <c r="P1874" s="2">
        <f t="shared" si="85"/>
        <v>0.11743375195097872</v>
      </c>
    </row>
    <row r="1875" spans="13:16" x14ac:dyDescent="0.25">
      <c r="M1875">
        <v>1.0530944605366599</v>
      </c>
      <c r="N1875">
        <v>1.0530436343302301</v>
      </c>
      <c r="O1875" s="1">
        <v>1.1285074274233601E-9</v>
      </c>
      <c r="P1875" s="2">
        <f t="shared" si="85"/>
        <v>2.2891327050856001</v>
      </c>
    </row>
    <row r="1876" spans="13:16" x14ac:dyDescent="0.25">
      <c r="M1876">
        <v>0.989538931560902</v>
      </c>
      <c r="N1876">
        <v>0.98948005568060304</v>
      </c>
      <c r="O1876" s="1">
        <v>1.2150029767436601E-9</v>
      </c>
      <c r="P1876" s="2">
        <f t="shared" si="85"/>
        <v>2.8529718423139596</v>
      </c>
    </row>
    <row r="1877" spans="13:16" x14ac:dyDescent="0.25">
      <c r="M1877">
        <v>2.3078202610257899</v>
      </c>
      <c r="N1877">
        <v>2.3074562875152398</v>
      </c>
      <c r="O1877" s="1">
        <v>1.07737150372101E-7</v>
      </c>
      <c r="P1877" s="2">
        <f t="shared" si="85"/>
        <v>1.2296289248842343</v>
      </c>
    </row>
    <row r="1878" spans="13:16" x14ac:dyDescent="0.25">
      <c r="M1878">
        <v>0.97466927800810799</v>
      </c>
      <c r="N1878">
        <v>0.97484601531813597</v>
      </c>
      <c r="O1878" s="1">
        <v>1.2272070270865E-8</v>
      </c>
      <c r="P1878" s="2">
        <f t="shared" si="85"/>
        <v>2.5452980684184618</v>
      </c>
    </row>
    <row r="1879" spans="13:16" x14ac:dyDescent="0.25">
      <c r="M1879">
        <v>1.06719169229827</v>
      </c>
      <c r="N1879">
        <v>1.06705730493785</v>
      </c>
      <c r="O1879" s="1">
        <v>1.01450129954712E-7</v>
      </c>
      <c r="P1879" s="2">
        <f t="shared" si="85"/>
        <v>0.17801813214756862</v>
      </c>
    </row>
    <row r="1880" spans="13:16" x14ac:dyDescent="0.25">
      <c r="M1880">
        <v>1.00264569098092</v>
      </c>
      <c r="N1880">
        <v>1.00287494519117</v>
      </c>
      <c r="O1880" s="1">
        <v>3.6601281939520003E-8</v>
      </c>
      <c r="P1880" s="2">
        <f t="shared" si="85"/>
        <v>1.435946779246571</v>
      </c>
    </row>
    <row r="1881" spans="13:16" x14ac:dyDescent="0.25">
      <c r="M1881">
        <v>2.3076317696980402</v>
      </c>
      <c r="N1881">
        <v>2.3074162348049199</v>
      </c>
      <c r="O1881" s="1">
        <v>6.7694188032349198E-8</v>
      </c>
      <c r="P1881" s="2">
        <f t="shared" si="85"/>
        <v>0.68625226925222627</v>
      </c>
    </row>
    <row r="1882" spans="13:16" x14ac:dyDescent="0.25">
      <c r="M1882">
        <v>0.97520283049678502</v>
      </c>
      <c r="N1882">
        <v>0.97483491268435696</v>
      </c>
      <c r="O1882" s="1">
        <v>1.77343893862897E-8</v>
      </c>
      <c r="P1882" s="2">
        <f t="shared" si="85"/>
        <v>7.6328264680204274</v>
      </c>
    </row>
    <row r="1883" spans="13:16" x14ac:dyDescent="0.25">
      <c r="M1883">
        <v>1.06691778741469</v>
      </c>
      <c r="N1883">
        <v>1.0670502260202199</v>
      </c>
      <c r="O1883" s="1">
        <v>2.4745941402152099E-8</v>
      </c>
      <c r="P1883" s="2">
        <f t="shared" si="85"/>
        <v>0.70880246379244283</v>
      </c>
    </row>
    <row r="1884" spans="13:16" x14ac:dyDescent="0.25">
      <c r="M1884">
        <v>1.0034054469614899</v>
      </c>
      <c r="N1884">
        <v>1.00289010772204</v>
      </c>
      <c r="O1884" s="1">
        <v>1.4440957579351199E-8</v>
      </c>
      <c r="P1884" s="2">
        <f t="shared" si="85"/>
        <v>18.390368523521499</v>
      </c>
    </row>
    <row r="1885" spans="13:16" x14ac:dyDescent="0.25">
      <c r="M1885">
        <v>2.3089098467595601</v>
      </c>
      <c r="N1885">
        <v>2.3089531060763</v>
      </c>
      <c r="O1885" s="1">
        <v>6.5108636576555601E-8</v>
      </c>
      <c r="P1885" s="2">
        <f t="shared" si="85"/>
        <v>2.8742246546667981E-2</v>
      </c>
    </row>
    <row r="1886" spans="13:16" x14ac:dyDescent="0.25">
      <c r="M1886">
        <v>0.97521305162133398</v>
      </c>
      <c r="N1886">
        <v>0.97526088676192102</v>
      </c>
      <c r="O1886" s="1">
        <v>1.9653534164594101E-8</v>
      </c>
      <c r="P1886" s="2">
        <f t="shared" si="85"/>
        <v>0.11642693145255768</v>
      </c>
    </row>
    <row r="1887" spans="13:16" x14ac:dyDescent="0.25">
      <c r="M1887">
        <v>1.06728544758167</v>
      </c>
      <c r="N1887">
        <v>1.06732179830005</v>
      </c>
      <c r="O1887" s="1">
        <v>1.9097521901522401E-8</v>
      </c>
      <c r="P1887" s="2">
        <f t="shared" si="85"/>
        <v>6.9190899927161445E-2</v>
      </c>
    </row>
    <row r="1888" spans="13:16" x14ac:dyDescent="0.25">
      <c r="M1888">
        <v>1.0021635371684801</v>
      </c>
      <c r="N1888">
        <v>1.0023086557960701</v>
      </c>
      <c r="O1888" s="1">
        <v>3.6436955408987502E-8</v>
      </c>
      <c r="P1888" s="2">
        <f t="shared" si="85"/>
        <v>0.57796859911135201</v>
      </c>
    </row>
    <row r="1889" spans="13:16" x14ac:dyDescent="0.25">
      <c r="M1889">
        <v>2.3094292307388198</v>
      </c>
      <c r="N1889">
        <v>2.3096864447965899</v>
      </c>
      <c r="O1889" s="1">
        <v>9.3536053128925394E-8</v>
      </c>
      <c r="P1889" s="2">
        <f t="shared" si="85"/>
        <v>0.70731091703628135</v>
      </c>
    </row>
    <row r="1890" spans="13:16" x14ac:dyDescent="0.25">
      <c r="M1890">
        <v>0.97500398908498398</v>
      </c>
      <c r="N1890">
        <v>0.97546411163848001</v>
      </c>
      <c r="O1890" s="1">
        <v>2.02460073505772E-8</v>
      </c>
      <c r="P1890" s="2">
        <f t="shared" si="85"/>
        <v>10.457013107311498</v>
      </c>
    </row>
    <row r="1891" spans="13:16" x14ac:dyDescent="0.25">
      <c r="M1891">
        <v>1.06740555858168</v>
      </c>
      <c r="N1891">
        <v>1.0674513432953501</v>
      </c>
      <c r="O1891" s="1">
        <v>2.7048956612241101E-8</v>
      </c>
      <c r="P1891" s="2">
        <f t="shared" si="85"/>
        <v>7.7497998754815584E-2</v>
      </c>
    </row>
    <row r="1892" spans="13:16" x14ac:dyDescent="0.25">
      <c r="M1892">
        <v>1.0019924249425101</v>
      </c>
      <c r="N1892">
        <v>1.002031463342</v>
      </c>
      <c r="O1892" s="1">
        <v>1.81466821076102E-8</v>
      </c>
      <c r="P1892" s="2">
        <f t="shared" si="85"/>
        <v>8.3982108999222038E-2</v>
      </c>
    </row>
    <row r="1893" spans="13:16" x14ac:dyDescent="0.25">
      <c r="M1893">
        <v>2.30910131191269</v>
      </c>
      <c r="N1893">
        <v>2.3091473552365902</v>
      </c>
      <c r="O1893" s="1">
        <v>5.6696156636238598E-8</v>
      </c>
      <c r="P1893" s="2">
        <f t="shared" si="85"/>
        <v>3.7392087957280828E-2</v>
      </c>
    </row>
    <row r="1894" spans="13:16" x14ac:dyDescent="0.25">
      <c r="M1894">
        <v>0.97509086819549196</v>
      </c>
      <c r="N1894">
        <v>0.975314719792993</v>
      </c>
      <c r="O1894" s="1">
        <v>2.4856089151578398E-8</v>
      </c>
      <c r="P1894" s="2">
        <f t="shared" si="85"/>
        <v>2.0159864006839614</v>
      </c>
    </row>
    <row r="1895" spans="13:16" x14ac:dyDescent="0.25">
      <c r="M1895">
        <v>1.0670353394896399</v>
      </c>
      <c r="N1895">
        <v>1.06735611507692</v>
      </c>
      <c r="O1895" s="1">
        <v>1.48111688737848E-8</v>
      </c>
      <c r="P1895" s="2">
        <f t="shared" si="85"/>
        <v>6.9472557008641491</v>
      </c>
    </row>
    <row r="1896" spans="13:16" x14ac:dyDescent="0.25">
      <c r="M1896">
        <v>1.0023857650448</v>
      </c>
      <c r="N1896">
        <v>1.00223521611594</v>
      </c>
      <c r="O1896" s="1">
        <v>1.35946864338956E-8</v>
      </c>
      <c r="P1896" s="2">
        <f t="shared" si="85"/>
        <v>1.6671940240113172</v>
      </c>
    </row>
    <row r="1897" spans="13:16" x14ac:dyDescent="0.25">
      <c r="M1897">
        <v>2.3098622111054099</v>
      </c>
      <c r="N1897">
        <v>2.3100261649334901</v>
      </c>
      <c r="O1897" s="1">
        <v>1.12374589362411E-7</v>
      </c>
      <c r="P1897" s="2">
        <f t="shared" si="85"/>
        <v>0.23920761708381935</v>
      </c>
    </row>
    <row r="1898" spans="13:16" x14ac:dyDescent="0.25">
      <c r="M1898">
        <v>0.97543532622563001</v>
      </c>
      <c r="N1898">
        <v>0.97555824831233096</v>
      </c>
      <c r="O1898" s="1">
        <v>3.4714198859368698E-8</v>
      </c>
      <c r="P1898" s="2">
        <f t="shared" si="85"/>
        <v>0.4352639523708291</v>
      </c>
    </row>
    <row r="1899" spans="13:16" x14ac:dyDescent="0.25">
      <c r="M1899">
        <v>1.0671194900949299</v>
      </c>
      <c r="N1899">
        <v>1.06751134657407</v>
      </c>
      <c r="O1899" s="1">
        <v>2.4013241282817401E-8</v>
      </c>
      <c r="P1899" s="2">
        <f t="shared" si="85"/>
        <v>6.3944512294530149</v>
      </c>
    </row>
    <row r="1900" spans="13:16" x14ac:dyDescent="0.25">
      <c r="M1900">
        <v>1.00198231898961</v>
      </c>
      <c r="N1900">
        <v>1.00190310937187</v>
      </c>
      <c r="O1900" s="1">
        <v>1.5772093094298101E-8</v>
      </c>
      <c r="P1900" s="2">
        <f t="shared" si="85"/>
        <v>0.39780157934677191</v>
      </c>
    </row>
    <row r="1901" spans="13:16" x14ac:dyDescent="0.25">
      <c r="M1901">
        <v>2.3106770374675998</v>
      </c>
      <c r="N1901">
        <v>2.310533610497</v>
      </c>
      <c r="O1901" s="1">
        <v>5.9104003589470499E-8</v>
      </c>
      <c r="P1901" s="2">
        <f t="shared" si="85"/>
        <v>0.34805249468907212</v>
      </c>
    </row>
    <row r="1902" spans="13:16" x14ac:dyDescent="0.25">
      <c r="M1902">
        <v>0.97595547322091802</v>
      </c>
      <c r="N1902">
        <v>0.97569885294666703</v>
      </c>
      <c r="O1902" s="1">
        <v>2.6685265687682901E-8</v>
      </c>
      <c r="P1902" s="2">
        <f t="shared" si="85"/>
        <v>2.4678024917343269</v>
      </c>
    </row>
    <row r="1903" spans="13:16" x14ac:dyDescent="0.25">
      <c r="M1903">
        <v>1.06755877686654</v>
      </c>
      <c r="N1903">
        <v>1.0676009643069899</v>
      </c>
      <c r="O1903" s="1">
        <v>1.9967163978173399E-8</v>
      </c>
      <c r="P1903" s="2">
        <f t="shared" si="85"/>
        <v>8.9135349099228198E-2</v>
      </c>
    </row>
    <row r="1904" spans="13:16" x14ac:dyDescent="0.25">
      <c r="M1904">
        <v>1.0016403001496801</v>
      </c>
      <c r="N1904">
        <v>1.0017114506960301</v>
      </c>
      <c r="O1904" s="1">
        <v>1.37808617340022E-8</v>
      </c>
      <c r="P1904" s="2">
        <f t="shared" si="85"/>
        <v>0.36735004991818943</v>
      </c>
    </row>
    <row r="1905" spans="13:16" x14ac:dyDescent="0.25">
      <c r="M1905">
        <v>2.31040217241181</v>
      </c>
      <c r="N1905">
        <v>2.3106025499667502</v>
      </c>
      <c r="O1905" s="1">
        <v>1.0038582792327001E-7</v>
      </c>
      <c r="P1905" s="2">
        <f t="shared" si="85"/>
        <v>0.39996845525340413</v>
      </c>
    </row>
    <row r="1906" spans="13:16" x14ac:dyDescent="0.25">
      <c r="M1906">
        <v>0.97555481630635499</v>
      </c>
      <c r="N1906">
        <v>0.97571795409536899</v>
      </c>
      <c r="O1906" s="1">
        <v>2.0997433393922299E-8</v>
      </c>
      <c r="P1906" s="2">
        <f t="shared" si="85"/>
        <v>1.2674853018978973</v>
      </c>
    </row>
    <row r="1907" spans="13:16" x14ac:dyDescent="0.25">
      <c r="M1907">
        <v>1.0675233399149999</v>
      </c>
      <c r="N1907">
        <v>1.0676131384658101</v>
      </c>
      <c r="O1907" s="1">
        <v>2.4921639676220201E-8</v>
      </c>
      <c r="P1907" s="2">
        <f t="shared" si="85"/>
        <v>0.32356537661112755</v>
      </c>
    </row>
    <row r="1908" spans="13:16" x14ac:dyDescent="0.25">
      <c r="M1908">
        <v>1.00161779760813</v>
      </c>
      <c r="N1908">
        <v>1.0016854188119699</v>
      </c>
      <c r="O1908" s="1">
        <v>2.3881400964634398E-8</v>
      </c>
      <c r="P1908" s="2">
        <f t="shared" si="85"/>
        <v>0.19147231837601608</v>
      </c>
    </row>
    <row r="1909" spans="13:16" x14ac:dyDescent="0.25">
      <c r="M1909">
        <v>2.3100530591752899</v>
      </c>
      <c r="N1909">
        <v>2.3100119827558201</v>
      </c>
      <c r="O1909" s="1">
        <v>7.7406175397623296E-8</v>
      </c>
      <c r="P1909" s="2">
        <f t="shared" si="85"/>
        <v>2.1797643764123961E-2</v>
      </c>
    </row>
    <row r="1910" spans="13:16" x14ac:dyDescent="0.25">
      <c r="M1910">
        <v>0.97567742499853805</v>
      </c>
      <c r="N1910">
        <v>0.97555431851677499</v>
      </c>
      <c r="O1910" s="1">
        <v>1.4140827384970301E-8</v>
      </c>
      <c r="P1910" s="2">
        <f t="shared" si="85"/>
        <v>1.0717340251381562</v>
      </c>
    </row>
    <row r="1911" spans="13:16" x14ac:dyDescent="0.25">
      <c r="M1911">
        <v>1.0674098316333001</v>
      </c>
      <c r="N1911">
        <v>1.06750884174725</v>
      </c>
      <c r="O1911" s="1">
        <v>2.6955947572841E-8</v>
      </c>
      <c r="P1911" s="2">
        <f t="shared" si="85"/>
        <v>0.36366752227486521</v>
      </c>
    </row>
    <row r="1912" spans="13:16" x14ac:dyDescent="0.25">
      <c r="M1912">
        <v>1.00206183397977</v>
      </c>
      <c r="N1912">
        <v>1.0019084670137199</v>
      </c>
      <c r="O1912" s="1">
        <v>2.6597144433266699E-8</v>
      </c>
      <c r="P1912" s="2">
        <f t="shared" si="85"/>
        <v>0.88435908352555992</v>
      </c>
    </row>
    <row r="1913" spans="13:16" x14ac:dyDescent="0.25">
      <c r="M1913">
        <v>2.3095779037733002</v>
      </c>
      <c r="N1913">
        <v>2.3097348478046902</v>
      </c>
      <c r="O1913" s="1">
        <v>5.3961673963957702E-8</v>
      </c>
      <c r="P1913" s="2">
        <f t="shared" si="85"/>
        <v>0.45646154352801055</v>
      </c>
    </row>
    <row r="1914" spans="13:16" x14ac:dyDescent="0.25">
      <c r="M1914">
        <v>0.97551928154044798</v>
      </c>
      <c r="N1914">
        <v>0.97547752443477398</v>
      </c>
      <c r="O1914" s="1">
        <v>1.8442653568726499E-8</v>
      </c>
      <c r="P1914" s="2">
        <f t="shared" si="85"/>
        <v>9.4544739333303263E-2</v>
      </c>
    </row>
    <row r="1915" spans="13:16" x14ac:dyDescent="0.25">
      <c r="M1915">
        <v>1.0671066640314</v>
      </c>
      <c r="N1915">
        <v>1.06745989283959</v>
      </c>
      <c r="O1915" s="1">
        <v>1.9735645896411601E-8</v>
      </c>
      <c r="P1915" s="2">
        <f t="shared" si="85"/>
        <v>6.3220931096059383</v>
      </c>
    </row>
    <row r="1916" spans="13:16" x14ac:dyDescent="0.25">
      <c r="M1916">
        <v>1.00198735076625</v>
      </c>
      <c r="N1916">
        <v>1.0020131734303299</v>
      </c>
      <c r="O1916" s="1">
        <v>1.5590904502555698E-8</v>
      </c>
      <c r="P1916" s="2">
        <f t="shared" si="85"/>
        <v>4.2769165834773283E-2</v>
      </c>
    </row>
    <row r="1917" spans="13:16" x14ac:dyDescent="0.25">
      <c r="M1917">
        <v>2.3107749493931302</v>
      </c>
      <c r="N1917">
        <v>2.3112402378863899</v>
      </c>
      <c r="O1917" s="1">
        <v>1.05664927375493E-7</v>
      </c>
      <c r="P1917" s="2">
        <f t="shared" si="85"/>
        <v>2.048866992455431</v>
      </c>
    </row>
    <row r="1918" spans="13:16" x14ac:dyDescent="0.25">
      <c r="M1918">
        <v>0.97567573169181898</v>
      </c>
      <c r="N1918">
        <v>0.97589462982887598</v>
      </c>
      <c r="O1918" s="1">
        <v>9.5774847257574292E-9</v>
      </c>
      <c r="P1918" s="2">
        <f t="shared" si="85"/>
        <v>5.0030248837839446</v>
      </c>
    </row>
    <row r="1919" spans="13:16" x14ac:dyDescent="0.25">
      <c r="M1919">
        <v>1.06727762180885</v>
      </c>
      <c r="N1919">
        <v>1.06772573841397</v>
      </c>
      <c r="O1919" s="1">
        <v>1.5993814325590301E-8</v>
      </c>
      <c r="P1919" s="2">
        <f t="shared" si="85"/>
        <v>12.555384706635312</v>
      </c>
    </row>
    <row r="1920" spans="13:16" x14ac:dyDescent="0.25">
      <c r="M1920">
        <v>1.0013957005188501</v>
      </c>
      <c r="N1920">
        <v>1.0014446935776</v>
      </c>
      <c r="O1920" s="1">
        <v>1.23810157324248E-8</v>
      </c>
      <c r="P1920" s="2">
        <f t="shared" si="85"/>
        <v>0.19387099229584887</v>
      </c>
    </row>
    <row r="1921" spans="13:16" x14ac:dyDescent="0.25">
      <c r="M1921">
        <v>2.3116330204047899</v>
      </c>
      <c r="N1921">
        <v>2.3114201732567801</v>
      </c>
      <c r="O1921" s="1">
        <v>6.95188777720307E-8</v>
      </c>
      <c r="P1921" s="2">
        <f t="shared" si="85"/>
        <v>0.65167778692409817</v>
      </c>
    </row>
    <row r="1922" spans="13:16" x14ac:dyDescent="0.25">
      <c r="M1922">
        <v>0.97621350135123697</v>
      </c>
      <c r="N1922">
        <v>0.97594447910293902</v>
      </c>
      <c r="O1922" s="1">
        <v>2.7310005239738901E-8</v>
      </c>
      <c r="P1922" s="2">
        <f t="shared" si="85"/>
        <v>2.6500533208968844</v>
      </c>
    </row>
    <row r="1923" spans="13:16" x14ac:dyDescent="0.25">
      <c r="M1923">
        <v>1.06781812415694</v>
      </c>
      <c r="N1923">
        <v>1.0677575070874099</v>
      </c>
      <c r="O1923" s="1">
        <v>2.1511035481698599E-8</v>
      </c>
      <c r="P1923" s="2">
        <f t="shared" ref="P1923:P1986" si="86">(M1923-N1923)^2/O1923</f>
        <v>0.17081600379218423</v>
      </c>
    </row>
    <row r="1924" spans="13:16" x14ac:dyDescent="0.25">
      <c r="M1924">
        <v>1.00122099274471</v>
      </c>
      <c r="N1924">
        <v>1.00137679100475</v>
      </c>
      <c r="O1924" s="1">
        <v>4.9699914278634797E-8</v>
      </c>
      <c r="P1924" s="2">
        <f t="shared" si="86"/>
        <v>0.48839315286139395</v>
      </c>
    </row>
    <row r="1925" spans="13:16" x14ac:dyDescent="0.25">
      <c r="M1925">
        <v>0.635229579821183</v>
      </c>
      <c r="N1925">
        <v>0.63521131382648799</v>
      </c>
      <c r="O1925" s="1">
        <v>9.0786277937350497E-10</v>
      </c>
      <c r="P1925" s="2">
        <f t="shared" si="86"/>
        <v>0.36750770025882923</v>
      </c>
    </row>
    <row r="1926" spans="13:16" x14ac:dyDescent="0.25">
      <c r="M1926">
        <v>0.99270504686159899</v>
      </c>
      <c r="N1926">
        <v>0.99267206417011</v>
      </c>
      <c r="O1926" s="1">
        <v>2.2730818165587198E-9</v>
      </c>
      <c r="P1926" s="2">
        <f t="shared" si="86"/>
        <v>0.47858283407719882</v>
      </c>
    </row>
    <row r="1927" spans="13:16" x14ac:dyDescent="0.25">
      <c r="M1927">
        <v>0.635321655859162</v>
      </c>
      <c r="N1927">
        <v>0.63527494404693496</v>
      </c>
      <c r="O1927" s="1">
        <v>4.9740990665349499E-10</v>
      </c>
      <c r="P1927" s="2">
        <f t="shared" si="86"/>
        <v>4.386710783897402</v>
      </c>
    </row>
    <row r="1928" spans="13:16" x14ac:dyDescent="0.25">
      <c r="M1928">
        <v>0.99266619246226995</v>
      </c>
      <c r="N1928">
        <v>0.99260507806518095</v>
      </c>
      <c r="O1928" s="1">
        <v>7.6623102078834598E-10</v>
      </c>
      <c r="P1928" s="2">
        <f t="shared" si="86"/>
        <v>4.8744692269302741</v>
      </c>
    </row>
    <row r="1929" spans="13:16" x14ac:dyDescent="0.25">
      <c r="M1929">
        <v>0.63534517541617996</v>
      </c>
      <c r="N1929">
        <v>0.63533218209934095</v>
      </c>
      <c r="O1929" s="1">
        <v>3.6259130933104801E-10</v>
      </c>
      <c r="P1929" s="2">
        <f t="shared" si="86"/>
        <v>0.46561039422189149</v>
      </c>
    </row>
    <row r="1930" spans="13:16" x14ac:dyDescent="0.25">
      <c r="M1930">
        <v>0.99257807942448895</v>
      </c>
      <c r="N1930">
        <v>0.99254483084733103</v>
      </c>
      <c r="O1930" s="1">
        <v>1.27512317306318E-9</v>
      </c>
      <c r="P1930" s="2">
        <f t="shared" si="86"/>
        <v>0.86694988090477754</v>
      </c>
    </row>
    <row r="1931" spans="13:16" x14ac:dyDescent="0.25">
      <c r="M1931">
        <v>0.63535545769235802</v>
      </c>
      <c r="N1931">
        <v>0.63533804813648997</v>
      </c>
      <c r="O1931" s="1">
        <v>3.7721872661044302E-10</v>
      </c>
      <c r="P1931" s="2">
        <f t="shared" si="86"/>
        <v>0.80349307746718424</v>
      </c>
    </row>
    <row r="1932" spans="13:16" x14ac:dyDescent="0.25">
      <c r="M1932">
        <v>0.99256292479977704</v>
      </c>
      <c r="N1932">
        <v>0.99253865692932297</v>
      </c>
      <c r="O1932" s="1">
        <v>6.55445771592767E-10</v>
      </c>
      <c r="P1932" s="2">
        <f t="shared" si="86"/>
        <v>0.89851756148204887</v>
      </c>
    </row>
    <row r="1933" spans="13:16" x14ac:dyDescent="0.25">
      <c r="M1933">
        <v>6.0928337569626896</v>
      </c>
      <c r="N1933">
        <v>6.0923221316150098</v>
      </c>
      <c r="O1933" s="1">
        <v>1.2662452850916399E-7</v>
      </c>
      <c r="P1933" s="2">
        <f t="shared" si="86"/>
        <v>2.0672179353427675</v>
      </c>
    </row>
    <row r="1934" spans="13:16" x14ac:dyDescent="0.25">
      <c r="M1934">
        <v>2.5741830661892702</v>
      </c>
      <c r="N1934">
        <v>2.57392210749346</v>
      </c>
      <c r="O1934" s="1">
        <v>1.63743599017646E-8</v>
      </c>
      <c r="P1934" s="2">
        <f t="shared" si="86"/>
        <v>4.1589070551473846</v>
      </c>
    </row>
    <row r="1935" spans="13:16" x14ac:dyDescent="0.25">
      <c r="M1935">
        <v>2.81767401635343</v>
      </c>
      <c r="N1935">
        <v>2.8173740558793998</v>
      </c>
      <c r="O1935" s="1">
        <v>2.66311999967272E-8</v>
      </c>
      <c r="P1935" s="2">
        <f t="shared" si="86"/>
        <v>3.3786042683559767</v>
      </c>
    </row>
    <row r="1936" spans="13:16" x14ac:dyDescent="0.25">
      <c r="M1936">
        <v>1.0032116517724099</v>
      </c>
      <c r="N1936">
        <v>1.0031568786943099</v>
      </c>
      <c r="O1936" s="1">
        <v>2.4308420676329E-9</v>
      </c>
      <c r="P1936" s="2">
        <f t="shared" si="86"/>
        <v>1.234177293742414</v>
      </c>
    </row>
    <row r="1937" spans="13:16" x14ac:dyDescent="0.25">
      <c r="M1937">
        <v>6.09399651047696</v>
      </c>
      <c r="N1937">
        <v>6.0946441705229901</v>
      </c>
      <c r="O1937" s="1">
        <v>8.6003217448793894E-8</v>
      </c>
      <c r="P1937" s="2">
        <f t="shared" si="86"/>
        <v>4.8773004971992213</v>
      </c>
    </row>
    <row r="1938" spans="13:16" x14ac:dyDescent="0.25">
      <c r="M1938">
        <v>2.5745593746892901</v>
      </c>
      <c r="N1938">
        <v>2.5745511476971998</v>
      </c>
      <c r="O1938" s="1">
        <v>1.4080819194768199E-8</v>
      </c>
      <c r="P1938" s="2">
        <f t="shared" si="86"/>
        <v>4.8067799122138337E-3</v>
      </c>
    </row>
    <row r="1939" spans="13:16" x14ac:dyDescent="0.25">
      <c r="M1939">
        <v>2.8174950915847798</v>
      </c>
      <c r="N1939">
        <v>2.8177472457386501</v>
      </c>
      <c r="O1939" s="1">
        <v>2.4604253382234699E-8</v>
      </c>
      <c r="P1939" s="2">
        <f t="shared" si="86"/>
        <v>2.5841758466010818</v>
      </c>
    </row>
    <row r="1940" spans="13:16" x14ac:dyDescent="0.25">
      <c r="M1940">
        <v>1.0028062458925899</v>
      </c>
      <c r="N1940">
        <v>1.0027839193989101</v>
      </c>
      <c r="O1940" s="1">
        <v>6.9313173781692002E-9</v>
      </c>
      <c r="P1940" s="2">
        <f t="shared" si="86"/>
        <v>7.19159566413375E-2</v>
      </c>
    </row>
    <row r="1941" spans="13:16" x14ac:dyDescent="0.25">
      <c r="M1941">
        <v>6.0967679444350997</v>
      </c>
      <c r="N1941">
        <v>6.0965292334878498</v>
      </c>
      <c r="O1941" s="1">
        <v>1.17711381562178E-7</v>
      </c>
      <c r="P1941" s="2">
        <f t="shared" si="86"/>
        <v>0.48409011584707778</v>
      </c>
    </row>
    <row r="1942" spans="13:16" x14ac:dyDescent="0.25">
      <c r="M1942">
        <v>2.5752771916543602</v>
      </c>
      <c r="N1942">
        <v>2.5750617479143498</v>
      </c>
      <c r="O1942" s="1">
        <v>1.6046930336015799E-8</v>
      </c>
      <c r="P1942" s="2">
        <f t="shared" si="86"/>
        <v>2.8925161471835414</v>
      </c>
    </row>
    <row r="1943" spans="13:16" x14ac:dyDescent="0.25">
      <c r="M1943">
        <v>2.8182608952527501</v>
      </c>
      <c r="N1943">
        <v>2.81805013815845</v>
      </c>
      <c r="O1943" s="1">
        <v>2.59747186213393E-8</v>
      </c>
      <c r="P1943" s="2">
        <f t="shared" si="86"/>
        <v>1.7100686804501224</v>
      </c>
    </row>
    <row r="1944" spans="13:16" x14ac:dyDescent="0.25">
      <c r="M1944">
        <v>1.0024181060988999</v>
      </c>
      <c r="N1944">
        <v>1.00248135235165</v>
      </c>
      <c r="O1944" s="1">
        <v>4.0652766643404498E-9</v>
      </c>
      <c r="P1944" s="2">
        <f t="shared" si="86"/>
        <v>0.98396463936125644</v>
      </c>
    </row>
    <row r="1945" spans="13:16" x14ac:dyDescent="0.25">
      <c r="M1945">
        <v>6.10042555369066</v>
      </c>
      <c r="N1945">
        <v>6.10060555964054</v>
      </c>
      <c r="O1945" s="1">
        <v>9.0948342677608105E-8</v>
      </c>
      <c r="P1945" s="2">
        <f t="shared" si="86"/>
        <v>0.35626973552510283</v>
      </c>
    </row>
    <row r="1946" spans="13:16" x14ac:dyDescent="0.25">
      <c r="M1946">
        <v>2.5760611078034099</v>
      </c>
      <c r="N1946">
        <v>2.5761656940767699</v>
      </c>
      <c r="O1946" s="1">
        <v>1.9830576404225799E-8</v>
      </c>
      <c r="P1946" s="2">
        <f t="shared" si="86"/>
        <v>0.55158702159530237</v>
      </c>
    </row>
    <row r="1947" spans="13:16" x14ac:dyDescent="0.25">
      <c r="M1947">
        <v>2.8186140345640198</v>
      </c>
      <c r="N1947">
        <v>2.8187049144668799</v>
      </c>
      <c r="O1947" s="1">
        <v>1.9988604281738501E-8</v>
      </c>
      <c r="P1947" s="2">
        <f t="shared" si="86"/>
        <v>0.413193268896625</v>
      </c>
    </row>
    <row r="1948" spans="13:16" x14ac:dyDescent="0.25">
      <c r="M1948">
        <v>1.00170253029755</v>
      </c>
      <c r="N1948">
        <v>1.0018277024005999</v>
      </c>
      <c r="O1948" s="1">
        <v>6.09030115486749E-9</v>
      </c>
      <c r="P1948" s="2">
        <f t="shared" si="86"/>
        <v>2.5726240761392614</v>
      </c>
    </row>
    <row r="1949" spans="13:16" x14ac:dyDescent="0.25">
      <c r="M1949">
        <v>6.10308225763481</v>
      </c>
      <c r="N1949">
        <v>6.1032747861530199</v>
      </c>
      <c r="O1949" s="1">
        <v>6.4913427894189304E-8</v>
      </c>
      <c r="P1949" s="2">
        <f t="shared" si="86"/>
        <v>0.57102561868239066</v>
      </c>
    </row>
    <row r="1950" spans="13:16" x14ac:dyDescent="0.25">
      <c r="M1950">
        <v>2.5766039430480898</v>
      </c>
      <c r="N1950">
        <v>2.5768884276904802</v>
      </c>
      <c r="O1950" s="1">
        <v>1.5715723377930799E-8</v>
      </c>
      <c r="P1950" s="2">
        <f t="shared" si="86"/>
        <v>5.1497159761439661</v>
      </c>
    </row>
    <row r="1951" spans="13:16" x14ac:dyDescent="0.25">
      <c r="M1951">
        <v>2.8188539461809801</v>
      </c>
      <c r="N1951">
        <v>2.8191335150907202</v>
      </c>
      <c r="O1951" s="1">
        <v>1.3174766906663801E-8</v>
      </c>
      <c r="P1951" s="2">
        <f t="shared" si="86"/>
        <v>5.9324598186059054</v>
      </c>
    </row>
    <row r="1952" spans="13:16" x14ac:dyDescent="0.25">
      <c r="M1952">
        <v>1.0014635899191899</v>
      </c>
      <c r="N1952">
        <v>1.0014001520356399</v>
      </c>
      <c r="O1952" s="1">
        <v>3.2409962549554801E-9</v>
      </c>
      <c r="P1952" s="2">
        <f t="shared" si="86"/>
        <v>1.2417061769668623</v>
      </c>
    </row>
    <row r="1953" spans="13:16" x14ac:dyDescent="0.25">
      <c r="M1953">
        <v>6.1050630535532999</v>
      </c>
      <c r="N1953">
        <v>6.10522988439768</v>
      </c>
      <c r="O1953" s="1">
        <v>1.09603520996302E-7</v>
      </c>
      <c r="P1953" s="2">
        <f t="shared" si="86"/>
        <v>0.25393828942326635</v>
      </c>
    </row>
    <row r="1954" spans="13:16" x14ac:dyDescent="0.25">
      <c r="M1954">
        <v>2.5771898918248999</v>
      </c>
      <c r="N1954">
        <v>2.5774177282858699</v>
      </c>
      <c r="O1954" s="1">
        <v>1.21139208284023E-8</v>
      </c>
      <c r="P1954" s="2">
        <f t="shared" si="86"/>
        <v>4.285107495967539</v>
      </c>
    </row>
    <row r="1955" spans="13:16" x14ac:dyDescent="0.25">
      <c r="M1955">
        <v>2.8194149858332902</v>
      </c>
      <c r="N1955">
        <v>2.8194473697702098</v>
      </c>
      <c r="O1955" s="1">
        <v>1.79517808195313E-8</v>
      </c>
      <c r="P1955" s="2">
        <f t="shared" si="86"/>
        <v>5.8418681742876136E-2</v>
      </c>
    </row>
    <row r="1956" spans="13:16" x14ac:dyDescent="0.25">
      <c r="M1956">
        <v>1.00098673355943</v>
      </c>
      <c r="N1956">
        <v>1.0010872233753001</v>
      </c>
      <c r="O1956" s="1">
        <v>5.1858590178458301E-9</v>
      </c>
      <c r="P1956" s="2">
        <f t="shared" si="86"/>
        <v>1.94725754380348</v>
      </c>
    </row>
    <row r="1957" spans="13:16" x14ac:dyDescent="0.25">
      <c r="M1957">
        <v>6.1073436820218197</v>
      </c>
      <c r="N1957">
        <v>6.1070340473358202</v>
      </c>
      <c r="O1957" s="1">
        <v>1.08784362084796E-7</v>
      </c>
      <c r="P1957" s="2">
        <f t="shared" si="86"/>
        <v>0.88131820545338579</v>
      </c>
    </row>
    <row r="1958" spans="13:16" x14ac:dyDescent="0.25">
      <c r="M1958">
        <v>2.5778990044970098</v>
      </c>
      <c r="N1958">
        <v>2.5779061124637099</v>
      </c>
      <c r="O1958" s="1">
        <v>1.6616794851743201E-8</v>
      </c>
      <c r="P1958" s="2">
        <f t="shared" si="86"/>
        <v>3.0404895204350522E-3</v>
      </c>
    </row>
    <row r="1959" spans="13:16" x14ac:dyDescent="0.25">
      <c r="M1959">
        <v>2.81987194057483</v>
      </c>
      <c r="N1959">
        <v>2.81973693642251</v>
      </c>
      <c r="O1959" s="1">
        <v>2.3393780248349002E-8</v>
      </c>
      <c r="P1959" s="2">
        <f t="shared" si="86"/>
        <v>0.77910115210810138</v>
      </c>
    </row>
    <row r="1960" spans="13:16" x14ac:dyDescent="0.25">
      <c r="M1960">
        <v>1.0008998291112501</v>
      </c>
      <c r="N1960">
        <v>1.0007986286908499</v>
      </c>
      <c r="O1960" s="1">
        <v>7.5869257840199193E-9</v>
      </c>
      <c r="P1960" s="2">
        <f t="shared" si="86"/>
        <v>1.349891297308466</v>
      </c>
    </row>
    <row r="1961" spans="13:16" x14ac:dyDescent="0.25">
      <c r="M1961">
        <v>6.1092877701839203</v>
      </c>
      <c r="N1961">
        <v>6.1084432497149903</v>
      </c>
      <c r="O1961" s="1">
        <v>1.4263515440125601E-7</v>
      </c>
      <c r="P1961" s="2">
        <f t="shared" si="86"/>
        <v>5.0002737784781512</v>
      </c>
    </row>
    <row r="1962" spans="13:16" x14ac:dyDescent="0.25">
      <c r="M1962">
        <v>2.5783055991813799</v>
      </c>
      <c r="N1962">
        <v>2.5782875454124201</v>
      </c>
      <c r="O1962" s="1">
        <v>2.0873303546478501E-8</v>
      </c>
      <c r="P1962" s="2">
        <f t="shared" si="86"/>
        <v>1.5615092883029541E-2</v>
      </c>
    </row>
    <row r="1963" spans="13:16" x14ac:dyDescent="0.25">
      <c r="M1963">
        <v>2.8203909201593298</v>
      </c>
      <c r="N1963">
        <v>2.8199630734140002</v>
      </c>
      <c r="O1963" s="1">
        <v>3.09851549636581E-8</v>
      </c>
      <c r="P1963" s="2">
        <f t="shared" si="86"/>
        <v>5.9077593029248439</v>
      </c>
    </row>
    <row r="1964" spans="13:16" x14ac:dyDescent="0.25">
      <c r="M1964">
        <v>1.00056432693777</v>
      </c>
      <c r="N1964">
        <v>1.0005733292161301</v>
      </c>
      <c r="O1964" s="1">
        <v>7.6790620172239604E-9</v>
      </c>
      <c r="P1964" s="2">
        <f t="shared" si="86"/>
        <v>1.0553504515372361E-2</v>
      </c>
    </row>
    <row r="1965" spans="13:16" x14ac:dyDescent="0.25">
      <c r="M1965">
        <v>1.6615522457127601</v>
      </c>
      <c r="N1965">
        <v>1.66158990940138</v>
      </c>
      <c r="O1965" s="1">
        <v>6.5633682704218301E-9</v>
      </c>
      <c r="P1965" s="2">
        <f t="shared" si="86"/>
        <v>0.21613192830423758</v>
      </c>
    </row>
    <row r="1966" spans="13:16" x14ac:dyDescent="0.25">
      <c r="M1966">
        <v>0.98475920147293805</v>
      </c>
      <c r="N1966">
        <v>0.98478451280038504</v>
      </c>
      <c r="O1966" s="1">
        <v>2.71128290302284E-9</v>
      </c>
      <c r="P1966" s="2">
        <f t="shared" si="86"/>
        <v>0.23629525949294261</v>
      </c>
    </row>
    <row r="1967" spans="13:16" x14ac:dyDescent="0.25">
      <c r="M1967">
        <v>1.66133820858068</v>
      </c>
      <c r="N1967">
        <v>1.6611911908661501</v>
      </c>
      <c r="O1967" s="1">
        <v>5.6024758741962197E-9</v>
      </c>
      <c r="P1967" s="2">
        <f t="shared" si="86"/>
        <v>3.8579743797137622</v>
      </c>
    </row>
    <row r="1968" spans="13:16" x14ac:dyDescent="0.25">
      <c r="M1968">
        <v>0.98504534684668799</v>
      </c>
      <c r="N1968">
        <v>0.98494374875576196</v>
      </c>
      <c r="O1968" s="1">
        <v>2.0747608264317002E-9</v>
      </c>
      <c r="P1968" s="2">
        <f t="shared" si="86"/>
        <v>4.9751142147625496</v>
      </c>
    </row>
    <row r="1969" spans="13:16" x14ac:dyDescent="0.25">
      <c r="M1969">
        <v>1.6611553933193499</v>
      </c>
      <c r="N1969">
        <v>1.6611533832276799</v>
      </c>
      <c r="O1969" s="1">
        <v>1.00020930278629E-8</v>
      </c>
      <c r="P1969" s="2">
        <f t="shared" si="86"/>
        <v>4.0396230174569354E-4</v>
      </c>
    </row>
    <row r="1970" spans="13:16" x14ac:dyDescent="0.25">
      <c r="M1970">
        <v>0.98496033916269299</v>
      </c>
      <c r="N1970">
        <v>0.984958851287563</v>
      </c>
      <c r="O1970" s="1">
        <v>4.7926940525247996E-9</v>
      </c>
      <c r="P1970" s="2">
        <f t="shared" si="86"/>
        <v>4.6190563766086002E-4</v>
      </c>
    </row>
    <row r="1971" spans="13:16" x14ac:dyDescent="0.25">
      <c r="M1971">
        <v>1.6615242776914401</v>
      </c>
      <c r="N1971">
        <v>1.6613950829933699</v>
      </c>
      <c r="O1971" s="1">
        <v>1.00557351137815E-8</v>
      </c>
      <c r="P1971" s="2">
        <f t="shared" si="86"/>
        <v>1.6598756650384807</v>
      </c>
    </row>
    <row r="1972" spans="13:16" x14ac:dyDescent="0.25">
      <c r="M1972">
        <v>0.98492869891469004</v>
      </c>
      <c r="N1972">
        <v>0.98486231250199197</v>
      </c>
      <c r="O1972" s="1">
        <v>2.3177187812690602E-9</v>
      </c>
      <c r="P1972" s="2">
        <f t="shared" si="86"/>
        <v>1.9015058369184807</v>
      </c>
    </row>
    <row r="1973" spans="13:16" x14ac:dyDescent="0.25">
      <c r="M1973">
        <v>4.6828512817295103</v>
      </c>
      <c r="N1973">
        <v>4.6826380002704999</v>
      </c>
      <c r="O1973" s="1">
        <v>6.2157324497731597E-8</v>
      </c>
      <c r="P1973" s="2">
        <f t="shared" si="86"/>
        <v>0.73183620957235951</v>
      </c>
    </row>
    <row r="1974" spans="13:16" x14ac:dyDescent="0.25">
      <c r="M1974">
        <v>1.9796648757148601</v>
      </c>
      <c r="N1974">
        <v>1.9794136057865499</v>
      </c>
      <c r="O1974" s="1">
        <v>2.44534477360638E-8</v>
      </c>
      <c r="P1974" s="2">
        <f t="shared" si="86"/>
        <v>2.5819090033620968</v>
      </c>
    </row>
    <row r="1975" spans="13:16" x14ac:dyDescent="0.25">
      <c r="M1975">
        <v>2.1675494792102001</v>
      </c>
      <c r="N1975">
        <v>2.16737446341229</v>
      </c>
      <c r="O1975" s="1">
        <v>1.8238919687088599E-8</v>
      </c>
      <c r="P1975" s="2">
        <f t="shared" si="86"/>
        <v>1.6794048136415689</v>
      </c>
    </row>
    <row r="1976" spans="13:16" x14ac:dyDescent="0.25">
      <c r="M1976">
        <v>4.6824785722030997</v>
      </c>
      <c r="N1976">
        <v>4.6827372585212803</v>
      </c>
      <c r="O1976" s="1">
        <v>8.2340541151117294E-8</v>
      </c>
      <c r="P1976" s="2">
        <f t="shared" si="86"/>
        <v>0.81270550664734231</v>
      </c>
    </row>
    <row r="1977" spans="13:16" x14ac:dyDescent="0.25">
      <c r="M1977">
        <v>1.9792774604668599</v>
      </c>
      <c r="N1977">
        <v>1.9794400765968101</v>
      </c>
      <c r="O1977" s="1">
        <v>2.05124186798358E-8</v>
      </c>
      <c r="P1977" s="2">
        <f t="shared" si="86"/>
        <v>1.2891705328716005</v>
      </c>
    </row>
    <row r="1978" spans="13:16" x14ac:dyDescent="0.25">
      <c r="M1978">
        <v>2.1672566771811401</v>
      </c>
      <c r="N1978">
        <v>2.1673907772156502</v>
      </c>
      <c r="O1978" s="1">
        <v>2.35406031147666E-8</v>
      </c>
      <c r="P1978" s="2">
        <f t="shared" si="86"/>
        <v>0.76390647970808845</v>
      </c>
    </row>
    <row r="1979" spans="13:16" x14ac:dyDescent="0.25">
      <c r="M1979">
        <v>4.6834141445488102</v>
      </c>
      <c r="N1979">
        <v>4.6832080187550096</v>
      </c>
      <c r="O1979" s="1">
        <v>3.7981090728289102E-8</v>
      </c>
      <c r="P1979" s="2">
        <f t="shared" si="86"/>
        <v>1.1186577861571843</v>
      </c>
    </row>
    <row r="1980" spans="13:16" x14ac:dyDescent="0.25">
      <c r="M1980">
        <v>1.97971215745919</v>
      </c>
      <c r="N1980">
        <v>1.9795656190559501</v>
      </c>
      <c r="O1980" s="1">
        <v>6.5064414815277398E-9</v>
      </c>
      <c r="P1980" s="2">
        <f t="shared" si="86"/>
        <v>3.3003453093499919</v>
      </c>
    </row>
    <row r="1981" spans="13:16" x14ac:dyDescent="0.25">
      <c r="M1981">
        <v>2.1676145450339601</v>
      </c>
      <c r="N1981">
        <v>2.1674681469898598</v>
      </c>
      <c r="O1981" s="1">
        <v>1.00585606115893E-8</v>
      </c>
      <c r="P1981" s="2">
        <f t="shared" si="86"/>
        <v>2.1307608656955472</v>
      </c>
    </row>
    <row r="1982" spans="13:16" x14ac:dyDescent="0.25">
      <c r="M1982">
        <v>4.6835187844631596</v>
      </c>
      <c r="N1982">
        <v>4.6838550233926597</v>
      </c>
      <c r="O1982" s="1">
        <v>2.9806782935040299E-8</v>
      </c>
      <c r="P1982" s="2">
        <f t="shared" si="86"/>
        <v>3.7929828911006132</v>
      </c>
    </row>
    <row r="1983" spans="13:16" x14ac:dyDescent="0.25">
      <c r="M1983">
        <v>1.97952209656282</v>
      </c>
      <c r="N1983">
        <v>1.97973815481769</v>
      </c>
      <c r="O1983" s="1">
        <v>9.9133521975739907E-9</v>
      </c>
      <c r="P1983" s="2">
        <f t="shared" si="86"/>
        <v>4.7089186954245399</v>
      </c>
    </row>
    <row r="1984" spans="13:16" x14ac:dyDescent="0.25">
      <c r="M1984">
        <v>2.1673288689583199</v>
      </c>
      <c r="N1984">
        <v>2.16757447447206</v>
      </c>
      <c r="O1984" s="1">
        <v>5.85754902903727E-9</v>
      </c>
      <c r="P1984" s="2">
        <f t="shared" si="86"/>
        <v>10.298175581715441</v>
      </c>
    </row>
    <row r="1985" spans="13:16" x14ac:dyDescent="0.25">
      <c r="M1985">
        <v>4.6863831171658301</v>
      </c>
      <c r="N1985">
        <v>4.6860693468836798</v>
      </c>
      <c r="O1985" s="1">
        <v>3.46784104056331E-8</v>
      </c>
      <c r="P1985" s="2">
        <f t="shared" si="86"/>
        <v>2.8389937372874172</v>
      </c>
    </row>
    <row r="1986" spans="13:16" x14ac:dyDescent="0.25">
      <c r="M1986">
        <v>1.98050085235646</v>
      </c>
      <c r="N1986">
        <v>1.9803285785993401</v>
      </c>
      <c r="O1986" s="1">
        <v>7.7661848624054097E-9</v>
      </c>
      <c r="P1986" s="2">
        <f t="shared" si="86"/>
        <v>3.82147063429829</v>
      </c>
    </row>
    <row r="1987" spans="13:16" x14ac:dyDescent="0.25">
      <c r="M1987">
        <v>2.1681692998586302</v>
      </c>
      <c r="N1987">
        <v>2.1679383004173198</v>
      </c>
      <c r="O1987" s="1">
        <v>9.1422486766829001E-9</v>
      </c>
      <c r="P1987" s="2">
        <f t="shared" ref="P1987:P2050" si="87">(M1987-N1987)^2/O1987</f>
        <v>5.8367195832006278</v>
      </c>
    </row>
    <row r="1988" spans="13:16" x14ac:dyDescent="0.25">
      <c r="M1988">
        <v>4.68615610587538</v>
      </c>
      <c r="N1988">
        <v>4.6862968760904904</v>
      </c>
      <c r="O1988" s="1">
        <v>6.1212042608557001E-8</v>
      </c>
      <c r="P1988" s="2">
        <f t="shared" si="87"/>
        <v>0.3237312891018318</v>
      </c>
    </row>
    <row r="1989" spans="13:16" x14ac:dyDescent="0.25">
      <c r="M1989">
        <v>1.9802743736917501</v>
      </c>
      <c r="N1989">
        <v>1.9803892407992201</v>
      </c>
      <c r="O1989" s="1">
        <v>1.1164328362746399E-8</v>
      </c>
      <c r="P1989" s="2">
        <f t="shared" si="87"/>
        <v>1.18184022807421</v>
      </c>
    </row>
    <row r="1990" spans="13:16" x14ac:dyDescent="0.25">
      <c r="M1990">
        <v>2.1679378792605299</v>
      </c>
      <c r="N1990">
        <v>2.1679756784782298</v>
      </c>
      <c r="O1990" s="1">
        <v>1.2385597924453199E-8</v>
      </c>
      <c r="P1990" s="2">
        <f t="shared" si="87"/>
        <v>0.11535824652443871</v>
      </c>
    </row>
    <row r="1991" spans="13:16" x14ac:dyDescent="0.25">
      <c r="M1991">
        <v>4.6876469729462604</v>
      </c>
      <c r="N1991">
        <v>4.6877114386162999</v>
      </c>
      <c r="O1991" s="1">
        <v>2.6127028795423301E-8</v>
      </c>
      <c r="P1991" s="2">
        <f t="shared" si="87"/>
        <v>0.15906219747296077</v>
      </c>
    </row>
    <row r="1992" spans="13:16" x14ac:dyDescent="0.25">
      <c r="M1992">
        <v>1.9806604144468301</v>
      </c>
      <c r="N1992">
        <v>1.9807663568952301</v>
      </c>
      <c r="O1992" s="1">
        <v>6.1731578771941598E-9</v>
      </c>
      <c r="P1992" s="2">
        <f t="shared" si="87"/>
        <v>1.8181622106982482</v>
      </c>
    </row>
    <row r="1993" spans="13:16" x14ac:dyDescent="0.25">
      <c r="M1993">
        <v>2.1681418693629499</v>
      </c>
      <c r="N1993">
        <v>2.1682080338397598</v>
      </c>
      <c r="O1993" s="1">
        <v>3.8994646446913698E-9</v>
      </c>
      <c r="P1993" s="2">
        <f t="shared" si="87"/>
        <v>1.1226510278739907</v>
      </c>
    </row>
    <row r="1994" spans="13:16" x14ac:dyDescent="0.25">
      <c r="M1994">
        <v>4.6881110103897301</v>
      </c>
      <c r="N1994">
        <v>4.6881705637811502</v>
      </c>
      <c r="O1994" s="1">
        <v>3.5631223657941999E-8</v>
      </c>
      <c r="P1994" s="2">
        <f t="shared" si="87"/>
        <v>9.9536475751641054E-2</v>
      </c>
    </row>
    <row r="1995" spans="13:16" x14ac:dyDescent="0.25">
      <c r="M1995">
        <v>1.9808240976001501</v>
      </c>
      <c r="N1995">
        <v>1.9808887485986499</v>
      </c>
      <c r="O1995" s="1">
        <v>5.9437034190376601E-9</v>
      </c>
      <c r="P1995" s="2">
        <f t="shared" si="87"/>
        <v>0.70322344712528895</v>
      </c>
    </row>
    <row r="1996" spans="13:16" x14ac:dyDescent="0.25">
      <c r="M1996">
        <v>2.1682218523265999</v>
      </c>
      <c r="N1996">
        <v>2.1682834397989299</v>
      </c>
      <c r="O1996" s="1">
        <v>8.9470783820022596E-9</v>
      </c>
      <c r="P1996" s="2">
        <f t="shared" si="87"/>
        <v>0.42393914371269054</v>
      </c>
    </row>
    <row r="1997" spans="13:16" x14ac:dyDescent="0.25">
      <c r="M1997">
        <v>4.6896447686587797</v>
      </c>
      <c r="N1997">
        <v>4.6897873366765896</v>
      </c>
      <c r="O1997" s="1">
        <v>3.1843446932058498E-8</v>
      </c>
      <c r="P1997" s="2">
        <f t="shared" si="87"/>
        <v>0.63829898018374942</v>
      </c>
    </row>
    <row r="1998" spans="13:16" x14ac:dyDescent="0.25">
      <c r="M1998">
        <v>1.98124151741327</v>
      </c>
      <c r="N1998">
        <v>1.9813197060704399</v>
      </c>
      <c r="O1998" s="1">
        <v>7.1897586415555598E-9</v>
      </c>
      <c r="P1998" s="2">
        <f t="shared" si="87"/>
        <v>0.8503019941029355</v>
      </c>
    </row>
    <row r="1999" spans="13:16" x14ac:dyDescent="0.25">
      <c r="M1999">
        <v>2.16846036609742</v>
      </c>
      <c r="N1999">
        <v>2.1685489380035499</v>
      </c>
      <c r="O1999" s="1">
        <v>8.9950504720116293E-9</v>
      </c>
      <c r="P1999" s="2">
        <f t="shared" si="87"/>
        <v>0.87214436204547197</v>
      </c>
    </row>
    <row r="2000" spans="13:16" x14ac:dyDescent="0.25">
      <c r="M2000">
        <v>4.6905029371756299</v>
      </c>
      <c r="N2000">
        <v>4.6905288121228299</v>
      </c>
      <c r="O2000" s="1">
        <v>4.1451576389117602E-8</v>
      </c>
      <c r="P2000" s="2">
        <f t="shared" si="87"/>
        <v>1.6151687123214423E-2</v>
      </c>
    </row>
    <row r="2001" spans="13:16" x14ac:dyDescent="0.25">
      <c r="M2001">
        <v>1.9814490967010401</v>
      </c>
      <c r="N2001">
        <v>1.9815173310613099</v>
      </c>
      <c r="O2001" s="1">
        <v>9.4140646313135506E-9</v>
      </c>
      <c r="P2001" s="2">
        <f t="shared" si="87"/>
        <v>0.49457148466391737</v>
      </c>
    </row>
    <row r="2002" spans="13:16" x14ac:dyDescent="0.25">
      <c r="M2002">
        <v>2.1686406979904902</v>
      </c>
      <c r="N2002">
        <v>2.1686706795795598</v>
      </c>
      <c r="O2002" s="1">
        <v>6.7942679715929499E-9</v>
      </c>
      <c r="P2002" s="2">
        <f t="shared" si="87"/>
        <v>0.13230206504938982</v>
      </c>
    </row>
    <row r="2003" spans="13:16" x14ac:dyDescent="0.25">
      <c r="M2003">
        <v>4.6920068792800098</v>
      </c>
      <c r="N2003">
        <v>4.6921950336657199</v>
      </c>
      <c r="O2003" s="1">
        <v>4.8909410376182601E-8</v>
      </c>
      <c r="P2003" s="2">
        <f t="shared" si="87"/>
        <v>0.72382947554759069</v>
      </c>
    </row>
    <row r="2004" spans="13:16" x14ac:dyDescent="0.25">
      <c r="M2004">
        <v>1.9818388919287799</v>
      </c>
      <c r="N2004">
        <v>1.9819613859902201</v>
      </c>
      <c r="O2004" s="1">
        <v>1.19722520815299E-8</v>
      </c>
      <c r="P2004" s="2">
        <f t="shared" si="87"/>
        <v>1.2532976240329963</v>
      </c>
    </row>
    <row r="2005" spans="13:16" x14ac:dyDescent="0.25">
      <c r="M2005">
        <v>2.1688412259524701</v>
      </c>
      <c r="N2005">
        <v>2.1689442083498398</v>
      </c>
      <c r="O2005" s="1">
        <v>1.18595012632941E-8</v>
      </c>
      <c r="P2005" s="2">
        <f t="shared" si="87"/>
        <v>0.89425127857944642</v>
      </c>
    </row>
    <row r="2006" spans="13:16" x14ac:dyDescent="0.25">
      <c r="M2006">
        <v>4.6926357919066302</v>
      </c>
      <c r="N2006">
        <v>4.6926747229921304</v>
      </c>
      <c r="O2006" s="1">
        <v>2.9669248782594299E-8</v>
      </c>
      <c r="P2006" s="2">
        <f t="shared" si="87"/>
        <v>5.1084185829335327E-2</v>
      </c>
    </row>
    <row r="2007" spans="13:16" x14ac:dyDescent="0.25">
      <c r="M2007">
        <v>1.98215728910319</v>
      </c>
      <c r="N2007">
        <v>1.9820892143880999</v>
      </c>
      <c r="O2007" s="1">
        <v>6.4233457597951197E-9</v>
      </c>
      <c r="P2007" s="2">
        <f t="shared" si="87"/>
        <v>0.7214568556468709</v>
      </c>
    </row>
    <row r="2008" spans="13:16" x14ac:dyDescent="0.25">
      <c r="M2008">
        <v>2.1690121536174098</v>
      </c>
      <c r="N2008">
        <v>2.16902294306702</v>
      </c>
      <c r="O2008" s="1">
        <v>5.2553458044030997E-9</v>
      </c>
      <c r="P2008" s="2">
        <f t="shared" si="87"/>
        <v>2.2151201314549045E-2</v>
      </c>
    </row>
    <row r="2009" spans="13:16" x14ac:dyDescent="0.25">
      <c r="M2009">
        <v>4.6946367797634698</v>
      </c>
      <c r="N2009">
        <v>4.6946610710859904</v>
      </c>
      <c r="O2009" s="1">
        <v>1.7168110482164301E-8</v>
      </c>
      <c r="P2009" s="2">
        <f t="shared" si="87"/>
        <v>3.4370022863705822E-2</v>
      </c>
    </row>
    <row r="2010" spans="13:16" x14ac:dyDescent="0.25">
      <c r="M2010">
        <v>1.9826726182043499</v>
      </c>
      <c r="N2010">
        <v>1.9826184883560001</v>
      </c>
      <c r="O2010" s="1">
        <v>3.18875009833878E-9</v>
      </c>
      <c r="P2010" s="2">
        <f t="shared" si="87"/>
        <v>0.91886801788075478</v>
      </c>
    </row>
    <row r="2011" spans="13:16" x14ac:dyDescent="0.25">
      <c r="M2011">
        <v>2.1693456991142801</v>
      </c>
      <c r="N2011">
        <v>2.1693489208429799</v>
      </c>
      <c r="O2011" s="1">
        <v>6.6405645465071404E-9</v>
      </c>
      <c r="P2011" s="2">
        <f t="shared" si="87"/>
        <v>1.563050210950209E-3</v>
      </c>
    </row>
    <row r="2012" spans="13:16" x14ac:dyDescent="0.25">
      <c r="M2012">
        <v>4.6955910771001701</v>
      </c>
      <c r="N2012">
        <v>4.6956186719397301</v>
      </c>
      <c r="O2012" s="1">
        <v>2.3233328387832199E-8</v>
      </c>
      <c r="P2012" s="2">
        <f t="shared" si="87"/>
        <v>3.2775121912529182E-2</v>
      </c>
    </row>
    <row r="2013" spans="13:16" x14ac:dyDescent="0.25">
      <c r="M2013">
        <v>1.9829317158666699</v>
      </c>
      <c r="N2013">
        <v>1.9828736171261501</v>
      </c>
      <c r="O2013" s="1">
        <v>5.33769279868035E-9</v>
      </c>
      <c r="P2013" s="2">
        <f t="shared" si="87"/>
        <v>0.63238252505467918</v>
      </c>
    </row>
    <row r="2014" spans="13:16" x14ac:dyDescent="0.25">
      <c r="M2014">
        <v>2.1694877896498101</v>
      </c>
      <c r="N2014">
        <v>2.1695060400705901</v>
      </c>
      <c r="O2014" s="1">
        <v>7.3133718018577096E-9</v>
      </c>
      <c r="P2014" s="2">
        <f t="shared" si="87"/>
        <v>4.5543679122279787E-2</v>
      </c>
    </row>
    <row r="2015" spans="13:16" x14ac:dyDescent="0.25">
      <c r="M2015">
        <v>4.6970049985913898</v>
      </c>
      <c r="N2015">
        <v>4.6967338636984302</v>
      </c>
      <c r="O2015" s="1">
        <v>2.6694831082608801E-8</v>
      </c>
      <c r="P2015" s="2">
        <f t="shared" si="87"/>
        <v>2.75387133759043</v>
      </c>
    </row>
    <row r="2016" spans="13:16" x14ac:dyDescent="0.25">
      <c r="M2016">
        <v>1.9833970556598499</v>
      </c>
      <c r="N2016">
        <v>1.98317070784308</v>
      </c>
      <c r="O2016" s="1">
        <v>6.8961516606166801E-9</v>
      </c>
      <c r="P2016" s="2">
        <f t="shared" si="87"/>
        <v>7.4292644184559631</v>
      </c>
    </row>
    <row r="2017" spans="13:16" x14ac:dyDescent="0.25">
      <c r="M2017">
        <v>2.1698559939923099</v>
      </c>
      <c r="N2017">
        <v>2.1696889901260801</v>
      </c>
      <c r="O2017" s="1">
        <v>6.93644855598947E-9</v>
      </c>
      <c r="P2017" s="2">
        <f t="shared" si="87"/>
        <v>4.0208315697261661</v>
      </c>
    </row>
    <row r="2018" spans="13:16" x14ac:dyDescent="0.25">
      <c r="M2018">
        <v>4.6970516939707396</v>
      </c>
      <c r="N2018">
        <v>4.6972773202391904</v>
      </c>
      <c r="O2018" s="1">
        <v>3.6823162511148898E-8</v>
      </c>
      <c r="P2018" s="2">
        <f t="shared" si="87"/>
        <v>1.3824780258788885</v>
      </c>
    </row>
    <row r="2019" spans="13:16" x14ac:dyDescent="0.25">
      <c r="M2019">
        <v>1.98315511049643</v>
      </c>
      <c r="N2019">
        <v>1.9833154769996699</v>
      </c>
      <c r="O2019" s="1">
        <v>8.8765816918112508E-9</v>
      </c>
      <c r="P2019" s="2">
        <f t="shared" si="87"/>
        <v>2.897220602962844</v>
      </c>
    </row>
    <row r="2020" spans="13:16" x14ac:dyDescent="0.25">
      <c r="M2020">
        <v>2.16966015482283</v>
      </c>
      <c r="N2020">
        <v>2.1697781354068999</v>
      </c>
      <c r="O2020" s="1">
        <v>1.05133102343515E-8</v>
      </c>
      <c r="P2020" s="2">
        <f t="shared" si="87"/>
        <v>1.323980545345832</v>
      </c>
    </row>
    <row r="2021" spans="13:16" x14ac:dyDescent="0.25">
      <c r="M2021">
        <v>4.6988608344276797</v>
      </c>
      <c r="N2021">
        <v>4.6990928615870304</v>
      </c>
      <c r="O2021" s="1">
        <v>2.6876594038149099E-8</v>
      </c>
      <c r="P2021" s="2">
        <f t="shared" si="87"/>
        <v>2.0031036149883756</v>
      </c>
    </row>
    <row r="2022" spans="13:16" x14ac:dyDescent="0.25">
      <c r="M2022">
        <v>1.9837927150249599</v>
      </c>
      <c r="N2022">
        <v>1.9837990667866801</v>
      </c>
      <c r="O2022" s="1">
        <v>8.8153651742885106E-9</v>
      </c>
      <c r="P2022" s="2">
        <f t="shared" si="87"/>
        <v>4.576654075227283E-3</v>
      </c>
    </row>
    <row r="2023" spans="13:16" x14ac:dyDescent="0.25">
      <c r="M2023">
        <v>2.16989417072265</v>
      </c>
      <c r="N2023">
        <v>2.1700758974671199</v>
      </c>
      <c r="O2023" s="1">
        <v>7.4487040154845201E-9</v>
      </c>
      <c r="P2023" s="2">
        <f t="shared" si="87"/>
        <v>4.4336047703042789</v>
      </c>
    </row>
    <row r="2024" spans="13:16" x14ac:dyDescent="0.25">
      <c r="M2024">
        <v>4.7003864545837599</v>
      </c>
      <c r="N2024">
        <v>4.7000735987863704</v>
      </c>
      <c r="O2024" s="1">
        <v>1.9478568572176702E-8</v>
      </c>
      <c r="P2024" s="2">
        <f t="shared" si="87"/>
        <v>5.0249457293295814</v>
      </c>
    </row>
    <row r="2025" spans="13:16" x14ac:dyDescent="0.25">
      <c r="M2025">
        <v>1.98432607404382</v>
      </c>
      <c r="N2025">
        <v>1.9840602684430499</v>
      </c>
      <c r="O2025" s="1">
        <v>5.8472581440025201E-9</v>
      </c>
      <c r="P2025" s="2">
        <f t="shared" si="87"/>
        <v>12.083033733203035</v>
      </c>
    </row>
    <row r="2026" spans="13:16" x14ac:dyDescent="0.25">
      <c r="M2026">
        <v>2.17053855485092</v>
      </c>
      <c r="N2026">
        <v>2.1702367146783601</v>
      </c>
      <c r="O2026" s="1">
        <v>5.2409610772448896E-9</v>
      </c>
      <c r="P2026" s="2">
        <f t="shared" si="87"/>
        <v>17.383737148236165</v>
      </c>
    </row>
    <row r="2027" spans="13:16" x14ac:dyDescent="0.25">
      <c r="M2027">
        <v>4.7008175108648604</v>
      </c>
      <c r="N2027">
        <v>4.7004357523636697</v>
      </c>
      <c r="O2027" s="1">
        <v>5.2332847054106503E-8</v>
      </c>
      <c r="P2027" s="2">
        <f t="shared" si="87"/>
        <v>2.7848581041405653</v>
      </c>
    </row>
    <row r="2028" spans="13:16" x14ac:dyDescent="0.25">
      <c r="M2028">
        <v>1.98445190665214</v>
      </c>
      <c r="N2028">
        <v>1.9841567164275</v>
      </c>
      <c r="O2028" s="1">
        <v>8.9624018938679002E-9</v>
      </c>
      <c r="P2028" s="2">
        <f t="shared" si="87"/>
        <v>9.7225352929796518</v>
      </c>
    </row>
    <row r="2029" spans="13:16" x14ac:dyDescent="0.25">
      <c r="M2029">
        <v>2.1705625971692899</v>
      </c>
      <c r="N2029">
        <v>2.1702960936462201</v>
      </c>
      <c r="O2029" s="1">
        <v>1.1860395011886E-8</v>
      </c>
      <c r="P2029" s="2">
        <f t="shared" si="87"/>
        <v>5.9883442109161633</v>
      </c>
    </row>
    <row r="2030" spans="13:16" x14ac:dyDescent="0.25">
      <c r="M2030">
        <v>4.7008633167706</v>
      </c>
      <c r="N2030">
        <v>4.7007509895618398</v>
      </c>
      <c r="O2030" s="1">
        <v>2.1673849067982299E-8</v>
      </c>
      <c r="P2030" s="2">
        <f t="shared" si="87"/>
        <v>0.58214864320045401</v>
      </c>
    </row>
    <row r="2031" spans="13:16" x14ac:dyDescent="0.25">
      <c r="M2031">
        <v>1.98427145390402</v>
      </c>
      <c r="N2031">
        <v>1.9842406675069999</v>
      </c>
      <c r="O2031" s="1">
        <v>9.1214957636678505E-9</v>
      </c>
      <c r="P2031" s="2">
        <f t="shared" si="87"/>
        <v>0.10390864240239485</v>
      </c>
    </row>
    <row r="2032" spans="13:16" x14ac:dyDescent="0.25">
      <c r="M2032">
        <v>2.1704463816033499</v>
      </c>
      <c r="N2032">
        <v>2.1703477777681401</v>
      </c>
      <c r="O2032" s="1">
        <v>1.0536927839265601E-8</v>
      </c>
      <c r="P2032" s="2">
        <f t="shared" si="87"/>
        <v>0.92272780704097213</v>
      </c>
    </row>
    <row r="2033" spans="13:16" x14ac:dyDescent="0.25">
      <c r="M2033">
        <v>4.7027779919288797</v>
      </c>
      <c r="N2033">
        <v>4.7023504821114201</v>
      </c>
      <c r="O2033" s="1">
        <v>7.3636714625434405E-8</v>
      </c>
      <c r="P2033" s="2">
        <f t="shared" si="87"/>
        <v>2.4819771625329836</v>
      </c>
    </row>
    <row r="2034" spans="13:16" x14ac:dyDescent="0.25">
      <c r="M2034">
        <v>1.98474686842114</v>
      </c>
      <c r="N2034">
        <v>1.9846665976770299</v>
      </c>
      <c r="O2034" s="1">
        <v>1.5201277815821398E-8</v>
      </c>
      <c r="P2034" s="2">
        <f t="shared" si="87"/>
        <v>0.42387175854933407</v>
      </c>
    </row>
    <row r="2035" spans="13:16" x14ac:dyDescent="0.25">
      <c r="M2035">
        <v>2.17088423090645</v>
      </c>
      <c r="N2035">
        <v>2.1706099851232401</v>
      </c>
      <c r="O2035" s="1">
        <v>1.64381998710122E-8</v>
      </c>
      <c r="P2035" s="2">
        <f t="shared" si="87"/>
        <v>4.5753641030388543</v>
      </c>
    </row>
    <row r="2036" spans="13:16" x14ac:dyDescent="0.25">
      <c r="M2036">
        <v>4.7026625110312104</v>
      </c>
      <c r="N2036">
        <v>4.7030512456690001</v>
      </c>
      <c r="O2036" s="1">
        <v>7.5019208664450898E-8</v>
      </c>
      <c r="P2036" s="2">
        <f t="shared" si="87"/>
        <v>2.0143456763647474</v>
      </c>
    </row>
    <row r="2037" spans="13:16" x14ac:dyDescent="0.25">
      <c r="M2037">
        <v>1.9846019759370399</v>
      </c>
      <c r="N2037">
        <v>1.98485318772696</v>
      </c>
      <c r="O2037" s="1">
        <v>1.3051400750192999E-8</v>
      </c>
      <c r="P2037" s="2">
        <f t="shared" si="87"/>
        <v>4.8352942801101815</v>
      </c>
    </row>
    <row r="2038" spans="13:16" x14ac:dyDescent="0.25">
      <c r="M2038">
        <v>2.1704739008198302</v>
      </c>
      <c r="N2038">
        <v>2.17072484428674</v>
      </c>
      <c r="O2038" s="1">
        <v>1.0023570793923999E-8</v>
      </c>
      <c r="P2038" s="2">
        <f t="shared" si="87"/>
        <v>6.282454115341622</v>
      </c>
    </row>
    <row r="2039" spans="13:16" x14ac:dyDescent="0.25">
      <c r="M2039">
        <v>4.7053016390931504</v>
      </c>
      <c r="N2039">
        <v>4.7046152564064903</v>
      </c>
      <c r="O2039" s="1">
        <v>8.4290415572022398E-8</v>
      </c>
      <c r="P2039" s="2">
        <f t="shared" si="87"/>
        <v>5.589261713203789</v>
      </c>
    </row>
    <row r="2040" spans="13:16" x14ac:dyDescent="0.25">
      <c r="M2040">
        <v>1.98571081857952</v>
      </c>
      <c r="N2040">
        <v>1.98526959481011</v>
      </c>
      <c r="O2040" s="1">
        <v>1.2989465885360701E-8</v>
      </c>
      <c r="P2040" s="2">
        <f t="shared" si="87"/>
        <v>14.98740721216237</v>
      </c>
    </row>
    <row r="2041" spans="13:16" x14ac:dyDescent="0.25">
      <c r="M2041">
        <v>2.1714155203234302</v>
      </c>
      <c r="N2041">
        <v>2.1709811548111499</v>
      </c>
      <c r="O2041" s="1">
        <v>2.5079281903427401E-8</v>
      </c>
      <c r="P2041" s="2">
        <f t="shared" si="87"/>
        <v>7.5230781720553646</v>
      </c>
    </row>
    <row r="2042" spans="13:16" x14ac:dyDescent="0.25">
      <c r="M2042">
        <v>4.7054226205454004</v>
      </c>
      <c r="N2042">
        <v>4.7052164490634603</v>
      </c>
      <c r="O2042" s="1">
        <v>5.7969619818985698E-8</v>
      </c>
      <c r="P2042" s="2">
        <f t="shared" si="87"/>
        <v>0.73325787021064148</v>
      </c>
    </row>
    <row r="2043" spans="13:16" x14ac:dyDescent="0.25">
      <c r="M2043">
        <v>1.9852886677403001</v>
      </c>
      <c r="N2043">
        <v>1.9854296446172399</v>
      </c>
      <c r="O2043" s="1">
        <v>1.44804936329543E-8</v>
      </c>
      <c r="P2043" s="2">
        <f t="shared" si="87"/>
        <v>1.3725001602482334</v>
      </c>
    </row>
    <row r="2044" spans="13:16" x14ac:dyDescent="0.25">
      <c r="M2044">
        <v>2.1712488957118099</v>
      </c>
      <c r="N2044">
        <v>2.1710796638135998</v>
      </c>
      <c r="O2044" s="1">
        <v>1.5725466594451699E-8</v>
      </c>
      <c r="P2044" s="2">
        <f t="shared" si="87"/>
        <v>1.8212137108785471</v>
      </c>
    </row>
    <row r="2045" spans="13:16" x14ac:dyDescent="0.25">
      <c r="M2045">
        <v>1.28292236058302</v>
      </c>
      <c r="N2045">
        <v>1.28286837952499</v>
      </c>
      <c r="O2045" s="1">
        <v>1.19701638965761E-9</v>
      </c>
      <c r="P2045" s="2">
        <f t="shared" si="87"/>
        <v>2.4343481436142813</v>
      </c>
    </row>
    <row r="2046" spans="13:16" x14ac:dyDescent="0.25">
      <c r="M2046">
        <v>0.98765466361146703</v>
      </c>
      <c r="N2046">
        <v>0.987601006983853</v>
      </c>
      <c r="O2046" s="1">
        <v>9.8229774031965803E-10</v>
      </c>
      <c r="P2046" s="2">
        <f t="shared" si="87"/>
        <v>2.9309175504910807</v>
      </c>
    </row>
    <row r="2047" spans="13:16" x14ac:dyDescent="0.25">
      <c r="M2047">
        <v>1.28281477834463</v>
      </c>
      <c r="N2047">
        <v>1.2828402980281699</v>
      </c>
      <c r="O2047" s="1">
        <v>1.4147987711399E-9</v>
      </c>
      <c r="P2047" s="2">
        <f t="shared" si="87"/>
        <v>0.46031581399592769</v>
      </c>
    </row>
    <row r="2048" spans="13:16" x14ac:dyDescent="0.25">
      <c r="M2048">
        <v>0.98759045688203895</v>
      </c>
      <c r="N2048">
        <v>0.98761557155693702</v>
      </c>
      <c r="O2048" s="1">
        <v>1.16473421694383E-9</v>
      </c>
      <c r="P2048" s="2">
        <f t="shared" si="87"/>
        <v>0.54153719025359204</v>
      </c>
    </row>
    <row r="2049" spans="13:16" x14ac:dyDescent="0.25">
      <c r="M2049">
        <v>1.2828954334187199</v>
      </c>
      <c r="N2049">
        <v>1.2828482046296299</v>
      </c>
      <c r="O2049" s="1">
        <v>1.5354978175618799E-9</v>
      </c>
      <c r="P2049" s="2">
        <f t="shared" si="87"/>
        <v>1.4526614713473867</v>
      </c>
    </row>
    <row r="2050" spans="13:16" x14ac:dyDescent="0.25">
      <c r="M2050">
        <v>0.98765500530083095</v>
      </c>
      <c r="N2050">
        <v>0.98761147071462496</v>
      </c>
      <c r="O2050" s="1">
        <v>1.0984064672821901E-9</v>
      </c>
      <c r="P2050" s="2">
        <f t="shared" si="87"/>
        <v>1.7254634350576679</v>
      </c>
    </row>
    <row r="2051" spans="13:16" x14ac:dyDescent="0.25">
      <c r="M2051">
        <v>1.2827310206439</v>
      </c>
      <c r="N2051">
        <v>1.28280455819781</v>
      </c>
      <c r="O2051" s="1">
        <v>1.7450194319031099E-9</v>
      </c>
      <c r="P2051" s="2">
        <f t="shared" ref="P2051:P2114" si="88">(M2051-N2051)^2/O2051</f>
        <v>3.0989751381590906</v>
      </c>
    </row>
    <row r="2052" spans="13:16" x14ac:dyDescent="0.25">
      <c r="M2052">
        <v>0.98756487276926297</v>
      </c>
      <c r="N2052">
        <v>0.98763410892504</v>
      </c>
      <c r="O2052" s="1">
        <v>1.36397905063971E-9</v>
      </c>
      <c r="P2052" s="2">
        <f t="shared" si="88"/>
        <v>3.5144566659825127</v>
      </c>
    </row>
    <row r="2053" spans="13:16" x14ac:dyDescent="0.25">
      <c r="M2053">
        <v>1.28275473623249</v>
      </c>
      <c r="N2053">
        <v>1.2828011215602599</v>
      </c>
      <c r="O2053" s="1">
        <v>1.42968286705853E-9</v>
      </c>
      <c r="P2053" s="2">
        <f t="shared" si="88"/>
        <v>1.5049481824932469</v>
      </c>
    </row>
    <row r="2054" spans="13:16" x14ac:dyDescent="0.25">
      <c r="M2054">
        <v>0.98759527490721699</v>
      </c>
      <c r="N2054">
        <v>0.98763589146969499</v>
      </c>
      <c r="O2054" s="1">
        <v>8.8068179892919604E-10</v>
      </c>
      <c r="P2054" s="2">
        <f t="shared" si="88"/>
        <v>1.8732136278225344</v>
      </c>
    </row>
    <row r="2055" spans="13:16" x14ac:dyDescent="0.25">
      <c r="M2055">
        <v>1.28280826476629</v>
      </c>
      <c r="N2055">
        <v>1.28281454976709</v>
      </c>
      <c r="O2055" s="1">
        <v>1.3378788077421601E-9</v>
      </c>
      <c r="P2055" s="2">
        <f t="shared" si="88"/>
        <v>2.9525271517630181E-2</v>
      </c>
    </row>
    <row r="2056" spans="13:16" x14ac:dyDescent="0.25">
      <c r="M2056">
        <v>0.98762421384861199</v>
      </c>
      <c r="N2056">
        <v>0.98762892645755895</v>
      </c>
      <c r="O2056" s="1">
        <v>6.9389693900404804E-10</v>
      </c>
      <c r="P2056" s="2">
        <f t="shared" si="88"/>
        <v>3.200573721927983E-2</v>
      </c>
    </row>
    <row r="2057" spans="13:16" x14ac:dyDescent="0.25">
      <c r="M2057">
        <v>1.28279007061798</v>
      </c>
      <c r="N2057">
        <v>1.2828344906670199</v>
      </c>
      <c r="O2057" s="1">
        <v>1.9481939583336202E-9</v>
      </c>
      <c r="P2057" s="2">
        <f t="shared" si="88"/>
        <v>1.012805089693096</v>
      </c>
    </row>
    <row r="2058" spans="13:16" x14ac:dyDescent="0.25">
      <c r="M2058">
        <v>0.98758525757942395</v>
      </c>
      <c r="N2058">
        <v>0.987618583633049</v>
      </c>
      <c r="O2058" s="1">
        <v>9.99503630783608E-10</v>
      </c>
      <c r="P2058" s="2">
        <f t="shared" si="88"/>
        <v>1.1111774044771769</v>
      </c>
    </row>
    <row r="2059" spans="13:16" x14ac:dyDescent="0.25">
      <c r="M2059">
        <v>1.2827644235962801</v>
      </c>
      <c r="N2059">
        <v>1.2828171709702401</v>
      </c>
      <c r="O2059" s="1">
        <v>1.4120938864312401E-9</v>
      </c>
      <c r="P2059" s="2">
        <f t="shared" si="88"/>
        <v>1.9703261138726733</v>
      </c>
    </row>
    <row r="2060" spans="13:16" x14ac:dyDescent="0.25">
      <c r="M2060">
        <v>0.98757822994836097</v>
      </c>
      <c r="N2060">
        <v>0.98762756689250997</v>
      </c>
      <c r="O2060" s="1">
        <v>9.8184285947797305E-10</v>
      </c>
      <c r="P2060" s="2">
        <f t="shared" si="88"/>
        <v>2.4791483020561484</v>
      </c>
    </row>
    <row r="2061" spans="13:16" x14ac:dyDescent="0.25">
      <c r="M2061">
        <v>1.2828330143236299</v>
      </c>
      <c r="N2061">
        <v>1.2828338676432001</v>
      </c>
      <c r="O2061" s="1">
        <v>1.5440291411104E-9</v>
      </c>
      <c r="P2061" s="2">
        <f t="shared" si="88"/>
        <v>4.7159361786293721E-4</v>
      </c>
    </row>
    <row r="2062" spans="13:16" x14ac:dyDescent="0.25">
      <c r="M2062">
        <v>0.98761797686613095</v>
      </c>
      <c r="N2062">
        <v>0.98761890677517705</v>
      </c>
      <c r="O2062" s="1">
        <v>1.4737732269923699E-9</v>
      </c>
      <c r="P2062" s="2">
        <f t="shared" si="88"/>
        <v>5.867461955334233E-4</v>
      </c>
    </row>
    <row r="2063" spans="13:16" x14ac:dyDescent="0.25">
      <c r="M2063">
        <v>1.28280052696665</v>
      </c>
      <c r="N2063">
        <v>1.2827994926145101</v>
      </c>
      <c r="O2063" s="1">
        <v>1.27460550935055E-9</v>
      </c>
      <c r="P2063" s="2">
        <f t="shared" si="88"/>
        <v>8.3938468926116202E-4</v>
      </c>
    </row>
    <row r="2064" spans="13:16" x14ac:dyDescent="0.25">
      <c r="M2064">
        <v>0.98763766160379496</v>
      </c>
      <c r="N2064">
        <v>0.98763673638804395</v>
      </c>
      <c r="O2064" s="1">
        <v>9.0504689780859501E-10</v>
      </c>
      <c r="P2064" s="2">
        <f t="shared" si="88"/>
        <v>9.458340645059133E-4</v>
      </c>
    </row>
    <row r="2065" spans="13:16" x14ac:dyDescent="0.25">
      <c r="M2065">
        <v>1.2827051667562599</v>
      </c>
      <c r="N2065">
        <v>1.2827939300340001</v>
      </c>
      <c r="O2065" s="1">
        <v>1.6392305173444301E-9</v>
      </c>
      <c r="P2065" s="2">
        <f t="shared" si="88"/>
        <v>4.8064743742996203</v>
      </c>
    </row>
    <row r="2066" spans="13:16" x14ac:dyDescent="0.25">
      <c r="M2066">
        <v>0.98756493819347801</v>
      </c>
      <c r="N2066">
        <v>0.98763962165810404</v>
      </c>
      <c r="O2066" s="1">
        <v>9.8222224039078307E-10</v>
      </c>
      <c r="P2066" s="2">
        <f t="shared" si="88"/>
        <v>5.6785721796805486</v>
      </c>
    </row>
    <row r="2067" spans="13:16" x14ac:dyDescent="0.25">
      <c r="M2067">
        <v>1.2827524232032601</v>
      </c>
      <c r="N2067">
        <v>1.28277439240677</v>
      </c>
      <c r="O2067" s="1">
        <v>1.5698259578761701E-9</v>
      </c>
      <c r="P2067" s="2">
        <f t="shared" si="88"/>
        <v>0.30745185505418055</v>
      </c>
    </row>
    <row r="2068" spans="13:16" x14ac:dyDescent="0.25">
      <c r="M2068">
        <v>0.98763005444529495</v>
      </c>
      <c r="N2068">
        <v>0.98764975584921</v>
      </c>
      <c r="O2068" s="1">
        <v>1.0329886518788799E-9</v>
      </c>
      <c r="P2068" s="2">
        <f t="shared" si="88"/>
        <v>0.37574983570052201</v>
      </c>
    </row>
    <row r="2069" spans="13:16" x14ac:dyDescent="0.25">
      <c r="M2069">
        <v>1.28270881252432</v>
      </c>
      <c r="N2069">
        <v>1.2827708409274401</v>
      </c>
      <c r="O2069" s="1">
        <v>2.0519617025034102E-9</v>
      </c>
      <c r="P2069" s="2">
        <f t="shared" si="88"/>
        <v>1.8750461029237113</v>
      </c>
    </row>
    <row r="2070" spans="13:16" x14ac:dyDescent="0.25">
      <c r="M2070">
        <v>0.98760480691006802</v>
      </c>
      <c r="N2070">
        <v>0.98765159803362002</v>
      </c>
      <c r="O2070" s="1">
        <v>1.0787965857815699E-9</v>
      </c>
      <c r="P2070" s="2">
        <f t="shared" si="88"/>
        <v>2.0294921879750216</v>
      </c>
    </row>
    <row r="2071" spans="13:16" x14ac:dyDescent="0.25">
      <c r="M2071">
        <v>1.2827027228758101</v>
      </c>
      <c r="N2071">
        <v>1.28277564136473</v>
      </c>
      <c r="O2071" s="1">
        <v>1.44511727755509E-9</v>
      </c>
      <c r="P2071" s="2">
        <f t="shared" si="88"/>
        <v>3.6793595294595396</v>
      </c>
    </row>
    <row r="2072" spans="13:16" x14ac:dyDescent="0.25">
      <c r="M2072">
        <v>0.98758500847053199</v>
      </c>
      <c r="N2072">
        <v>0.98764910800546102</v>
      </c>
      <c r="O2072" s="1">
        <v>8.76101307236599E-10</v>
      </c>
      <c r="P2072" s="2">
        <f t="shared" si="88"/>
        <v>4.6898119477503375</v>
      </c>
    </row>
    <row r="2073" spans="13:16" x14ac:dyDescent="0.25">
      <c r="M2073">
        <v>1.28277971219049</v>
      </c>
      <c r="N2073">
        <v>1.28277258234449</v>
      </c>
      <c r="O2073" s="1">
        <v>1.80189804044928E-9</v>
      </c>
      <c r="P2073" s="2">
        <f t="shared" si="88"/>
        <v>2.8211753852424259E-2</v>
      </c>
    </row>
    <row r="2074" spans="13:16" x14ac:dyDescent="0.25">
      <c r="M2074">
        <v>0.98765718084745902</v>
      </c>
      <c r="N2074">
        <v>0.98765069474379796</v>
      </c>
      <c r="O2074" s="1">
        <v>1.1993852210640199E-9</v>
      </c>
      <c r="P2074" s="2">
        <f t="shared" si="88"/>
        <v>3.5075920532512572E-2</v>
      </c>
    </row>
    <row r="2075" spans="13:16" x14ac:dyDescent="0.25">
      <c r="M2075">
        <v>4.44246157577465</v>
      </c>
      <c r="N2075">
        <v>4.4424088564986501</v>
      </c>
      <c r="O2075" s="1">
        <v>9.55566431569571E-8</v>
      </c>
      <c r="P2075" s="2">
        <f t="shared" si="88"/>
        <v>2.9085597506593695E-2</v>
      </c>
    </row>
    <row r="2076" spans="13:16" x14ac:dyDescent="0.25">
      <c r="M2076">
        <v>1.8778230601161301</v>
      </c>
      <c r="N2076">
        <v>1.87785916763315</v>
      </c>
      <c r="O2076" s="1">
        <v>1.6364907200541001E-8</v>
      </c>
      <c r="P2076" s="2">
        <f t="shared" si="88"/>
        <v>7.9667594161348915E-2</v>
      </c>
    </row>
    <row r="2077" spans="13:16" x14ac:dyDescent="0.25">
      <c r="M2077">
        <v>2.0562754833760999</v>
      </c>
      <c r="N2077">
        <v>2.0562623735571499</v>
      </c>
      <c r="O2077" s="1">
        <v>1.81002627688124E-8</v>
      </c>
      <c r="P2077" s="2">
        <f t="shared" si="88"/>
        <v>9.4952960128980562E-3</v>
      </c>
    </row>
    <row r="2078" spans="13:16" x14ac:dyDescent="0.25">
      <c r="M2078">
        <v>4.4428802483062402</v>
      </c>
      <c r="N2078">
        <v>4.4431193187126103</v>
      </c>
      <c r="O2078" s="1">
        <v>6.67604055595081E-8</v>
      </c>
      <c r="P2078" s="2">
        <f t="shared" si="88"/>
        <v>0.85611611737515947</v>
      </c>
    </row>
    <row r="2079" spans="13:16" x14ac:dyDescent="0.25">
      <c r="M2079">
        <v>1.8779831614831799</v>
      </c>
      <c r="N2079">
        <v>1.8780510553438901</v>
      </c>
      <c r="O2079" s="1">
        <v>2.3265619830450198E-8</v>
      </c>
      <c r="P2079" s="2">
        <f t="shared" si="88"/>
        <v>0.19812824054216396</v>
      </c>
    </row>
    <row r="2080" spans="13:16" x14ac:dyDescent="0.25">
      <c r="M2080">
        <v>2.05622917920092</v>
      </c>
      <c r="N2080">
        <v>2.0563813746455302</v>
      </c>
      <c r="O2080" s="1">
        <v>1.11265153427995E-8</v>
      </c>
      <c r="P2080" s="2">
        <f t="shared" si="88"/>
        <v>2.0818246006453167</v>
      </c>
    </row>
    <row r="2081" spans="13:16" x14ac:dyDescent="0.25">
      <c r="M2081">
        <v>4.4443360101315701</v>
      </c>
      <c r="N2081">
        <v>4.4448225903375</v>
      </c>
      <c r="O2081" s="1">
        <v>2.89035840391034E-8</v>
      </c>
      <c r="P2081" s="2">
        <f t="shared" si="88"/>
        <v>8.1913819574252642</v>
      </c>
    </row>
    <row r="2082" spans="13:16" x14ac:dyDescent="0.25">
      <c r="M2082">
        <v>1.8783910036235401</v>
      </c>
      <c r="N2082">
        <v>1.87851104440242</v>
      </c>
      <c r="O2082" s="1">
        <v>5.9472599062210396E-9</v>
      </c>
      <c r="P2082" s="2">
        <f t="shared" si="88"/>
        <v>2.4229290162737875</v>
      </c>
    </row>
    <row r="2083" spans="13:16" x14ac:dyDescent="0.25">
      <c r="M2083">
        <v>2.05624529123999</v>
      </c>
      <c r="N2083">
        <v>2.0566666200071499</v>
      </c>
      <c r="O2083" s="1">
        <v>1.09716822099021E-8</v>
      </c>
      <c r="P2083" s="2">
        <f t="shared" si="88"/>
        <v>16.179645622282688</v>
      </c>
    </row>
    <row r="2084" spans="13:16" x14ac:dyDescent="0.25">
      <c r="M2084">
        <v>4.44637562091446</v>
      </c>
      <c r="N2084">
        <v>4.4463226260410602</v>
      </c>
      <c r="O2084" s="1">
        <v>5.5920430814969301E-8</v>
      </c>
      <c r="P2084" s="2">
        <f t="shared" si="88"/>
        <v>5.022237071020063E-2</v>
      </c>
    </row>
    <row r="2085" spans="13:16" x14ac:dyDescent="0.25">
      <c r="M2085">
        <v>1.87902734515019</v>
      </c>
      <c r="N2085">
        <v>1.87891609444734</v>
      </c>
      <c r="O2085" s="1">
        <v>7.8513659606517093E-9</v>
      </c>
      <c r="P2085" s="2">
        <f t="shared" si="88"/>
        <v>1.5763777852985661</v>
      </c>
    </row>
    <row r="2086" spans="13:16" x14ac:dyDescent="0.25">
      <c r="M2086">
        <v>2.05697627707502</v>
      </c>
      <c r="N2086">
        <v>2.0569177718752498</v>
      </c>
      <c r="O2086" s="1">
        <v>1.2009026505061199E-8</v>
      </c>
      <c r="P2086" s="2">
        <f t="shared" si="88"/>
        <v>0.28502380261217808</v>
      </c>
    </row>
    <row r="2087" spans="13:16" x14ac:dyDescent="0.25">
      <c r="M2087">
        <v>4.4493679030452196</v>
      </c>
      <c r="N2087">
        <v>4.4492419017742399</v>
      </c>
      <c r="O2087" s="1">
        <v>2.06971402327E-8</v>
      </c>
      <c r="P2087" s="2">
        <f t="shared" si="88"/>
        <v>0.76707796874250056</v>
      </c>
    </row>
    <row r="2088" spans="13:16" x14ac:dyDescent="0.25">
      <c r="M2088">
        <v>1.8797496863215399</v>
      </c>
      <c r="N2088">
        <v>1.87970423612194</v>
      </c>
      <c r="O2088" s="1">
        <v>4.7273308503221202E-9</v>
      </c>
      <c r="P2088" s="2">
        <f t="shared" si="88"/>
        <v>0.43697399422117905</v>
      </c>
    </row>
    <row r="2089" spans="13:16" x14ac:dyDescent="0.25">
      <c r="M2089">
        <v>2.0576034054865402</v>
      </c>
      <c r="N2089">
        <v>2.05740639298749</v>
      </c>
      <c r="O2089" s="1">
        <v>4.0606972988466896E-9</v>
      </c>
      <c r="P2089" s="2">
        <f t="shared" si="88"/>
        <v>9.5584383482722171</v>
      </c>
    </row>
    <row r="2090" spans="13:16" x14ac:dyDescent="0.25">
      <c r="M2090">
        <v>4.4501703821047398</v>
      </c>
      <c r="N2090">
        <v>4.4501400266189304</v>
      </c>
      <c r="O2090" s="1">
        <v>3.2030251843357301E-8</v>
      </c>
      <c r="P2090" s="2">
        <f t="shared" si="88"/>
        <v>2.8768288280493624E-2</v>
      </c>
    </row>
    <row r="2091" spans="13:16" x14ac:dyDescent="0.25">
      <c r="M2091">
        <v>1.8799621768022701</v>
      </c>
      <c r="N2091">
        <v>1.87994667295891</v>
      </c>
      <c r="O2091" s="1">
        <v>1.5016804725332499E-8</v>
      </c>
      <c r="P2091" s="2">
        <f t="shared" si="88"/>
        <v>1.6006678073569834E-2</v>
      </c>
    </row>
    <row r="2092" spans="13:16" x14ac:dyDescent="0.25">
      <c r="M2092">
        <v>2.0576180071313299</v>
      </c>
      <c r="N2092">
        <v>2.0575566777375398</v>
      </c>
      <c r="O2092" s="1">
        <v>9.0769522246894392E-9</v>
      </c>
      <c r="P2092" s="2">
        <f t="shared" si="88"/>
        <v>0.41437857659222527</v>
      </c>
    </row>
    <row r="2093" spans="13:16" x14ac:dyDescent="0.25">
      <c r="M2093">
        <v>4.45125549353099</v>
      </c>
      <c r="N2093">
        <v>4.4513774365954299</v>
      </c>
      <c r="O2093" s="1">
        <v>4.2787640961879501E-8</v>
      </c>
      <c r="P2093" s="2">
        <f t="shared" si="88"/>
        <v>0.3475328536631509</v>
      </c>
    </row>
    <row r="2094" spans="13:16" x14ac:dyDescent="0.25">
      <c r="M2094">
        <v>1.8802514724086301</v>
      </c>
      <c r="N2094">
        <v>1.88028066636368</v>
      </c>
      <c r="O2094" s="1">
        <v>1.00449099179436E-8</v>
      </c>
      <c r="P2094" s="2">
        <f t="shared" si="88"/>
        <v>8.484765104070352E-2</v>
      </c>
    </row>
    <row r="2095" spans="13:16" x14ac:dyDescent="0.25">
      <c r="M2095">
        <v>2.0575853391635701</v>
      </c>
      <c r="N2095">
        <v>2.05776370394373</v>
      </c>
      <c r="O2095" s="1">
        <v>1.01260043654179E-8</v>
      </c>
      <c r="P2095" s="2">
        <f t="shared" si="88"/>
        <v>3.1418112864071359</v>
      </c>
    </row>
    <row r="2096" spans="13:16" x14ac:dyDescent="0.25">
      <c r="M2096">
        <v>4.45321562614971</v>
      </c>
      <c r="N2096">
        <v>4.4530479975292998</v>
      </c>
      <c r="O2096" s="1">
        <v>2.0786050891760698E-8</v>
      </c>
      <c r="P2096" s="2">
        <f t="shared" si="88"/>
        <v>1.3518370818462968</v>
      </c>
    </row>
    <row r="2097" spans="13:16" x14ac:dyDescent="0.25">
      <c r="M2097">
        <v>1.8808630683238301</v>
      </c>
      <c r="N2097">
        <v>1.88073151980098</v>
      </c>
      <c r="O2097" s="1">
        <v>5.13136605071632E-9</v>
      </c>
      <c r="P2097" s="2">
        <f t="shared" si="88"/>
        <v>3.3723990245514361</v>
      </c>
    </row>
    <row r="2098" spans="13:16" x14ac:dyDescent="0.25">
      <c r="M2098">
        <v>2.05820432925346</v>
      </c>
      <c r="N2098">
        <v>2.05804314068908</v>
      </c>
      <c r="O2098" s="1">
        <v>6.5311476692070799E-9</v>
      </c>
      <c r="P2098" s="2">
        <f t="shared" si="88"/>
        <v>3.9781298177306068</v>
      </c>
    </row>
    <row r="2099" spans="13:16" x14ac:dyDescent="0.25">
      <c r="M2099">
        <v>4.4550395397069504</v>
      </c>
      <c r="N2099">
        <v>4.4550946435681498</v>
      </c>
      <c r="O2099" s="1">
        <v>2.7046429628960401E-8</v>
      </c>
      <c r="P2099" s="2">
        <f t="shared" si="88"/>
        <v>0.11226751777337181</v>
      </c>
    </row>
    <row r="2100" spans="13:16" x14ac:dyDescent="0.25">
      <c r="M2100">
        <v>1.8812458466733</v>
      </c>
      <c r="N2100">
        <v>1.88128378841358</v>
      </c>
      <c r="O2100" s="1">
        <v>7.1964397212856004E-9</v>
      </c>
      <c r="P2100" s="2">
        <f t="shared" si="88"/>
        <v>0.2000399796611147</v>
      </c>
    </row>
    <row r="2101" spans="13:16" x14ac:dyDescent="0.25">
      <c r="M2101">
        <v>2.0583444209833099</v>
      </c>
      <c r="N2101">
        <v>2.0583853944810602</v>
      </c>
      <c r="O2101" s="1">
        <v>1.00440543984499E-8</v>
      </c>
      <c r="P2101" s="2">
        <f t="shared" si="88"/>
        <v>0.16714639838541356</v>
      </c>
    </row>
    <row r="2102" spans="13:16" x14ac:dyDescent="0.25">
      <c r="M2102">
        <v>4.4556424314511798</v>
      </c>
      <c r="N2102">
        <v>4.4556083475331203</v>
      </c>
      <c r="O2102" s="1">
        <v>2.6318064453892599E-8</v>
      </c>
      <c r="P2102" s="2">
        <f t="shared" si="88"/>
        <v>4.4141295889011042E-2</v>
      </c>
    </row>
    <row r="2103" spans="13:16" x14ac:dyDescent="0.25">
      <c r="M2103">
        <v>1.88147282509324</v>
      </c>
      <c r="N2103">
        <v>1.88142239232251</v>
      </c>
      <c r="O2103" s="1">
        <v>6.8337975273004999E-9</v>
      </c>
      <c r="P2103" s="2">
        <f t="shared" si="88"/>
        <v>0.3721890139920403</v>
      </c>
    </row>
    <row r="2104" spans="13:16" x14ac:dyDescent="0.25">
      <c r="M2104">
        <v>2.0585643756736101</v>
      </c>
      <c r="N2104">
        <v>2.05847128372963</v>
      </c>
      <c r="O2104" s="1">
        <v>2.8473714112213501E-9</v>
      </c>
      <c r="P2104" s="2">
        <f t="shared" si="88"/>
        <v>3.0435474627027799</v>
      </c>
    </row>
    <row r="2105" spans="13:16" x14ac:dyDescent="0.25">
      <c r="M2105">
        <v>4.45675265649498</v>
      </c>
      <c r="N2105">
        <v>4.4567829219768704</v>
      </c>
      <c r="O2105" s="1">
        <v>2.07883736019284E-8</v>
      </c>
      <c r="P2105" s="2">
        <f t="shared" si="88"/>
        <v>4.4063061959591143E-2</v>
      </c>
    </row>
    <row r="2106" spans="13:16" x14ac:dyDescent="0.25">
      <c r="M2106">
        <v>1.8816178967924799</v>
      </c>
      <c r="N2106">
        <v>1.88173928587524</v>
      </c>
      <c r="O2106" s="1">
        <v>5.4703598246382901E-9</v>
      </c>
      <c r="P2106" s="2">
        <f t="shared" si="88"/>
        <v>2.6936636502334999</v>
      </c>
    </row>
    <row r="2107" spans="13:16" x14ac:dyDescent="0.25">
      <c r="M2107">
        <v>2.0586303120291101</v>
      </c>
      <c r="N2107">
        <v>2.0586676441404501</v>
      </c>
      <c r="O2107" s="1">
        <v>5.1906474483686403E-9</v>
      </c>
      <c r="P2107" s="2">
        <f t="shared" si="88"/>
        <v>0.26849955635955564</v>
      </c>
    </row>
    <row r="2108" spans="13:16" x14ac:dyDescent="0.25">
      <c r="M2108">
        <v>4.4568244374073496</v>
      </c>
      <c r="N2108">
        <v>4.4568960612147803</v>
      </c>
      <c r="O2108" s="1">
        <v>3.65491696122028E-8</v>
      </c>
      <c r="P2108" s="2">
        <f t="shared" si="88"/>
        <v>0.14035803946596301</v>
      </c>
    </row>
    <row r="2109" spans="13:16" x14ac:dyDescent="0.25">
      <c r="M2109">
        <v>1.88156712627756</v>
      </c>
      <c r="N2109">
        <v>1.8817698086106001</v>
      </c>
      <c r="O2109" s="1">
        <v>7.74254315472464E-9</v>
      </c>
      <c r="P2109" s="2">
        <f t="shared" si="88"/>
        <v>5.3057667623734499</v>
      </c>
    </row>
    <row r="2110" spans="13:16" x14ac:dyDescent="0.25">
      <c r="M2110">
        <v>2.0585830151989102</v>
      </c>
      <c r="N2110">
        <v>2.0586865565382499</v>
      </c>
      <c r="O2110" s="1">
        <v>9.0405411776605705E-9</v>
      </c>
      <c r="P2110" s="2">
        <f t="shared" si="88"/>
        <v>1.1858592026286467</v>
      </c>
    </row>
    <row r="2111" spans="13:16" x14ac:dyDescent="0.25">
      <c r="M2111">
        <v>4.4583901310937799</v>
      </c>
      <c r="N2111">
        <v>4.4581241738653503</v>
      </c>
      <c r="O2111" s="1">
        <v>2.8663692174524801E-8</v>
      </c>
      <c r="P2111" s="2">
        <f t="shared" si="88"/>
        <v>2.4676949125491641</v>
      </c>
    </row>
    <row r="2112" spans="13:16" x14ac:dyDescent="0.25">
      <c r="M2112">
        <v>1.8821487593840101</v>
      </c>
      <c r="N2112">
        <v>1.8821011111892501</v>
      </c>
      <c r="O2112" s="1">
        <v>7.1258511566844003E-9</v>
      </c>
      <c r="P2112" s="2">
        <f t="shared" si="88"/>
        <v>0.31860761808881166</v>
      </c>
    </row>
    <row r="2113" spans="13:16" x14ac:dyDescent="0.25">
      <c r="M2113">
        <v>2.0590785667175702</v>
      </c>
      <c r="N2113">
        <v>2.0588918286048701</v>
      </c>
      <c r="O2113" s="1">
        <v>8.5351755313376495E-9</v>
      </c>
      <c r="P2113" s="2">
        <f t="shared" si="88"/>
        <v>4.0855776904364216</v>
      </c>
    </row>
    <row r="2114" spans="13:16" x14ac:dyDescent="0.25">
      <c r="M2114">
        <v>4.4580065278130796</v>
      </c>
      <c r="N2114">
        <v>4.4582699125579897</v>
      </c>
      <c r="O2114" s="1">
        <v>2.0701190651280701E-8</v>
      </c>
      <c r="P2114" s="2">
        <f t="shared" si="88"/>
        <v>3.351088592918368</v>
      </c>
    </row>
    <row r="2115" spans="13:16" x14ac:dyDescent="0.25">
      <c r="M2115">
        <v>1.88200014309939</v>
      </c>
      <c r="N2115">
        <v>1.8821404242917199</v>
      </c>
      <c r="O2115" s="1">
        <v>5.2723677410351296E-9</v>
      </c>
      <c r="P2115" s="2">
        <f t="shared" ref="P2115:P2178" si="89">(M2115-N2115)^2/O2115</f>
        <v>3.7324431617953073</v>
      </c>
    </row>
    <row r="2116" spans="13:16" x14ac:dyDescent="0.25">
      <c r="M2116">
        <v>2.0586924716375798</v>
      </c>
      <c r="N2116">
        <v>2.05891618560586</v>
      </c>
      <c r="O2116" s="1">
        <v>5.5981550396410696E-9</v>
      </c>
      <c r="P2116" s="2">
        <f t="shared" si="89"/>
        <v>8.9400774450246399</v>
      </c>
    </row>
    <row r="2117" spans="13:16" x14ac:dyDescent="0.25">
      <c r="M2117">
        <v>4.4593162866776597</v>
      </c>
      <c r="N2117">
        <v>4.4595818692126201</v>
      </c>
      <c r="O2117" s="1">
        <v>4.0696145883611098E-8</v>
      </c>
      <c r="P2117" s="2">
        <f t="shared" si="89"/>
        <v>1.7331882748244316</v>
      </c>
    </row>
    <row r="2118" spans="13:16" x14ac:dyDescent="0.25">
      <c r="M2118">
        <v>1.88227609203288</v>
      </c>
      <c r="N2118">
        <v>1.8824943045248499</v>
      </c>
      <c r="O2118" s="1">
        <v>8.0538860357143606E-9</v>
      </c>
      <c r="P2118" s="2">
        <f t="shared" si="89"/>
        <v>5.9122629052036233</v>
      </c>
    </row>
    <row r="2119" spans="13:16" x14ac:dyDescent="0.25">
      <c r="M2119">
        <v>2.0589850348008398</v>
      </c>
      <c r="N2119">
        <v>2.0591354272903102</v>
      </c>
      <c r="O2119" s="1">
        <v>8.0296732891364797E-9</v>
      </c>
      <c r="P2119" s="2">
        <f t="shared" si="89"/>
        <v>2.8167896842939162</v>
      </c>
    </row>
    <row r="2120" spans="13:16" x14ac:dyDescent="0.25">
      <c r="M2120">
        <v>4.4596888383520898</v>
      </c>
      <c r="N2120">
        <v>4.4596487873886996</v>
      </c>
      <c r="O2120" s="1">
        <v>2.8259691497533101E-8</v>
      </c>
      <c r="P2120" s="2">
        <f t="shared" si="89"/>
        <v>5.6762108270868389E-2</v>
      </c>
    </row>
    <row r="2121" spans="13:16" x14ac:dyDescent="0.25">
      <c r="M2121">
        <v>1.88256152896882</v>
      </c>
      <c r="N2121">
        <v>1.8825123536713699</v>
      </c>
      <c r="O2121" s="1">
        <v>5.5582784753227103E-9</v>
      </c>
      <c r="P2121" s="2">
        <f t="shared" si="89"/>
        <v>0.43506454202317524</v>
      </c>
    </row>
    <row r="2122" spans="13:16" x14ac:dyDescent="0.25">
      <c r="M2122">
        <v>2.0591613049031601</v>
      </c>
      <c r="N2122">
        <v>2.0591466089144799</v>
      </c>
      <c r="O2122" s="1">
        <v>9.9009806160955393E-9</v>
      </c>
      <c r="P2122" s="2">
        <f t="shared" si="89"/>
        <v>2.1813201304276691E-2</v>
      </c>
    </row>
    <row r="2123" spans="13:16" x14ac:dyDescent="0.25">
      <c r="M2123">
        <v>4.4603012557097399</v>
      </c>
      <c r="N2123">
        <v>4.4602569290441298</v>
      </c>
      <c r="O2123" s="1">
        <v>2.5702260122311899E-8</v>
      </c>
      <c r="P2123" s="2">
        <f t="shared" si="89"/>
        <v>7.644671226401456E-2</v>
      </c>
    </row>
    <row r="2124" spans="13:16" x14ac:dyDescent="0.25">
      <c r="M2124">
        <v>1.88278658889831</v>
      </c>
      <c r="N2124">
        <v>1.88267637693931</v>
      </c>
      <c r="O2124" s="1">
        <v>8.4892116232185499E-9</v>
      </c>
      <c r="P2124" s="2">
        <f t="shared" si="89"/>
        <v>1.4308367426472548</v>
      </c>
    </row>
    <row r="2125" spans="13:16" x14ac:dyDescent="0.25">
      <c r="M2125">
        <v>2.05931198453702</v>
      </c>
      <c r="N2125">
        <v>2.0592482208148701</v>
      </c>
      <c r="O2125" s="1">
        <v>4.80119817092421E-9</v>
      </c>
      <c r="P2125" s="2">
        <f t="shared" si="89"/>
        <v>0.84683283581808666</v>
      </c>
    </row>
    <row r="2126" spans="13:16" x14ac:dyDescent="0.25">
      <c r="M2126">
        <v>4.4598496277044202</v>
      </c>
      <c r="N2126">
        <v>4.4602411666855497</v>
      </c>
      <c r="O2126" s="1">
        <v>6.4078052003812101E-8</v>
      </c>
      <c r="P2126" s="2">
        <f t="shared" si="89"/>
        <v>2.3924381118020661</v>
      </c>
    </row>
    <row r="2127" spans="13:16" x14ac:dyDescent="0.25">
      <c r="M2127">
        <v>1.8824458578841901</v>
      </c>
      <c r="N2127">
        <v>1.8826721257396899</v>
      </c>
      <c r="O2127" s="1">
        <v>1.09640722743147E-8</v>
      </c>
      <c r="P2127" s="2">
        <f t="shared" si="89"/>
        <v>4.6695371164630926</v>
      </c>
    </row>
    <row r="2128" spans="13:16" x14ac:dyDescent="0.25">
      <c r="M2128">
        <v>2.05900393341286</v>
      </c>
      <c r="N2128">
        <v>2.0592455872584798</v>
      </c>
      <c r="O2128" s="1">
        <v>1.1939551423738101E-8</v>
      </c>
      <c r="P2128" s="2">
        <f t="shared" si="89"/>
        <v>4.8910196899639722</v>
      </c>
    </row>
    <row r="2129" spans="13:16" x14ac:dyDescent="0.25">
      <c r="M2129">
        <v>4.4605225383298199</v>
      </c>
      <c r="N2129">
        <v>4.4604969184167</v>
      </c>
      <c r="O2129" s="1">
        <v>2.07304433307058E-8</v>
      </c>
      <c r="P2129" s="2">
        <f t="shared" si="89"/>
        <v>3.1662610287666815E-2</v>
      </c>
    </row>
    <row r="2130" spans="13:16" x14ac:dyDescent="0.25">
      <c r="M2130">
        <v>1.88263362132677</v>
      </c>
      <c r="N2130">
        <v>1.88274110279648</v>
      </c>
      <c r="O2130" s="1">
        <v>7.3643645027667299E-9</v>
      </c>
      <c r="P2130" s="2">
        <f t="shared" si="89"/>
        <v>1.5686711768099644</v>
      </c>
    </row>
    <row r="2131" spans="13:16" x14ac:dyDescent="0.25">
      <c r="M2131">
        <v>2.0593892098641802</v>
      </c>
      <c r="N2131">
        <v>2.05928831722419</v>
      </c>
      <c r="O2131" s="1">
        <v>1.05195385430219E-8</v>
      </c>
      <c r="P2131" s="2">
        <f t="shared" si="89"/>
        <v>0.96765887234963521</v>
      </c>
    </row>
    <row r="2132" spans="13:16" x14ac:dyDescent="0.25">
      <c r="M2132">
        <v>4.4607986585575503</v>
      </c>
      <c r="N2132">
        <v>4.4607023886385804</v>
      </c>
      <c r="O2132" s="1">
        <v>6.0438322183558305E-8</v>
      </c>
      <c r="P2132" s="2">
        <f t="shared" si="89"/>
        <v>0.15334471513505465</v>
      </c>
    </row>
    <row r="2133" spans="13:16" x14ac:dyDescent="0.25">
      <c r="M2133">
        <v>1.8827309957618199</v>
      </c>
      <c r="N2133">
        <v>1.8827965177356201</v>
      </c>
      <c r="O2133" s="1">
        <v>1.16679904846149E-8</v>
      </c>
      <c r="P2133" s="2">
        <f t="shared" si="89"/>
        <v>0.36794073978121949</v>
      </c>
    </row>
    <row r="2134" spans="13:16" x14ac:dyDescent="0.25">
      <c r="M2134">
        <v>2.0593698755587999</v>
      </c>
      <c r="N2134">
        <v>2.0593226452259801</v>
      </c>
      <c r="O2134" s="1">
        <v>1.30227779953043E-8</v>
      </c>
      <c r="P2134" s="2">
        <f t="shared" si="89"/>
        <v>0.17129251063612233</v>
      </c>
    </row>
    <row r="2135" spans="13:16" x14ac:dyDescent="0.25">
      <c r="M2135">
        <v>1.21776896468372</v>
      </c>
      <c r="N2135">
        <v>1.21782548242405</v>
      </c>
      <c r="O2135" s="1">
        <v>1.5800220081067599E-9</v>
      </c>
      <c r="P2135" s="2">
        <f t="shared" si="89"/>
        <v>2.021652202070602</v>
      </c>
    </row>
    <row r="2136" spans="13:16" x14ac:dyDescent="0.25">
      <c r="M2136">
        <v>0.98805397205392298</v>
      </c>
      <c r="N2136">
        <v>0.98812308882331001</v>
      </c>
      <c r="O2136" s="1">
        <v>1.6181322757152401E-9</v>
      </c>
      <c r="P2136" s="2">
        <f t="shared" si="89"/>
        <v>2.9522480221148237</v>
      </c>
    </row>
    <row r="2137" spans="13:16" x14ac:dyDescent="0.25">
      <c r="M2137">
        <v>1.21782167350863</v>
      </c>
      <c r="N2137">
        <v>1.21780434739282</v>
      </c>
      <c r="O2137" s="1">
        <v>1.62413517977066E-9</v>
      </c>
      <c r="P2137" s="2">
        <f t="shared" si="89"/>
        <v>0.18483331486377608</v>
      </c>
    </row>
    <row r="2138" spans="13:16" x14ac:dyDescent="0.25">
      <c r="M2138">
        <v>0.98814948811497005</v>
      </c>
      <c r="N2138">
        <v>0.98813464210382995</v>
      </c>
      <c r="O2138" s="1">
        <v>1.0450216793073299E-9</v>
      </c>
      <c r="P2138" s="2">
        <f t="shared" si="89"/>
        <v>0.21090858796165091</v>
      </c>
    </row>
    <row r="2139" spans="13:16" x14ac:dyDescent="0.25">
      <c r="M2139">
        <v>1.2179142808096799</v>
      </c>
      <c r="N2139">
        <v>1.2178675293900101</v>
      </c>
      <c r="O2139" s="1">
        <v>1.39445266559038E-9</v>
      </c>
      <c r="P2139" s="2">
        <f t="shared" si="89"/>
        <v>1.5674216092644242</v>
      </c>
    </row>
    <row r="2140" spans="13:16" x14ac:dyDescent="0.25">
      <c r="M2140">
        <v>0.98815935320118498</v>
      </c>
      <c r="N2140">
        <v>0.988100105213915</v>
      </c>
      <c r="O2140" s="1">
        <v>1.49315295035062E-9</v>
      </c>
      <c r="P2140" s="2">
        <f t="shared" si="89"/>
        <v>2.3509473659202382</v>
      </c>
    </row>
    <row r="2141" spans="13:16" x14ac:dyDescent="0.25">
      <c r="M2141">
        <v>1.2178343997738199</v>
      </c>
      <c r="N2141">
        <v>1.2178324252808801</v>
      </c>
      <c r="O2141" s="1">
        <v>9.8064004228979208E-10</v>
      </c>
      <c r="P2141" s="2">
        <f t="shared" si="89"/>
        <v>3.9755896162256121E-3</v>
      </c>
    </row>
    <row r="2142" spans="13:16" x14ac:dyDescent="0.25">
      <c r="M2142">
        <v>0.98812147027694397</v>
      </c>
      <c r="N2142">
        <v>0.98811929364439099</v>
      </c>
      <c r="O2142" s="1">
        <v>1.0282296839488199E-9</v>
      </c>
      <c r="P2142" s="2">
        <f t="shared" si="89"/>
        <v>4.6076565816257926E-3</v>
      </c>
    </row>
    <row r="2143" spans="13:16" x14ac:dyDescent="0.25">
      <c r="M2143">
        <v>1.2178338880209201</v>
      </c>
      <c r="N2143">
        <v>1.2178025575404601</v>
      </c>
      <c r="O2143" s="1">
        <v>1.98354235115075E-9</v>
      </c>
      <c r="P2143" s="2">
        <f t="shared" si="89"/>
        <v>0.49487171538588187</v>
      </c>
    </row>
    <row r="2144" spans="13:16" x14ac:dyDescent="0.25">
      <c r="M2144">
        <v>0.98815538876726206</v>
      </c>
      <c r="N2144">
        <v>0.98813562052643</v>
      </c>
      <c r="O2144" s="1">
        <v>7.6288948661797099E-10</v>
      </c>
      <c r="P2144" s="2">
        <f t="shared" si="89"/>
        <v>0.51224109448201416</v>
      </c>
    </row>
    <row r="2145" spans="13:16" x14ac:dyDescent="0.25">
      <c r="M2145">
        <v>1.2178274395900599</v>
      </c>
      <c r="N2145">
        <v>1.2178287438431701</v>
      </c>
      <c r="O2145" s="1">
        <v>1.1239897650441401E-9</v>
      </c>
      <c r="P2145" s="2">
        <f t="shared" si="89"/>
        <v>1.5134267484592239E-3</v>
      </c>
    </row>
    <row r="2146" spans="13:16" x14ac:dyDescent="0.25">
      <c r="M2146">
        <v>0.98812008631471104</v>
      </c>
      <c r="N2146">
        <v>0.98812130602687798</v>
      </c>
      <c r="O2146" s="1">
        <v>8.5992858488939897E-10</v>
      </c>
      <c r="P2146" s="2">
        <f t="shared" si="89"/>
        <v>1.7300247907870521E-3</v>
      </c>
    </row>
    <row r="2147" spans="13:16" x14ac:dyDescent="0.25">
      <c r="M2147">
        <v>1.21787841571555</v>
      </c>
      <c r="N2147">
        <v>1.2178545357406301</v>
      </c>
      <c r="O2147" s="1">
        <v>2.0277213267756E-9</v>
      </c>
      <c r="P2147" s="2">
        <f t="shared" si="89"/>
        <v>0.28122858631818787</v>
      </c>
    </row>
    <row r="2148" spans="13:16" x14ac:dyDescent="0.25">
      <c r="M2148">
        <v>0.98812216636552697</v>
      </c>
      <c r="N2148">
        <v>0.98810720762887005</v>
      </c>
      <c r="O2148" s="1">
        <v>7.75816171137819E-10</v>
      </c>
      <c r="P2148" s="2">
        <f t="shared" si="89"/>
        <v>0.28842374095225903</v>
      </c>
    </row>
    <row r="2149" spans="13:16" x14ac:dyDescent="0.25">
      <c r="M2149">
        <v>1.2177838713664599</v>
      </c>
      <c r="N2149">
        <v>1.2178183663293101</v>
      </c>
      <c r="O2149" s="1">
        <v>1.471518152306E-9</v>
      </c>
      <c r="P2149" s="2">
        <f t="shared" si="89"/>
        <v>0.80862234704145208</v>
      </c>
    </row>
    <row r="2150" spans="13:16" x14ac:dyDescent="0.25">
      <c r="M2150">
        <v>0.98808421011890002</v>
      </c>
      <c r="N2150">
        <v>0.98812697873696997</v>
      </c>
      <c r="O2150" s="1">
        <v>1.5292143351321E-9</v>
      </c>
      <c r="P2150" s="2">
        <f t="shared" si="89"/>
        <v>1.1961401679220223</v>
      </c>
    </row>
    <row r="2151" spans="13:16" x14ac:dyDescent="0.25">
      <c r="M2151">
        <v>1.21784854154751</v>
      </c>
      <c r="N2151">
        <v>1.2178134117330499</v>
      </c>
      <c r="O2151" s="1">
        <v>1.4222253978936699E-9</v>
      </c>
      <c r="P2151" s="2">
        <f t="shared" si="89"/>
        <v>0.86772734183146727</v>
      </c>
    </row>
    <row r="2152" spans="13:16" x14ac:dyDescent="0.25">
      <c r="M2152">
        <v>0.98816076797278996</v>
      </c>
      <c r="N2152">
        <v>0.98812968712018401</v>
      </c>
      <c r="O2152" s="1">
        <v>1.06178062403645E-9</v>
      </c>
      <c r="P2152" s="2">
        <f t="shared" si="89"/>
        <v>0.90981072440387345</v>
      </c>
    </row>
    <row r="2153" spans="13:16" x14ac:dyDescent="0.25">
      <c r="M2153">
        <v>1.21790936152506</v>
      </c>
      <c r="N2153">
        <v>1.2178576060058399</v>
      </c>
      <c r="O2153" s="1">
        <v>1.42390655596881E-9</v>
      </c>
      <c r="P2153" s="2">
        <f t="shared" si="89"/>
        <v>1.881186485527081</v>
      </c>
    </row>
    <row r="2154" spans="13:16" x14ac:dyDescent="0.25">
      <c r="M2154">
        <v>0.98814737636805705</v>
      </c>
      <c r="N2154">
        <v>0.988105529390093</v>
      </c>
      <c r="O2154" s="1">
        <v>8.3690749858728303E-10</v>
      </c>
      <c r="P2154" s="2">
        <f t="shared" si="89"/>
        <v>2.0924290530077996</v>
      </c>
    </row>
    <row r="2155" spans="13:16" x14ac:dyDescent="0.25">
      <c r="M2155">
        <v>1.21785433125293</v>
      </c>
      <c r="N2155">
        <v>1.21781897869222</v>
      </c>
      <c r="O2155" s="1">
        <v>1.49258234237108E-9</v>
      </c>
      <c r="P2155" s="2">
        <f t="shared" si="89"/>
        <v>0.8373431155339085</v>
      </c>
    </row>
    <row r="2156" spans="13:16" x14ac:dyDescent="0.25">
      <c r="M2156">
        <v>0.98816269787703304</v>
      </c>
      <c r="N2156">
        <v>0.98812664399585803</v>
      </c>
      <c r="O2156" s="1">
        <v>1.3029018705259601E-9</v>
      </c>
      <c r="P2156" s="2">
        <f t="shared" si="89"/>
        <v>0.99768246342023914</v>
      </c>
    </row>
    <row r="2157" spans="13:16" x14ac:dyDescent="0.25">
      <c r="M2157">
        <v>1.2178472895307699</v>
      </c>
      <c r="N2157">
        <v>1.2178375633349099</v>
      </c>
      <c r="O2157" s="1">
        <v>1.1730454953946099E-9</v>
      </c>
      <c r="P2157" s="2">
        <f t="shared" si="89"/>
        <v>8.0643833746618002E-2</v>
      </c>
    </row>
    <row r="2158" spans="13:16" x14ac:dyDescent="0.25">
      <c r="M2158">
        <v>0.98812625065148096</v>
      </c>
      <c r="N2158">
        <v>0.98811648504947003</v>
      </c>
      <c r="O2158" s="1">
        <v>8.6080709823565803E-10</v>
      </c>
      <c r="P2158" s="2">
        <f t="shared" si="89"/>
        <v>0.110787867376402</v>
      </c>
    </row>
    <row r="2159" spans="13:16" x14ac:dyDescent="0.25">
      <c r="M2159">
        <v>1.21788766383444</v>
      </c>
      <c r="N2159">
        <v>1.2178844080153499</v>
      </c>
      <c r="O2159" s="1">
        <v>1.3937189834784E-9</v>
      </c>
      <c r="P2159" s="2">
        <f t="shared" si="89"/>
        <v>7.6058072489342378E-3</v>
      </c>
    </row>
    <row r="2160" spans="13:16" x14ac:dyDescent="0.25">
      <c r="M2160">
        <v>0.98809358183497498</v>
      </c>
      <c r="N2160">
        <v>0.98809087943469998</v>
      </c>
      <c r="O2160" s="1">
        <v>8.1165507318788401E-10</v>
      </c>
      <c r="P2160" s="2">
        <f t="shared" si="89"/>
        <v>8.9976240986723369E-3</v>
      </c>
    </row>
    <row r="2161" spans="13:16" x14ac:dyDescent="0.25">
      <c r="M2161">
        <v>1.2177898665331699</v>
      </c>
      <c r="N2161">
        <v>1.21784734585204</v>
      </c>
      <c r="O2161" s="1">
        <v>1.4030574993274899E-9</v>
      </c>
      <c r="P2161" s="2">
        <f t="shared" si="89"/>
        <v>2.3547660016478211</v>
      </c>
    </row>
    <row r="2162" spans="13:16" x14ac:dyDescent="0.25">
      <c r="M2162">
        <v>0.98806707370291003</v>
      </c>
      <c r="N2162">
        <v>0.98811113772418202</v>
      </c>
      <c r="O2162" s="1">
        <v>7.15520192777303E-10</v>
      </c>
      <c r="P2162" s="2">
        <f t="shared" si="89"/>
        <v>2.7136033200157277</v>
      </c>
    </row>
    <row r="2163" spans="13:16" x14ac:dyDescent="0.25">
      <c r="M2163">
        <v>1.2178277994092801</v>
      </c>
      <c r="N2163">
        <v>1.21782407841122</v>
      </c>
      <c r="O2163" s="1">
        <v>1.36841678140175E-9</v>
      </c>
      <c r="P2163" s="2">
        <f t="shared" si="89"/>
        <v>1.0118135608677007E-2</v>
      </c>
    </row>
    <row r="2164" spans="13:16" x14ac:dyDescent="0.25">
      <c r="M2164">
        <v>0.988127723832117</v>
      </c>
      <c r="N2164">
        <v>0.98812385630427602</v>
      </c>
      <c r="O2164" s="1">
        <v>1.1800150300935401E-9</v>
      </c>
      <c r="P2164" s="2">
        <f t="shared" si="89"/>
        <v>1.2675916169982759E-2</v>
      </c>
    </row>
    <row r="2165" spans="13:16" x14ac:dyDescent="0.25">
      <c r="M2165">
        <v>1.2177178156509401</v>
      </c>
      <c r="N2165">
        <v>1.2177369609100099</v>
      </c>
      <c r="O2165" s="1">
        <v>1.34233165132388E-9</v>
      </c>
      <c r="P2165" s="2">
        <f t="shared" si="89"/>
        <v>0.27306287867914225</v>
      </c>
    </row>
    <row r="2166" spans="13:16" x14ac:dyDescent="0.25">
      <c r="M2166">
        <v>0.98814930530616196</v>
      </c>
      <c r="N2166">
        <v>0.98817148057790205</v>
      </c>
      <c r="O2166" s="1">
        <v>1.4354925581173299E-9</v>
      </c>
      <c r="P2166" s="2">
        <f t="shared" si="89"/>
        <v>0.34256024105877309</v>
      </c>
    </row>
    <row r="2167" spans="13:16" x14ac:dyDescent="0.25">
      <c r="M2167">
        <v>1.2176458690832499</v>
      </c>
      <c r="N2167">
        <v>1.21770317679379</v>
      </c>
      <c r="O2167" s="1">
        <v>2.1056009958609898E-9</v>
      </c>
      <c r="P2167" s="2">
        <f t="shared" si="89"/>
        <v>1.5597322065326897</v>
      </c>
    </row>
    <row r="2168" spans="13:16" x14ac:dyDescent="0.25">
      <c r="M2168">
        <v>0.98814442275634196</v>
      </c>
      <c r="N2168">
        <v>0.98818995077799199</v>
      </c>
      <c r="O2168" s="1">
        <v>1.0771061880398601E-9</v>
      </c>
      <c r="P2168" s="2">
        <f t="shared" si="89"/>
        <v>1.9244163466722888</v>
      </c>
    </row>
    <row r="2169" spans="13:16" x14ac:dyDescent="0.25">
      <c r="M2169">
        <v>1.2176858916387301</v>
      </c>
      <c r="N2169">
        <v>1.21769102536054</v>
      </c>
      <c r="O2169" s="1">
        <v>2.41396201827182E-9</v>
      </c>
      <c r="P2169" s="2">
        <f t="shared" si="89"/>
        <v>1.0917777256539824E-2</v>
      </c>
    </row>
    <row r="2170" spans="13:16" x14ac:dyDescent="0.25">
      <c r="M2170">
        <v>0.98819148983079796</v>
      </c>
      <c r="N2170">
        <v>0.98819659432868701</v>
      </c>
      <c r="O2170" s="1">
        <v>1.9615411428916401E-9</v>
      </c>
      <c r="P2170" s="2">
        <f t="shared" si="89"/>
        <v>1.3283381178952279E-2</v>
      </c>
    </row>
    <row r="2171" spans="13:16" x14ac:dyDescent="0.25">
      <c r="M2171">
        <v>1.2176764084682601</v>
      </c>
      <c r="N2171">
        <v>1.2175971399074099</v>
      </c>
      <c r="O2171" s="1">
        <v>4.3450190993558799E-9</v>
      </c>
      <c r="P2171" s="2">
        <f t="shared" si="89"/>
        <v>1.4461397281746928</v>
      </c>
    </row>
    <row r="2172" spans="13:16" x14ac:dyDescent="0.25">
      <c r="M2172">
        <v>0.98830572816634299</v>
      </c>
      <c r="N2172">
        <v>0.98824792804473904</v>
      </c>
      <c r="O2172" s="1">
        <v>2.13751953460183E-9</v>
      </c>
      <c r="P2172" s="2">
        <f t="shared" si="89"/>
        <v>1.5629583745784359</v>
      </c>
    </row>
    <row r="2173" spans="13:16" x14ac:dyDescent="0.25">
      <c r="M2173">
        <v>4.1745621030308202</v>
      </c>
      <c r="N2173">
        <v>4.1748246877347901</v>
      </c>
      <c r="O2173" s="1">
        <v>1.7119818475538499E-7</v>
      </c>
      <c r="P2173" s="2">
        <f t="shared" si="89"/>
        <v>0.40275384261507058</v>
      </c>
    </row>
    <row r="2174" spans="13:16" x14ac:dyDescent="0.25">
      <c r="M2174">
        <v>1.76417957898928</v>
      </c>
      <c r="N2174">
        <v>1.7642389369314599</v>
      </c>
      <c r="O2174" s="1">
        <v>5.1261451977806701E-8</v>
      </c>
      <c r="P2174" s="2">
        <f t="shared" si="89"/>
        <v>6.8733232553791268E-2</v>
      </c>
    </row>
    <row r="2175" spans="13:16" x14ac:dyDescent="0.25">
      <c r="M2175">
        <v>1.9311767060054099</v>
      </c>
      <c r="N2175">
        <v>1.9315252486122401</v>
      </c>
      <c r="O2175" s="1">
        <v>2.5776639823674701E-8</v>
      </c>
      <c r="P2175" s="2">
        <f t="shared" si="89"/>
        <v>4.7128698545254135</v>
      </c>
    </row>
    <row r="2176" spans="13:16" x14ac:dyDescent="0.25">
      <c r="M2176">
        <v>4.1756404456488001</v>
      </c>
      <c r="N2176">
        <v>4.1760590598618101</v>
      </c>
      <c r="O2176" s="1">
        <v>1.06153127662912E-7</v>
      </c>
      <c r="P2176" s="2">
        <f t="shared" si="89"/>
        <v>1.6508026017893613</v>
      </c>
    </row>
    <row r="2177" spans="13:16" x14ac:dyDescent="0.25">
      <c r="M2177">
        <v>1.76428886492541</v>
      </c>
      <c r="N2177">
        <v>1.7645375688586999</v>
      </c>
      <c r="O2177" s="1">
        <v>3.2426894334477802E-8</v>
      </c>
      <c r="P2177" s="2">
        <f t="shared" si="89"/>
        <v>1.9074798158547239</v>
      </c>
    </row>
    <row r="2178" spans="13:16" x14ac:dyDescent="0.25">
      <c r="M2178">
        <v>1.9314269560864501</v>
      </c>
      <c r="N2178">
        <v>1.9316579726334</v>
      </c>
      <c r="O2178" s="1">
        <v>2.9571212686870901E-8</v>
      </c>
      <c r="P2178" s="2">
        <f t="shared" si="89"/>
        <v>1.8047499617204164</v>
      </c>
    </row>
    <row r="2179" spans="13:16" x14ac:dyDescent="0.25">
      <c r="M2179">
        <v>4.1768395644301002</v>
      </c>
      <c r="N2179">
        <v>4.1770967218697299</v>
      </c>
      <c r="O2179" s="1">
        <v>1.8063059199215801E-7</v>
      </c>
      <c r="P2179" s="2">
        <f t="shared" ref="P2179:P2242" si="90">(M2179-N2179)^2/O2179</f>
        <v>0.36610602903736761</v>
      </c>
    </row>
    <row r="2180" spans="13:16" x14ac:dyDescent="0.25">
      <c r="M2180">
        <v>1.7646192287752001</v>
      </c>
      <c r="N2180">
        <v>1.7647885814712301</v>
      </c>
      <c r="O2180" s="1">
        <v>2.61275045022429E-8</v>
      </c>
      <c r="P2180" s="2">
        <f t="shared" si="90"/>
        <v>1.0977066581377983</v>
      </c>
    </row>
    <row r="2181" spans="13:16" x14ac:dyDescent="0.25">
      <c r="M2181">
        <v>1.9316325474168199</v>
      </c>
      <c r="N2181">
        <v>1.93176952239772</v>
      </c>
      <c r="O2181" s="1">
        <v>3.2439105566663097E-8</v>
      </c>
      <c r="P2181" s="2">
        <f t="shared" si="90"/>
        <v>0.57838047827921912</v>
      </c>
    </row>
    <row r="2182" spans="13:16" x14ac:dyDescent="0.25">
      <c r="M2182">
        <v>4.1774318041849501</v>
      </c>
      <c r="N2182">
        <v>4.1774716496118902</v>
      </c>
      <c r="O2182" s="1">
        <v>6.1402494665254E-8</v>
      </c>
      <c r="P2182" s="2">
        <f t="shared" si="90"/>
        <v>2.5856572386787176E-2</v>
      </c>
    </row>
    <row r="2183" spans="13:16" x14ac:dyDescent="0.25">
      <c r="M2183">
        <v>1.7647678057762199</v>
      </c>
      <c r="N2183">
        <v>1.76487927072152</v>
      </c>
      <c r="O2183" s="1">
        <v>1.0860795844581299E-8</v>
      </c>
      <c r="P2183" s="2">
        <f t="shared" si="90"/>
        <v>1.1439708662724903</v>
      </c>
    </row>
    <row r="2184" spans="13:16" x14ac:dyDescent="0.25">
      <c r="M2184">
        <v>1.9318095394542101</v>
      </c>
      <c r="N2184">
        <v>1.93180982229585</v>
      </c>
      <c r="O2184" s="1">
        <v>1.1380457118944699E-8</v>
      </c>
      <c r="P2184" s="2">
        <f t="shared" si="90"/>
        <v>7.029541293275533E-6</v>
      </c>
    </row>
    <row r="2185" spans="13:16" x14ac:dyDescent="0.25">
      <c r="M2185">
        <v>4.1786311824511202</v>
      </c>
      <c r="N2185">
        <v>4.1788507980315597</v>
      </c>
      <c r="O2185" s="1">
        <v>9.0569792500273299E-8</v>
      </c>
      <c r="P2185" s="2">
        <f t="shared" si="90"/>
        <v>0.53252858199519926</v>
      </c>
    </row>
    <row r="2186" spans="13:16" x14ac:dyDescent="0.25">
      <c r="M2186">
        <v>1.7652642842461399</v>
      </c>
      <c r="N2186">
        <v>1.7652128355632</v>
      </c>
      <c r="O2186" s="1">
        <v>1.4706498456503E-8</v>
      </c>
      <c r="P2186" s="2">
        <f t="shared" si="90"/>
        <v>0.17998621385525282</v>
      </c>
    </row>
    <row r="2187" spans="13:16" x14ac:dyDescent="0.25">
      <c r="M2187">
        <v>1.93177412492553</v>
      </c>
      <c r="N2187">
        <v>1.93195803908441</v>
      </c>
      <c r="O2187" s="1">
        <v>2.30937238136426E-8</v>
      </c>
      <c r="P2187" s="2">
        <f t="shared" si="90"/>
        <v>1.4646584548025914</v>
      </c>
    </row>
    <row r="2188" spans="13:16" x14ac:dyDescent="0.25">
      <c r="M2188">
        <v>4.1798377342785598</v>
      </c>
      <c r="N2188">
        <v>4.18016323789689</v>
      </c>
      <c r="O2188" s="1">
        <v>6.7433223480278898E-8</v>
      </c>
      <c r="P2188" s="2">
        <f t="shared" si="90"/>
        <v>1.5712226122052617</v>
      </c>
    </row>
    <row r="2189" spans="13:16" x14ac:dyDescent="0.25">
      <c r="M2189">
        <v>1.7652611531575899</v>
      </c>
      <c r="N2189">
        <v>1.7655302223835201</v>
      </c>
      <c r="O2189" s="1">
        <v>1.2649187217293101E-8</v>
      </c>
      <c r="P2189" s="2">
        <f t="shared" si="90"/>
        <v>5.723549434360903</v>
      </c>
    </row>
    <row r="2190" spans="13:16" x14ac:dyDescent="0.25">
      <c r="M2190">
        <v>1.9318560352562899</v>
      </c>
      <c r="N2190">
        <v>1.93209905185654</v>
      </c>
      <c r="O2190" s="1">
        <v>1.23064371136267E-8</v>
      </c>
      <c r="P2190" s="2">
        <f t="shared" si="90"/>
        <v>4.7988761858379787</v>
      </c>
    </row>
    <row r="2191" spans="13:16" x14ac:dyDescent="0.25">
      <c r="M2191">
        <v>4.1821340553835498</v>
      </c>
      <c r="N2191">
        <v>4.1810270626694299</v>
      </c>
      <c r="O2191" s="1">
        <v>9.5457289091294596E-8</v>
      </c>
      <c r="P2191" s="2">
        <f t="shared" si="90"/>
        <v>12.837499166170877</v>
      </c>
    </row>
    <row r="2192" spans="13:16" x14ac:dyDescent="0.25">
      <c r="M2192">
        <v>1.76602019694782</v>
      </c>
      <c r="N2192">
        <v>1.76573909754646</v>
      </c>
      <c r="O2192" s="1">
        <v>2.47875174952031E-8</v>
      </c>
      <c r="P2192" s="2">
        <f t="shared" si="90"/>
        <v>3.1877687412725413</v>
      </c>
    </row>
    <row r="2193" spans="13:16" x14ac:dyDescent="0.25">
      <c r="M2193">
        <v>1.93285365926733</v>
      </c>
      <c r="N2193">
        <v>1.9321918454328899</v>
      </c>
      <c r="O2193" s="1">
        <v>2.90717299286543E-8</v>
      </c>
      <c r="P2193" s="2">
        <f t="shared" si="90"/>
        <v>15.066098664619815</v>
      </c>
    </row>
    <row r="2194" spans="13:16" x14ac:dyDescent="0.25">
      <c r="M2194">
        <v>4.18229996735342</v>
      </c>
      <c r="N2194">
        <v>4.1820468145477401</v>
      </c>
      <c r="O2194" s="1">
        <v>1.32964809208466E-7</v>
      </c>
      <c r="P2194" s="2">
        <f t="shared" si="90"/>
        <v>0.48197973136750843</v>
      </c>
    </row>
    <row r="2195" spans="13:16" x14ac:dyDescent="0.25">
      <c r="M2195">
        <v>1.76611662161181</v>
      </c>
      <c r="N2195">
        <v>1.7659856525633999</v>
      </c>
      <c r="O2195" s="1">
        <v>2.4196070706322001E-8</v>
      </c>
      <c r="P2195" s="2">
        <f t="shared" si="90"/>
        <v>0.70891227958667302</v>
      </c>
    </row>
    <row r="2196" spans="13:16" x14ac:dyDescent="0.25">
      <c r="M2196">
        <v>1.93244417840772</v>
      </c>
      <c r="N2196">
        <v>1.9323013700353</v>
      </c>
      <c r="O2196" s="1">
        <v>3.41981781193011E-8</v>
      </c>
      <c r="P2196" s="2">
        <f t="shared" si="90"/>
        <v>0.59635431928851323</v>
      </c>
    </row>
    <row r="2197" spans="13:16" x14ac:dyDescent="0.25">
      <c r="M2197">
        <v>4.1834431983664704</v>
      </c>
      <c r="N2197">
        <v>4.18322629979538</v>
      </c>
      <c r="O2197" s="1">
        <v>1.05065344397346E-7</v>
      </c>
      <c r="P2197" s="2">
        <f t="shared" si="90"/>
        <v>0.44776886623191364</v>
      </c>
    </row>
    <row r="2198" spans="13:16" x14ac:dyDescent="0.25">
      <c r="M2198">
        <v>1.7662993241254299</v>
      </c>
      <c r="N2198">
        <v>1.76627079577073</v>
      </c>
      <c r="O2198" s="1">
        <v>1.9547963387300801E-8</v>
      </c>
      <c r="P2198" s="2">
        <f t="shared" si="90"/>
        <v>4.1634363936475273E-2</v>
      </c>
    </row>
    <row r="2199" spans="13:16" x14ac:dyDescent="0.25">
      <c r="M2199">
        <v>1.93261420611333</v>
      </c>
      <c r="N2199">
        <v>1.9324280249466399</v>
      </c>
      <c r="O2199" s="1">
        <v>1.7716839511763801E-8</v>
      </c>
      <c r="P2199" s="2">
        <f t="shared" si="90"/>
        <v>1.95652428905707</v>
      </c>
    </row>
    <row r="2200" spans="13:16" x14ac:dyDescent="0.25">
      <c r="M2200">
        <v>4.18362955672188</v>
      </c>
      <c r="N2200">
        <v>4.1837154482837997</v>
      </c>
      <c r="O2200" s="1">
        <v>1.13444907000134E-7</v>
      </c>
      <c r="P2200" s="2">
        <f t="shared" si="90"/>
        <v>6.5030335905722048E-2</v>
      </c>
    </row>
    <row r="2201" spans="13:16" x14ac:dyDescent="0.25">
      <c r="M2201">
        <v>1.7663669685346799</v>
      </c>
      <c r="N2201">
        <v>1.7663890384343199</v>
      </c>
      <c r="O2201" s="1">
        <v>3.3030399422287697E-8</v>
      </c>
      <c r="P2201" s="2">
        <f t="shared" si="90"/>
        <v>1.4746429914283373E-2</v>
      </c>
    </row>
    <row r="2202" spans="13:16" x14ac:dyDescent="0.25">
      <c r="M2202">
        <v>1.93240967450017</v>
      </c>
      <c r="N2202">
        <v>1.93248054241089</v>
      </c>
      <c r="O2202" s="1">
        <v>2.9600074252125601E-8</v>
      </c>
      <c r="P2202" s="2">
        <f t="shared" si="90"/>
        <v>0.16967054633160383</v>
      </c>
    </row>
    <row r="2203" spans="13:16" x14ac:dyDescent="0.25">
      <c r="M2203">
        <v>4.1838056255008302</v>
      </c>
      <c r="N2203">
        <v>4.1834686568184001</v>
      </c>
      <c r="O2203" s="1">
        <v>1.19425680062143E-7</v>
      </c>
      <c r="P2203" s="2">
        <f t="shared" si="90"/>
        <v>0.95078288756349705</v>
      </c>
    </row>
    <row r="2204" spans="13:16" x14ac:dyDescent="0.25">
      <c r="M2204">
        <v>1.7666000931980299</v>
      </c>
      <c r="N2204">
        <v>1.76632938186871</v>
      </c>
      <c r="O2204" s="1">
        <v>2.9974052978300698E-8</v>
      </c>
      <c r="P2204" s="2">
        <f t="shared" si="90"/>
        <v>2.4449354204849083</v>
      </c>
    </row>
    <row r="2205" spans="13:16" x14ac:dyDescent="0.25">
      <c r="M2205">
        <v>1.9326453620567401</v>
      </c>
      <c r="N2205">
        <v>1.93245404621576</v>
      </c>
      <c r="O2205" s="1">
        <v>3.8232063788387501E-8</v>
      </c>
      <c r="P2205" s="2">
        <f t="shared" si="90"/>
        <v>0.95735744773045317</v>
      </c>
    </row>
    <row r="2206" spans="13:16" x14ac:dyDescent="0.25">
      <c r="M2206">
        <v>4.1842675424348501</v>
      </c>
      <c r="N2206">
        <v>4.1837605456195401</v>
      </c>
      <c r="O2206" s="1">
        <v>7.2620136787338394E-8</v>
      </c>
      <c r="P2206" s="2">
        <f t="shared" si="90"/>
        <v>3.5395935907857821</v>
      </c>
    </row>
    <row r="2207" spans="13:16" x14ac:dyDescent="0.25">
      <c r="M2207">
        <v>1.7667630459213799</v>
      </c>
      <c r="N2207">
        <v>1.7663999395894601</v>
      </c>
      <c r="O2207" s="1">
        <v>8.5757448020332098E-9</v>
      </c>
      <c r="P2207" s="2">
        <f t="shared" si="90"/>
        <v>15.374315738618094</v>
      </c>
    </row>
    <row r="2208" spans="13:16" x14ac:dyDescent="0.25">
      <c r="M2208">
        <v>1.9329633122788299</v>
      </c>
      <c r="N2208">
        <v>1.9324853840524401</v>
      </c>
      <c r="O2208" s="1">
        <v>1.5425384369463901E-8</v>
      </c>
      <c r="P2208" s="2">
        <f t="shared" si="90"/>
        <v>14.807759995419159</v>
      </c>
    </row>
    <row r="2209" spans="13:16" x14ac:dyDescent="0.25">
      <c r="M2209">
        <v>4.1840186958654497</v>
      </c>
      <c r="N2209">
        <v>4.1841296615021104</v>
      </c>
      <c r="O2209" s="1">
        <v>2.61410747943687E-7</v>
      </c>
      <c r="P2209" s="2">
        <f t="shared" si="90"/>
        <v>4.7103543432591197E-2</v>
      </c>
    </row>
    <row r="2210" spans="13:16" x14ac:dyDescent="0.25">
      <c r="M2210">
        <v>1.7663653021188901</v>
      </c>
      <c r="N2210">
        <v>1.76648916225171</v>
      </c>
      <c r="O2210" s="1">
        <v>4.1915751000596701E-8</v>
      </c>
      <c r="P2210" s="2">
        <f t="shared" si="90"/>
        <v>0.36600399935475275</v>
      </c>
    </row>
    <row r="2211" spans="13:16" x14ac:dyDescent="0.25">
      <c r="M2211">
        <v>1.9325163008674699</v>
      </c>
      <c r="N2211">
        <v>1.9325250107590399</v>
      </c>
      <c r="O2211" s="1">
        <v>4.7262684732871901E-8</v>
      </c>
      <c r="P2211" s="2">
        <f t="shared" si="90"/>
        <v>1.6051185325079063E-3</v>
      </c>
    </row>
    <row r="2212" spans="13:16" x14ac:dyDescent="0.25">
      <c r="M2212">
        <v>4.1847621757662798</v>
      </c>
      <c r="N2212">
        <v>4.1842295167653099</v>
      </c>
      <c r="O2212" s="1">
        <v>1.08823012261876E-7</v>
      </c>
      <c r="P2212" s="2">
        <f t="shared" si="90"/>
        <v>2.6072207101893321</v>
      </c>
    </row>
    <row r="2213" spans="13:16" x14ac:dyDescent="0.25">
      <c r="M2213">
        <v>1.76684872234673</v>
      </c>
      <c r="N2213">
        <v>1.7665132986798799</v>
      </c>
      <c r="O2213" s="1">
        <v>1.83538838506678E-8</v>
      </c>
      <c r="P2213" s="2">
        <f t="shared" si="90"/>
        <v>6.1299851954233811</v>
      </c>
    </row>
    <row r="2214" spans="13:16" x14ac:dyDescent="0.25">
      <c r="M2214">
        <v>1.93287899202055</v>
      </c>
      <c r="N2214">
        <v>1.93253573033301</v>
      </c>
      <c r="O2214" s="1">
        <v>3.5011298158785303E-8</v>
      </c>
      <c r="P2214" s="2">
        <f t="shared" si="90"/>
        <v>3.3654446515656002</v>
      </c>
    </row>
    <row r="2215" spans="13:16" x14ac:dyDescent="0.25">
      <c r="M2215">
        <v>1.1430927453942199</v>
      </c>
      <c r="N2215">
        <v>1.1431122298805401</v>
      </c>
      <c r="O2215" s="1">
        <v>3.8773122343465797E-9</v>
      </c>
      <c r="P2215" s="2">
        <f t="shared" si="90"/>
        <v>9.7914530534235128E-2</v>
      </c>
    </row>
    <row r="2216" spans="13:16" x14ac:dyDescent="0.25">
      <c r="M2216">
        <v>0.98885029614006303</v>
      </c>
      <c r="N2216">
        <v>0.98887004570943504</v>
      </c>
      <c r="O2216" s="1">
        <v>2.8756679760946301E-9</v>
      </c>
      <c r="P2216" s="2">
        <f t="shared" si="90"/>
        <v>0.13563648293967542</v>
      </c>
    </row>
    <row r="2217" spans="13:16" x14ac:dyDescent="0.25">
      <c r="M2217">
        <v>1.1431257022389201</v>
      </c>
      <c r="N2217">
        <v>1.14311796037437</v>
      </c>
      <c r="O2217" s="1">
        <v>3.7006313540373998E-9</v>
      </c>
      <c r="P2217" s="2">
        <f t="shared" si="90"/>
        <v>1.6196281385002568E-2</v>
      </c>
    </row>
    <row r="2218" spans="13:16" x14ac:dyDescent="0.25">
      <c r="M2218">
        <v>0.98887386569733604</v>
      </c>
      <c r="N2218">
        <v>0.98886670598445503</v>
      </c>
      <c r="O2218" s="1">
        <v>2.7461413860282298E-9</v>
      </c>
      <c r="P2218" s="2">
        <f t="shared" si="90"/>
        <v>1.8666733183993856E-2</v>
      </c>
    </row>
    <row r="2219" spans="13:16" x14ac:dyDescent="0.25">
      <c r="M2219">
        <v>1.1429855024059901</v>
      </c>
      <c r="N2219">
        <v>1.1430726866780501</v>
      </c>
      <c r="O2219" s="1">
        <v>1.4745829850646101E-9</v>
      </c>
      <c r="P2219" s="2">
        <f t="shared" si="90"/>
        <v>5.1547436608321302</v>
      </c>
    </row>
    <row r="2220" spans="13:16" x14ac:dyDescent="0.25">
      <c r="M2220">
        <v>0.98873772420586103</v>
      </c>
      <c r="N2220">
        <v>0.98889309220460198</v>
      </c>
      <c r="O2220" s="1">
        <v>2.4167554395914999E-9</v>
      </c>
      <c r="P2220" s="2">
        <f t="shared" si="90"/>
        <v>9.9882737977182945</v>
      </c>
    </row>
    <row r="2221" spans="13:16" x14ac:dyDescent="0.25">
      <c r="M2221">
        <v>1.14309447675416</v>
      </c>
      <c r="N2221">
        <v>1.1430687629356699</v>
      </c>
      <c r="O2221" s="1">
        <v>1.5882307033971601E-9</v>
      </c>
      <c r="P2221" s="2">
        <f t="shared" si="90"/>
        <v>0.41631260491580446</v>
      </c>
    </row>
    <row r="2222" spans="13:16" x14ac:dyDescent="0.25">
      <c r="M2222">
        <v>0.98892445604637202</v>
      </c>
      <c r="N2222">
        <v>0.98889537910555403</v>
      </c>
      <c r="O2222" s="1">
        <v>1.6627535863526701E-9</v>
      </c>
      <c r="P2222" s="2">
        <f t="shared" si="90"/>
        <v>0.50847491430633929</v>
      </c>
    </row>
    <row r="2223" spans="13:16" x14ac:dyDescent="0.25">
      <c r="M2223">
        <v>1.14303306178994</v>
      </c>
      <c r="N2223">
        <v>1.1430572242697901</v>
      </c>
      <c r="O2223" s="1">
        <v>1.1384115571686099E-9</v>
      </c>
      <c r="P2223" s="2">
        <f t="shared" si="90"/>
        <v>0.51284215170459257</v>
      </c>
    </row>
    <row r="2224" spans="13:16" x14ac:dyDescent="0.25">
      <c r="M2224">
        <v>0.98886452892749899</v>
      </c>
      <c r="N2224">
        <v>0.98890210433931003</v>
      </c>
      <c r="O2224" s="1">
        <v>1.81860103331157E-9</v>
      </c>
      <c r="P2224" s="2">
        <f t="shared" si="90"/>
        <v>0.77637235815177952</v>
      </c>
    </row>
    <row r="2225" spans="13:16" x14ac:dyDescent="0.25">
      <c r="M2225">
        <v>1.1430901362191399</v>
      </c>
      <c r="N2225">
        <v>1.1430882519127199</v>
      </c>
      <c r="O2225" s="1">
        <v>1.5814503149302399E-9</v>
      </c>
      <c r="P2225" s="2">
        <f t="shared" si="90"/>
        <v>2.2451610720632112E-3</v>
      </c>
    </row>
    <row r="2226" spans="13:16" x14ac:dyDescent="0.25">
      <c r="M2226">
        <v>0.98888596704485399</v>
      </c>
      <c r="N2226">
        <v>0.98888402034445499</v>
      </c>
      <c r="O2226" s="1">
        <v>1.34497549698379E-9</v>
      </c>
      <c r="P2226" s="2">
        <f t="shared" si="90"/>
        <v>2.8176293560233088E-3</v>
      </c>
    </row>
    <row r="2227" spans="13:16" x14ac:dyDescent="0.25">
      <c r="M2227">
        <v>1.14311298239855</v>
      </c>
      <c r="N2227">
        <v>1.1431190535906799</v>
      </c>
      <c r="O2227" s="1">
        <v>1.6644779242716801E-9</v>
      </c>
      <c r="P2227" s="2">
        <f t="shared" si="90"/>
        <v>2.2144705760831589E-2</v>
      </c>
    </row>
    <row r="2228" spans="13:16" x14ac:dyDescent="0.25">
      <c r="M2228">
        <v>0.98886006532947701</v>
      </c>
      <c r="N2228">
        <v>0.98886606886247397</v>
      </c>
      <c r="O2228" s="1">
        <v>1.3499257404740601E-9</v>
      </c>
      <c r="P2228" s="2">
        <f t="shared" si="90"/>
        <v>2.6699548993627545E-2</v>
      </c>
    </row>
    <row r="2229" spans="13:16" x14ac:dyDescent="0.25">
      <c r="M2229">
        <v>1.1430212362262899</v>
      </c>
      <c r="N2229">
        <v>1.1430524140642599</v>
      </c>
      <c r="O2229" s="1">
        <v>1.4982112875248501E-9</v>
      </c>
      <c r="P2229" s="2">
        <f t="shared" si="90"/>
        <v>0.64881207916323413</v>
      </c>
    </row>
    <row r="2230" spans="13:16" x14ac:dyDescent="0.25">
      <c r="M2230">
        <v>0.98887233507975902</v>
      </c>
      <c r="N2230">
        <v>0.98890490796878705</v>
      </c>
      <c r="O2230" s="1">
        <v>1.3597444587955E-9</v>
      </c>
      <c r="P2230" s="2">
        <f t="shared" si="90"/>
        <v>0.78028859964759634</v>
      </c>
    </row>
    <row r="2231" spans="13:16" x14ac:dyDescent="0.25">
      <c r="M2231">
        <v>1.1430963240766601</v>
      </c>
      <c r="N2231">
        <v>1.14310561850712</v>
      </c>
      <c r="O2231" s="1">
        <v>1.19592598283191E-9</v>
      </c>
      <c r="P2231" s="2">
        <f t="shared" si="90"/>
        <v>7.2233933215559487E-2</v>
      </c>
    </row>
    <row r="2232" spans="13:16" x14ac:dyDescent="0.25">
      <c r="M2232">
        <v>0.98886179049246303</v>
      </c>
      <c r="N2232">
        <v>0.98887389884480503</v>
      </c>
      <c r="O2232" s="1">
        <v>1.69521447100224E-9</v>
      </c>
      <c r="P2232" s="2">
        <f t="shared" si="90"/>
        <v>8.6485927855091488E-2</v>
      </c>
    </row>
    <row r="2233" spans="13:16" x14ac:dyDescent="0.25">
      <c r="M2233">
        <v>1.1430989041234301</v>
      </c>
      <c r="N2233">
        <v>1.1431188224342801</v>
      </c>
      <c r="O2233" s="1">
        <v>1.2927806849488201E-9</v>
      </c>
      <c r="P2233" s="2">
        <f t="shared" si="90"/>
        <v>0.30688817657709122</v>
      </c>
    </row>
    <row r="2234" spans="13:16" x14ac:dyDescent="0.25">
      <c r="M2234">
        <v>0.98884567438383197</v>
      </c>
      <c r="N2234">
        <v>0.98886620357939403</v>
      </c>
      <c r="O2234" s="1">
        <v>1.11672542210412E-9</v>
      </c>
      <c r="P2234" s="2">
        <f t="shared" si="90"/>
        <v>0.37739614598468707</v>
      </c>
    </row>
    <row r="2235" spans="13:16" x14ac:dyDescent="0.25">
      <c r="M2235">
        <v>1.1431905883403</v>
      </c>
      <c r="N2235">
        <v>1.1432002474440099</v>
      </c>
      <c r="O2235" s="1">
        <v>2.48844478347115E-9</v>
      </c>
      <c r="P2235" s="2">
        <f t="shared" si="90"/>
        <v>3.7492607872942889E-2</v>
      </c>
    </row>
    <row r="2236" spans="13:16" x14ac:dyDescent="0.25">
      <c r="M2236">
        <v>0.988811610115781</v>
      </c>
      <c r="N2236">
        <v>0.98881875226821903</v>
      </c>
      <c r="O2236" s="1">
        <v>1.22730705098068E-9</v>
      </c>
      <c r="P2236" s="2">
        <f t="shared" si="90"/>
        <v>4.1562819513818031E-2</v>
      </c>
    </row>
    <row r="2237" spans="13:16" x14ac:dyDescent="0.25">
      <c r="M2237">
        <v>1.1431589068403001</v>
      </c>
      <c r="N2237">
        <v>1.1431784047881099</v>
      </c>
      <c r="O2237" s="1">
        <v>1.14921976402815E-9</v>
      </c>
      <c r="P2237" s="2">
        <f t="shared" si="90"/>
        <v>0.33080702290021674</v>
      </c>
    </row>
    <row r="2238" spans="13:16" x14ac:dyDescent="0.25">
      <c r="M2238">
        <v>0.98880660788143204</v>
      </c>
      <c r="N2238">
        <v>0.98883148075862404</v>
      </c>
      <c r="O2238" s="1">
        <v>1.5674670621685899E-9</v>
      </c>
      <c r="P2238" s="2">
        <f t="shared" si="90"/>
        <v>0.3946877320357472</v>
      </c>
    </row>
    <row r="2239" spans="13:16" x14ac:dyDescent="0.25">
      <c r="M2239">
        <v>4.6754440332299199</v>
      </c>
      <c r="N2239">
        <v>4.6762575116338398</v>
      </c>
      <c r="O2239" s="1">
        <v>1.66604475064635E-7</v>
      </c>
      <c r="P2239" s="2">
        <f t="shared" si="90"/>
        <v>3.9719648189971002</v>
      </c>
    </row>
    <row r="2240" spans="13:16" x14ac:dyDescent="0.25">
      <c r="M2240">
        <v>1.9764232322715201</v>
      </c>
      <c r="N2240">
        <v>1.97680131320191</v>
      </c>
      <c r="O2240" s="1">
        <v>4.1231125345328798E-8</v>
      </c>
      <c r="P2240" s="2">
        <f t="shared" si="90"/>
        <v>3.4669242890483774</v>
      </c>
    </row>
    <row r="2241" spans="13:16" x14ac:dyDescent="0.25">
      <c r="M2241">
        <v>2.1639496721692901</v>
      </c>
      <c r="N2241">
        <v>2.1645060733565402</v>
      </c>
      <c r="O2241" s="1">
        <v>3.2973241263607302E-8</v>
      </c>
      <c r="P2241" s="2">
        <f t="shared" si="90"/>
        <v>9.3888944280098805</v>
      </c>
    </row>
    <row r="2242" spans="13:16" x14ac:dyDescent="0.25">
      <c r="M2242">
        <v>4.6762711736497904</v>
      </c>
      <c r="N2242">
        <v>4.6765058892559503</v>
      </c>
      <c r="O2242" s="1">
        <v>9.2318105326264495E-8</v>
      </c>
      <c r="P2242" s="2">
        <f t="shared" si="90"/>
        <v>0.59675635218393286</v>
      </c>
    </row>
    <row r="2243" spans="13:16" x14ac:dyDescent="0.25">
      <c r="M2243">
        <v>1.9766279399370501</v>
      </c>
      <c r="N2243">
        <v>1.9768657664609499</v>
      </c>
      <c r="O2243" s="1">
        <v>2.7881217539168701E-8</v>
      </c>
      <c r="P2243" s="2">
        <f t="shared" ref="P2243:P2306" si="91">(M2243-N2243)^2/O2243</f>
        <v>2.0286580164874977</v>
      </c>
    </row>
    <row r="2244" spans="13:16" x14ac:dyDescent="0.25">
      <c r="M2244">
        <v>2.1643893057938701</v>
      </c>
      <c r="N2244">
        <v>2.16454429480279</v>
      </c>
      <c r="O2244" s="1">
        <v>3.1337509485905603E-8</v>
      </c>
      <c r="P2244" s="2">
        <f t="shared" si="91"/>
        <v>0.76654441530409911</v>
      </c>
    </row>
    <row r="2245" spans="13:16" x14ac:dyDescent="0.25">
      <c r="M2245">
        <v>4.6775794884010002</v>
      </c>
      <c r="N2245">
        <v>4.6781900386673501</v>
      </c>
      <c r="O2245" s="1">
        <v>6.4174316377218802E-8</v>
      </c>
      <c r="P2245" s="2">
        <f t="shared" si="91"/>
        <v>5.8087354690102213</v>
      </c>
    </row>
    <row r="2246" spans="13:16" x14ac:dyDescent="0.25">
      <c r="M2246">
        <v>1.97701643181122</v>
      </c>
      <c r="N2246">
        <v>1.9773027633942</v>
      </c>
      <c r="O2246" s="1">
        <v>1.25507876549069E-8</v>
      </c>
      <c r="P2246" s="2">
        <f t="shared" si="91"/>
        <v>6.5323211312369196</v>
      </c>
    </row>
    <row r="2247" spans="13:16" x14ac:dyDescent="0.25">
      <c r="M2247">
        <v>2.16441238446922</v>
      </c>
      <c r="N2247">
        <v>2.16480342341855</v>
      </c>
      <c r="O2247" s="1">
        <v>1.6836049189463501E-8</v>
      </c>
      <c r="P2247" s="2">
        <f t="shared" si="91"/>
        <v>9.0823837690387332</v>
      </c>
    </row>
    <row r="2248" spans="13:16" x14ac:dyDescent="0.25">
      <c r="M2248">
        <v>4.6787368325032999</v>
      </c>
      <c r="N2248">
        <v>4.6786144847378699</v>
      </c>
      <c r="O2248" s="1">
        <v>5.9684584649112894E-8</v>
      </c>
      <c r="P2248" s="2">
        <f t="shared" si="91"/>
        <v>0.25080137180661527</v>
      </c>
    </row>
    <row r="2249" spans="13:16" x14ac:dyDescent="0.25">
      <c r="M2249">
        <v>1.9776247086718</v>
      </c>
      <c r="N2249">
        <v>1.97741288752461</v>
      </c>
      <c r="O2249" s="1">
        <v>9.7946882928606994E-9</v>
      </c>
      <c r="P2249" s="2">
        <f t="shared" si="91"/>
        <v>4.5808704733957484</v>
      </c>
    </row>
    <row r="2250" spans="13:16" x14ac:dyDescent="0.25">
      <c r="M2250">
        <v>2.16479953069181</v>
      </c>
      <c r="N2250">
        <v>2.16486872022372</v>
      </c>
      <c r="O2250" s="1">
        <v>1.77811137448865E-8</v>
      </c>
      <c r="P2250" s="2">
        <f t="shared" si="91"/>
        <v>0.26922899176140153</v>
      </c>
    </row>
    <row r="2251" spans="13:16" x14ac:dyDescent="0.25">
      <c r="M2251">
        <v>4.6812787632907398</v>
      </c>
      <c r="N2251">
        <v>4.6811912482235698</v>
      </c>
      <c r="O2251" s="1">
        <v>1.0674447840065E-7</v>
      </c>
      <c r="P2251" s="2">
        <f t="shared" si="91"/>
        <v>7.1749725105392126E-2</v>
      </c>
    </row>
    <row r="2252" spans="13:16" x14ac:dyDescent="0.25">
      <c r="M2252">
        <v>1.9781413355217601</v>
      </c>
      <c r="N2252">
        <v>1.97808135572899</v>
      </c>
      <c r="O2252" s="1">
        <v>2.3404447321078399E-8</v>
      </c>
      <c r="P2252" s="2">
        <f t="shared" si="91"/>
        <v>0.15371333026519551</v>
      </c>
    </row>
    <row r="2253" spans="13:16" x14ac:dyDescent="0.25">
      <c r="M2253">
        <v>2.16531609056248</v>
      </c>
      <c r="N2253">
        <v>2.16526504480135</v>
      </c>
      <c r="O2253" s="1">
        <v>2.0625183600277701E-8</v>
      </c>
      <c r="P2253" s="2">
        <f t="shared" si="91"/>
        <v>0.12633437742139397</v>
      </c>
    </row>
    <row r="2254" spans="13:16" x14ac:dyDescent="0.25">
      <c r="M2254">
        <v>4.6817211083913897</v>
      </c>
      <c r="N2254">
        <v>4.6815263598695296</v>
      </c>
      <c r="O2254" s="1">
        <v>6.3236389884979302E-8</v>
      </c>
      <c r="P2254" s="2">
        <f t="shared" si="91"/>
        <v>0.59976521170279495</v>
      </c>
    </row>
    <row r="2255" spans="13:16" x14ac:dyDescent="0.25">
      <c r="M2255">
        <v>1.9782199367809901</v>
      </c>
      <c r="N2255">
        <v>1.9781682804993901</v>
      </c>
      <c r="O2255" s="1">
        <v>1.53711883363849E-8</v>
      </c>
      <c r="P2255" s="2">
        <f t="shared" si="91"/>
        <v>0.17359564988347842</v>
      </c>
    </row>
    <row r="2256" spans="13:16" x14ac:dyDescent="0.25">
      <c r="M2256">
        <v>2.1655105979497802</v>
      </c>
      <c r="N2256">
        <v>2.1653165766574101</v>
      </c>
      <c r="O2256" s="1">
        <v>2.5600390473703801E-8</v>
      </c>
      <c r="P2256" s="2">
        <f t="shared" si="91"/>
        <v>1.4704565514982186</v>
      </c>
    </row>
    <row r="2257" spans="13:16" x14ac:dyDescent="0.25">
      <c r="M2257">
        <v>4.6843269626189503</v>
      </c>
      <c r="N2257">
        <v>4.6844055208738196</v>
      </c>
      <c r="O2257" s="1">
        <v>9.4780883007148196E-8</v>
      </c>
      <c r="P2257" s="2">
        <f t="shared" si="91"/>
        <v>6.5112280159233524E-2</v>
      </c>
    </row>
    <row r="2258" spans="13:16" x14ac:dyDescent="0.25">
      <c r="M2258">
        <v>1.97866247608526</v>
      </c>
      <c r="N2258">
        <v>1.97891500848025</v>
      </c>
      <c r="O2258" s="1">
        <v>2.0036133399590901E-8</v>
      </c>
      <c r="P2258" s="2">
        <f t="shared" si="91"/>
        <v>3.1828801120227066</v>
      </c>
    </row>
    <row r="2259" spans="13:16" x14ac:dyDescent="0.25">
      <c r="M2259">
        <v>2.1658350146696499</v>
      </c>
      <c r="N2259">
        <v>2.1657592187530201</v>
      </c>
      <c r="O2259" s="1">
        <v>2.5115037335588801E-8</v>
      </c>
      <c r="P2259" s="2">
        <f t="shared" si="91"/>
        <v>0.22874825551642367</v>
      </c>
    </row>
    <row r="2260" spans="13:16" x14ac:dyDescent="0.25">
      <c r="M2260">
        <v>4.6846331799251502</v>
      </c>
      <c r="N2260">
        <v>4.6852681886233398</v>
      </c>
      <c r="O2260" s="1">
        <v>9.8132583185894104E-8</v>
      </c>
      <c r="P2260" s="2">
        <f t="shared" si="91"/>
        <v>4.1090943872605177</v>
      </c>
    </row>
    <row r="2261" spans="13:16" x14ac:dyDescent="0.25">
      <c r="M2261">
        <v>1.9788541426316399</v>
      </c>
      <c r="N2261">
        <v>1.9791387121192401</v>
      </c>
      <c r="O2261" s="1">
        <v>2.0351267606894101E-8</v>
      </c>
      <c r="P2261" s="2">
        <f t="shared" si="91"/>
        <v>3.9791031613958756</v>
      </c>
    </row>
    <row r="2262" spans="13:16" x14ac:dyDescent="0.25">
      <c r="M2262">
        <v>2.1653875656614301</v>
      </c>
      <c r="N2262">
        <v>2.1658918098970399</v>
      </c>
      <c r="O2262" s="1">
        <v>1.75728591215771E-8</v>
      </c>
      <c r="P2262" s="2">
        <f t="shared" si="91"/>
        <v>14.469031327606116</v>
      </c>
    </row>
    <row r="2263" spans="13:16" x14ac:dyDescent="0.25">
      <c r="M2263">
        <v>4.6886152847135101</v>
      </c>
      <c r="N2263">
        <v>4.68808669798271</v>
      </c>
      <c r="O2263" s="1">
        <v>8.1950389847488397E-8</v>
      </c>
      <c r="P2263" s="2">
        <f t="shared" si="91"/>
        <v>3.4094277342406762</v>
      </c>
    </row>
    <row r="2264" spans="13:16" x14ac:dyDescent="0.25">
      <c r="M2264">
        <v>1.97996799276888</v>
      </c>
      <c r="N2264">
        <v>1.9798694861385699</v>
      </c>
      <c r="O2264" s="1">
        <v>1.3209628620913E-8</v>
      </c>
      <c r="P2264" s="2">
        <f t="shared" si="91"/>
        <v>0.73458206082224597</v>
      </c>
    </row>
    <row r="2265" spans="13:16" x14ac:dyDescent="0.25">
      <c r="M2265">
        <v>2.1667496066894798</v>
      </c>
      <c r="N2265">
        <v>2.1663248983113701</v>
      </c>
      <c r="O2265" s="1">
        <v>1.9851161978283401E-8</v>
      </c>
      <c r="P2265" s="2">
        <f t="shared" si="91"/>
        <v>9.0864810147589612</v>
      </c>
    </row>
    <row r="2266" spans="13:16" x14ac:dyDescent="0.25">
      <c r="M2266">
        <v>4.6880750101926703</v>
      </c>
      <c r="N2266">
        <v>4.6879222090380601</v>
      </c>
      <c r="O2266" s="1">
        <v>9.5095739704341697E-8</v>
      </c>
      <c r="P2266" s="2">
        <f t="shared" si="91"/>
        <v>0.24552301630737905</v>
      </c>
    </row>
    <row r="2267" spans="13:16" x14ac:dyDescent="0.25">
      <c r="M2267">
        <v>1.97996044496123</v>
      </c>
      <c r="N2267">
        <v>1.9798268426376</v>
      </c>
      <c r="O2267" s="1">
        <v>1.44774123338463E-8</v>
      </c>
      <c r="P2267" s="2">
        <f t="shared" si="91"/>
        <v>1.23292619342002</v>
      </c>
    </row>
    <row r="2268" spans="13:16" x14ac:dyDescent="0.25">
      <c r="M2268">
        <v>2.1664516467131198</v>
      </c>
      <c r="N2268">
        <v>2.1662996279345901</v>
      </c>
      <c r="O2268" s="1">
        <v>3.4179670371455797E-8</v>
      </c>
      <c r="P2268" s="2">
        <f t="shared" si="91"/>
        <v>0.67612439717918871</v>
      </c>
    </row>
    <row r="2269" spans="13:16" x14ac:dyDescent="0.25">
      <c r="M2269">
        <v>4.6894846862687398</v>
      </c>
      <c r="N2269">
        <v>4.6892388029201602</v>
      </c>
      <c r="O2269" s="1">
        <v>1.1820952367412799E-7</v>
      </c>
      <c r="P2269" s="2">
        <f t="shared" si="91"/>
        <v>0.51145304734852393</v>
      </c>
    </row>
    <row r="2270" spans="13:16" x14ac:dyDescent="0.25">
      <c r="M2270">
        <v>1.9803875892234399</v>
      </c>
      <c r="N2270">
        <v>1.98016815134393</v>
      </c>
      <c r="O2270" s="1">
        <v>2.07850565890191E-8</v>
      </c>
      <c r="P2270" s="2">
        <f t="shared" si="91"/>
        <v>2.3167116604948097</v>
      </c>
    </row>
    <row r="2271" spans="13:16" x14ac:dyDescent="0.25">
      <c r="M2271">
        <v>2.16665785200248</v>
      </c>
      <c r="N2271">
        <v>2.1665018791853501</v>
      </c>
      <c r="O2271" s="1">
        <v>3.1874440544358898E-8</v>
      </c>
      <c r="P2271" s="2">
        <f t="shared" si="91"/>
        <v>0.76322969965766818</v>
      </c>
    </row>
    <row r="2272" spans="13:16" x14ac:dyDescent="0.25">
      <c r="M2272">
        <v>4.6901664003369703</v>
      </c>
      <c r="N2272">
        <v>4.6899967987357103</v>
      </c>
      <c r="O2272" s="1">
        <v>2.7910720704568502E-8</v>
      </c>
      <c r="P2272" s="2">
        <f t="shared" si="91"/>
        <v>1.0305969327853866</v>
      </c>
    </row>
    <row r="2273" spans="13:16" x14ac:dyDescent="0.25">
      <c r="M2273">
        <v>1.9805349397491701</v>
      </c>
      <c r="N2273">
        <v>1.98036463446348</v>
      </c>
      <c r="O2273" s="1">
        <v>1.4732491818902201E-8</v>
      </c>
      <c r="P2273" s="2">
        <f t="shared" si="91"/>
        <v>1.9687022867890993</v>
      </c>
    </row>
    <row r="2274" spans="13:16" x14ac:dyDescent="0.25">
      <c r="M2274">
        <v>2.1667354031084298</v>
      </c>
      <c r="N2274">
        <v>2.1666183030626698</v>
      </c>
      <c r="O2274" s="1">
        <v>1.2851351446706401E-8</v>
      </c>
      <c r="P2274" s="2">
        <f t="shared" si="91"/>
        <v>1.0670022350465376</v>
      </c>
    </row>
    <row r="2275" spans="13:16" x14ac:dyDescent="0.25">
      <c r="M2275">
        <v>4.6899188294350198</v>
      </c>
      <c r="N2275">
        <v>4.6899578692663404</v>
      </c>
      <c r="O2275" s="1">
        <v>1.6830423532303701E-7</v>
      </c>
      <c r="P2275" s="2">
        <f t="shared" si="91"/>
        <v>9.0556748415422939E-3</v>
      </c>
    </row>
    <row r="2276" spans="13:16" x14ac:dyDescent="0.25">
      <c r="M2276">
        <v>1.9803806681535201</v>
      </c>
      <c r="N2276">
        <v>1.9803545436991301</v>
      </c>
      <c r="O2276" s="1">
        <v>2.62133129333688E-8</v>
      </c>
      <c r="P2276" s="2">
        <f t="shared" si="91"/>
        <v>2.6035897061515254E-2</v>
      </c>
    </row>
    <row r="2277" spans="13:16" x14ac:dyDescent="0.25">
      <c r="M2277">
        <v>2.1665822529418501</v>
      </c>
      <c r="N2277">
        <v>2.1666123240219801</v>
      </c>
      <c r="O2277" s="1">
        <v>2.99251099186271E-8</v>
      </c>
      <c r="P2277" s="2">
        <f t="shared" si="91"/>
        <v>3.0217762362193534E-2</v>
      </c>
    </row>
    <row r="2278" spans="13:16" x14ac:dyDescent="0.25">
      <c r="M2278">
        <v>4.6904467046257396</v>
      </c>
      <c r="N2278">
        <v>4.6903000865901401</v>
      </c>
      <c r="O2278" s="1">
        <v>7.3408406884119301E-8</v>
      </c>
      <c r="P2278" s="2">
        <f t="shared" si="91"/>
        <v>0.29283905312112313</v>
      </c>
    </row>
    <row r="2279" spans="13:16" x14ac:dyDescent="0.25">
      <c r="M2279">
        <v>1.9805099370528201</v>
      </c>
      <c r="N2279">
        <v>1.98044324748357</v>
      </c>
      <c r="O2279" s="1">
        <v>1.6615809496249998E-8</v>
      </c>
      <c r="P2279" s="2">
        <f t="shared" si="91"/>
        <v>0.26766668501828045</v>
      </c>
    </row>
    <row r="2280" spans="13:16" x14ac:dyDescent="0.25">
      <c r="M2280">
        <v>2.1667699212374099</v>
      </c>
      <c r="N2280">
        <v>2.1666648828463</v>
      </c>
      <c r="O2280" s="1">
        <v>1.8531226389890501E-8</v>
      </c>
      <c r="P2280" s="2">
        <f t="shared" si="91"/>
        <v>0.59537687224892222</v>
      </c>
    </row>
    <row r="2281" spans="13:16" x14ac:dyDescent="0.25">
      <c r="M2281">
        <v>4.69078909998884</v>
      </c>
      <c r="N2281">
        <v>4.6904648483911897</v>
      </c>
      <c r="O2281" s="1">
        <v>7.9031166013207502E-8</v>
      </c>
      <c r="P2281" s="2">
        <f t="shared" si="91"/>
        <v>1.3303498339019273</v>
      </c>
    </row>
    <row r="2282" spans="13:16" x14ac:dyDescent="0.25">
      <c r="M2282">
        <v>1.98086677639537</v>
      </c>
      <c r="N2282">
        <v>1.9804859533586601</v>
      </c>
      <c r="O2282" s="1">
        <v>1.44997161813641E-8</v>
      </c>
      <c r="P2282" s="2">
        <f t="shared" si="91"/>
        <v>10.002001658168931</v>
      </c>
    </row>
    <row r="2283" spans="13:16" x14ac:dyDescent="0.25">
      <c r="M2283">
        <v>2.1668523361944301</v>
      </c>
      <c r="N2283">
        <v>2.1666901865744799</v>
      </c>
      <c r="O2283" s="1">
        <v>1.65953014732348E-8</v>
      </c>
      <c r="P2283" s="2">
        <f t="shared" si="91"/>
        <v>1.5843339328544381</v>
      </c>
    </row>
    <row r="2284" spans="13:16" x14ac:dyDescent="0.25">
      <c r="M2284">
        <v>4.69034585037965</v>
      </c>
      <c r="N2284">
        <v>4.69022771084731</v>
      </c>
      <c r="O2284" s="1">
        <v>2.0511408714042E-7</v>
      </c>
      <c r="P2284" s="2">
        <f t="shared" si="91"/>
        <v>6.8044810066854422E-2</v>
      </c>
    </row>
    <row r="2285" spans="13:16" x14ac:dyDescent="0.25">
      <c r="M2285">
        <v>1.9804252622771199</v>
      </c>
      <c r="N2285">
        <v>1.98042448767648</v>
      </c>
      <c r="O2285" s="1">
        <v>3.74057703832966E-8</v>
      </c>
      <c r="P2285" s="2">
        <f t="shared" si="91"/>
        <v>1.6040470363567315E-5</v>
      </c>
    </row>
    <row r="2286" spans="13:16" x14ac:dyDescent="0.25">
      <c r="M2286">
        <v>2.16674781868893</v>
      </c>
      <c r="N2286">
        <v>2.1666537673631199</v>
      </c>
      <c r="O2286" s="1">
        <v>3.21538752810204E-8</v>
      </c>
      <c r="P2286" s="2">
        <f t="shared" si="91"/>
        <v>0.27510375683568455</v>
      </c>
    </row>
    <row r="2287" spans="13:16" x14ac:dyDescent="0.25">
      <c r="M2287">
        <v>4.69159407299533</v>
      </c>
      <c r="N2287">
        <v>4.6911688602741197</v>
      </c>
      <c r="O2287" s="1">
        <v>5.2087630391248301E-8</v>
      </c>
      <c r="P2287" s="2">
        <f t="shared" si="91"/>
        <v>3.4711860939150276</v>
      </c>
    </row>
    <row r="2288" spans="13:16" x14ac:dyDescent="0.25">
      <c r="M2288">
        <v>1.9809261866259</v>
      </c>
      <c r="N2288">
        <v>1.9806684250739499</v>
      </c>
      <c r="O2288" s="1">
        <v>2.0397977720400199E-8</v>
      </c>
      <c r="P2288" s="2">
        <f t="shared" si="91"/>
        <v>3.2572355247395932</v>
      </c>
    </row>
    <row r="2289" spans="13:16" x14ac:dyDescent="0.25">
      <c r="M2289">
        <v>2.1671536484953702</v>
      </c>
      <c r="N2289">
        <v>2.1667983003726898</v>
      </c>
      <c r="O2289" s="1">
        <v>1.5082590932862999E-8</v>
      </c>
      <c r="P2289" s="2">
        <f t="shared" si="91"/>
        <v>8.3720554946109136</v>
      </c>
    </row>
    <row r="2290" spans="13:16" x14ac:dyDescent="0.25">
      <c r="M2290">
        <v>4.6911486508880902</v>
      </c>
      <c r="N2290">
        <v>4.6910090056277101</v>
      </c>
      <c r="O2290" s="1">
        <v>2.0392662725904001E-7</v>
      </c>
      <c r="P2290" s="2">
        <f t="shared" si="91"/>
        <v>9.5626544746717279E-2</v>
      </c>
    </row>
    <row r="2291" spans="13:16" x14ac:dyDescent="0.25">
      <c r="M2291">
        <v>1.9806306379910801</v>
      </c>
      <c r="N2291">
        <v>1.98062699353145</v>
      </c>
      <c r="O2291" s="1">
        <v>3.5830776991192297E-8</v>
      </c>
      <c r="P2291" s="2">
        <f t="shared" si="91"/>
        <v>3.7068930987892607E-4</v>
      </c>
    </row>
    <row r="2292" spans="13:16" x14ac:dyDescent="0.25">
      <c r="M2292">
        <v>2.1668506033602601</v>
      </c>
      <c r="N2292">
        <v>2.1667737527418001</v>
      </c>
      <c r="O2292" s="1">
        <v>5.6174512733978899E-8</v>
      </c>
      <c r="P2292" s="2">
        <f t="shared" si="91"/>
        <v>0.10513696105679012</v>
      </c>
    </row>
    <row r="2293" spans="13:16" x14ac:dyDescent="0.25">
      <c r="M2293">
        <v>4.6915607496636698</v>
      </c>
      <c r="N2293">
        <v>4.6914188442111699</v>
      </c>
      <c r="O2293" s="1">
        <v>5.4794898013343101E-8</v>
      </c>
      <c r="P2293" s="2">
        <f t="shared" si="91"/>
        <v>0.36750059183015765</v>
      </c>
    </row>
    <row r="2294" spans="13:16" x14ac:dyDescent="0.25">
      <c r="M2294">
        <v>1.9809520553350399</v>
      </c>
      <c r="N2294">
        <v>1.9807332154672901</v>
      </c>
      <c r="O2294" s="1">
        <v>1.2576388275105E-8</v>
      </c>
      <c r="P2294" s="2">
        <f t="shared" si="91"/>
        <v>3.8080000926473296</v>
      </c>
    </row>
    <row r="2295" spans="13:16" x14ac:dyDescent="0.25">
      <c r="M2295">
        <v>2.16695560197731</v>
      </c>
      <c r="N2295">
        <v>2.1668366873362199</v>
      </c>
      <c r="O2295" s="1">
        <v>1.5717474977521801E-8</v>
      </c>
      <c r="P2295" s="2">
        <f t="shared" si="91"/>
        <v>0.89967961684661091</v>
      </c>
    </row>
    <row r="2296" spans="13:16" x14ac:dyDescent="0.25">
      <c r="M2296">
        <v>4.6919452673746997</v>
      </c>
      <c r="N2296">
        <v>4.6918376454802297</v>
      </c>
      <c r="O2296" s="1">
        <v>6.0939353107632805E-8</v>
      </c>
      <c r="P2296" s="2">
        <f t="shared" si="91"/>
        <v>0.19006555827487343</v>
      </c>
    </row>
    <row r="2297" spans="13:16" x14ac:dyDescent="0.25">
      <c r="M2297">
        <v>1.9807800581188</v>
      </c>
      <c r="N2297">
        <v>1.9808417566499099</v>
      </c>
      <c r="O2297" s="1">
        <v>2.3552206024486099E-8</v>
      </c>
      <c r="P2297" s="2">
        <f t="shared" si="91"/>
        <v>0.16162854287049308</v>
      </c>
    </row>
    <row r="2298" spans="13:16" x14ac:dyDescent="0.25">
      <c r="M2298">
        <v>2.1672313749496701</v>
      </c>
      <c r="N2298">
        <v>2.1669009944446498</v>
      </c>
      <c r="O2298" s="1">
        <v>1.8991744444246301E-8</v>
      </c>
      <c r="P2298" s="2">
        <f t="shared" si="91"/>
        <v>5.7473013296865139</v>
      </c>
    </row>
    <row r="2299" spans="13:16" x14ac:dyDescent="0.25">
      <c r="M2299">
        <v>4.6916772306476702</v>
      </c>
      <c r="N2299">
        <v>4.6914742031797401</v>
      </c>
      <c r="O2299" s="1">
        <v>1.4041917709744099E-7</v>
      </c>
      <c r="P2299" s="2">
        <f t="shared" si="91"/>
        <v>0.29355073563425232</v>
      </c>
    </row>
    <row r="2300" spans="13:16" x14ac:dyDescent="0.25">
      <c r="M2300">
        <v>1.98078714284318</v>
      </c>
      <c r="N2300">
        <v>1.9807475631262701</v>
      </c>
      <c r="O2300" s="1">
        <v>3.5098573570282503E-8</v>
      </c>
      <c r="P2300" s="2">
        <f t="shared" si="91"/>
        <v>4.4632981666148021E-2</v>
      </c>
    </row>
    <row r="2301" spans="13:16" x14ac:dyDescent="0.25">
      <c r="M2301">
        <v>2.16708028486208</v>
      </c>
      <c r="N2301">
        <v>2.1668451879485802</v>
      </c>
      <c r="O2301" s="1">
        <v>4.7805548731083302E-8</v>
      </c>
      <c r="P2301" s="2">
        <f t="shared" si="91"/>
        <v>1.1561536307862019</v>
      </c>
    </row>
    <row r="2302" spans="13:16" x14ac:dyDescent="0.25">
      <c r="M2302">
        <v>4.6916154441856497</v>
      </c>
      <c r="N2302">
        <v>4.6914656688728096</v>
      </c>
      <c r="O2302" s="1">
        <v>9.7509593387107501E-8</v>
      </c>
      <c r="P2302" s="2">
        <f t="shared" si="91"/>
        <v>0.2300557674083949</v>
      </c>
    </row>
    <row r="2303" spans="13:16" x14ac:dyDescent="0.25">
      <c r="M2303">
        <v>1.9806060908746601</v>
      </c>
      <c r="N2303">
        <v>1.9807453512517901</v>
      </c>
      <c r="O2303" s="1">
        <v>2.69066076641131E-8</v>
      </c>
      <c r="P2303" s="2">
        <f t="shared" si="91"/>
        <v>0.72076914639251133</v>
      </c>
    </row>
    <row r="2304" spans="13:16" x14ac:dyDescent="0.25">
      <c r="M2304">
        <v>2.1669168707616402</v>
      </c>
      <c r="N2304">
        <v>2.1668438774726901</v>
      </c>
      <c r="O2304" s="1">
        <v>3.9600884365433103E-8</v>
      </c>
      <c r="P2304" s="2">
        <f t="shared" si="91"/>
        <v>0.13454296077277705</v>
      </c>
    </row>
    <row r="2305" spans="13:16" x14ac:dyDescent="0.25">
      <c r="M2305">
        <v>4.6912248655451396</v>
      </c>
      <c r="N2305">
        <v>4.6914324604885396</v>
      </c>
      <c r="O2305" s="1">
        <v>8.4932087500575303E-8</v>
      </c>
      <c r="P2305" s="2">
        <f t="shared" si="91"/>
        <v>0.50741317908776506</v>
      </c>
    </row>
    <row r="2306" spans="13:16" x14ac:dyDescent="0.25">
      <c r="M2306">
        <v>1.9807419400861901</v>
      </c>
      <c r="N2306">
        <v>1.98073674447162</v>
      </c>
      <c r="O2306" s="1">
        <v>1.7560330107028501E-8</v>
      </c>
      <c r="P2306" s="2">
        <f t="shared" si="91"/>
        <v>1.5372382293967722E-3</v>
      </c>
    </row>
    <row r="2307" spans="13:16" x14ac:dyDescent="0.25">
      <c r="M2307">
        <v>2.1666524147145201</v>
      </c>
      <c r="N2307">
        <v>2.1668387781815301</v>
      </c>
      <c r="O2307" s="1">
        <v>3.5989492338581499E-8</v>
      </c>
      <c r="P2307" s="2">
        <f t="shared" ref="P2307:P2370" si="92">(M2307-N2307)^2/O2307</f>
        <v>0.96504117116369126</v>
      </c>
    </row>
    <row r="2308" spans="13:16" x14ac:dyDescent="0.25">
      <c r="M2308">
        <v>4.69113761286832</v>
      </c>
      <c r="N2308">
        <v>4.6912351509891597</v>
      </c>
      <c r="O2308" s="1">
        <v>1.04699649373239E-7</v>
      </c>
      <c r="P2308" s="2">
        <f t="shared" si="92"/>
        <v>9.0866445817989916E-2</v>
      </c>
    </row>
    <row r="2309" spans="13:16" x14ac:dyDescent="0.25">
      <c r="M2309">
        <v>1.9806253753859</v>
      </c>
      <c r="N2309">
        <v>1.9806856063137599</v>
      </c>
      <c r="O2309" s="1">
        <v>1.5408466400736E-8</v>
      </c>
      <c r="P2309" s="2">
        <f t="shared" si="92"/>
        <v>0.23543969766455988</v>
      </c>
    </row>
    <row r="2310" spans="13:16" x14ac:dyDescent="0.25">
      <c r="M2310">
        <v>2.1667239905506999</v>
      </c>
      <c r="N2310">
        <v>2.1668084799568201</v>
      </c>
      <c r="O2310" s="1">
        <v>2.9985974690847E-8</v>
      </c>
      <c r="P2310" s="2">
        <f t="shared" si="92"/>
        <v>0.23805995370011393</v>
      </c>
    </row>
    <row r="2311" spans="13:16" x14ac:dyDescent="0.25">
      <c r="M2311">
        <v>1.2804660507565699</v>
      </c>
      <c r="N2311">
        <v>1.2804327426144599</v>
      </c>
      <c r="O2311" s="1">
        <v>3.0780807043375101E-9</v>
      </c>
      <c r="P2311" s="2">
        <f t="shared" si="92"/>
        <v>0.36042990336692404</v>
      </c>
    </row>
    <row r="2312" spans="13:16" x14ac:dyDescent="0.25">
      <c r="M2312">
        <v>0.98792313823400502</v>
      </c>
      <c r="N2312">
        <v>0.98789600639992503</v>
      </c>
      <c r="O2312" s="1">
        <v>1.8350056363373401E-9</v>
      </c>
      <c r="P2312" s="2">
        <f t="shared" si="92"/>
        <v>0.40116302967503492</v>
      </c>
    </row>
    <row r="2313" spans="13:16" x14ac:dyDescent="0.25">
      <c r="M2313">
        <v>1.2803705019648799</v>
      </c>
      <c r="N2313">
        <v>1.28037700757869</v>
      </c>
      <c r="O2313" s="1">
        <v>3.18320738136998E-9</v>
      </c>
      <c r="P2313" s="2">
        <f t="shared" si="92"/>
        <v>1.3295712775081252E-2</v>
      </c>
    </row>
    <row r="2314" spans="13:16" x14ac:dyDescent="0.25">
      <c r="M2314">
        <v>0.98791986570902701</v>
      </c>
      <c r="N2314">
        <v>0.987924977747069</v>
      </c>
      <c r="O2314" s="1">
        <v>1.5994502140280801E-9</v>
      </c>
      <c r="P2314" s="2">
        <f t="shared" si="92"/>
        <v>1.6338697330826418E-2</v>
      </c>
    </row>
    <row r="2315" spans="13:16" x14ac:dyDescent="0.25">
      <c r="M2315">
        <v>1.28047433823186</v>
      </c>
      <c r="N2315">
        <v>1.2804438142424299</v>
      </c>
      <c r="O2315" s="1">
        <v>2.1093657284280801E-9</v>
      </c>
      <c r="P2315" s="2">
        <f t="shared" si="92"/>
        <v>0.44170336047872732</v>
      </c>
    </row>
    <row r="2316" spans="13:16" x14ac:dyDescent="0.25">
      <c r="M2316">
        <v>0.98792638527146004</v>
      </c>
      <c r="N2316">
        <v>0.98789025156424803</v>
      </c>
      <c r="O2316" s="1">
        <v>2.28573978964201E-9</v>
      </c>
      <c r="P2316" s="2">
        <f t="shared" si="92"/>
        <v>0.57121322505716432</v>
      </c>
    </row>
    <row r="2317" spans="13:16" x14ac:dyDescent="0.25">
      <c r="M2317">
        <v>1.2804499179100599</v>
      </c>
      <c r="N2317">
        <v>1.28038055090466</v>
      </c>
      <c r="O2317" s="1">
        <v>3.65348068730715E-9</v>
      </c>
      <c r="P2317" s="2">
        <f t="shared" si="92"/>
        <v>1.3170403376903046</v>
      </c>
    </row>
    <row r="2318" spans="13:16" x14ac:dyDescent="0.25">
      <c r="M2318">
        <v>0.98799288519669104</v>
      </c>
      <c r="N2318">
        <v>0.98792313584588398</v>
      </c>
      <c r="O2318" s="1">
        <v>2.5854130141552E-9</v>
      </c>
      <c r="P2318" s="2">
        <f t="shared" si="92"/>
        <v>1.8817001041497772</v>
      </c>
    </row>
    <row r="2319" spans="13:16" x14ac:dyDescent="0.25">
      <c r="M2319">
        <v>1.28057573727828</v>
      </c>
      <c r="N2319">
        <v>1.28051186419801</v>
      </c>
      <c r="O2319" s="1">
        <v>2.2046426567887201E-9</v>
      </c>
      <c r="P2319" s="2">
        <f t="shared" si="92"/>
        <v>1.8505359000542438</v>
      </c>
    </row>
    <row r="2320" spans="13:16" x14ac:dyDescent="0.25">
      <c r="M2320">
        <v>0.98792929007062102</v>
      </c>
      <c r="N2320">
        <v>0.98785488223436801</v>
      </c>
      <c r="O2320" s="1">
        <v>2.3012378146081998E-9</v>
      </c>
      <c r="P2320" s="2">
        <f t="shared" si="92"/>
        <v>2.4058904563052965</v>
      </c>
    </row>
    <row r="2321" spans="13:16" x14ac:dyDescent="0.25">
      <c r="M2321">
        <v>1.28042274737367</v>
      </c>
      <c r="N2321">
        <v>1.2804018760402101</v>
      </c>
      <c r="O2321" s="1">
        <v>3.2842148825665801E-9</v>
      </c>
      <c r="P2321" s="2">
        <f t="shared" si="92"/>
        <v>0.13263826393004097</v>
      </c>
    </row>
    <row r="2322" spans="13:16" x14ac:dyDescent="0.25">
      <c r="M2322">
        <v>0.98792906448196305</v>
      </c>
      <c r="N2322">
        <v>0.98791205073704003</v>
      </c>
      <c r="O2322" s="1">
        <v>2.0394318863961501E-9</v>
      </c>
      <c r="P2322" s="2">
        <f t="shared" si="92"/>
        <v>0.14193536848988941</v>
      </c>
    </row>
    <row r="2323" spans="13:16" x14ac:dyDescent="0.25">
      <c r="M2323">
        <v>1.2803595555943801</v>
      </c>
      <c r="N2323">
        <v>1.28038791483717</v>
      </c>
      <c r="O2323" s="1">
        <v>2.6393191364361E-9</v>
      </c>
      <c r="P2323" s="2">
        <f t="shared" si="92"/>
        <v>0.30471747069631744</v>
      </c>
    </row>
    <row r="2324" spans="13:16" x14ac:dyDescent="0.25">
      <c r="M2324">
        <v>0.98789085030207502</v>
      </c>
      <c r="N2324">
        <v>0.98791930793406701</v>
      </c>
      <c r="O2324" s="1">
        <v>1.9323411760331799E-9</v>
      </c>
      <c r="P2324" s="2">
        <f t="shared" si="92"/>
        <v>0.41909618686196748</v>
      </c>
    </row>
    <row r="2325" spans="13:16" x14ac:dyDescent="0.25">
      <c r="M2325">
        <v>1.2803587653498201</v>
      </c>
      <c r="N2325">
        <v>1.28041568114973</v>
      </c>
      <c r="O2325" s="1">
        <v>2.00590581584696E-9</v>
      </c>
      <c r="P2325" s="2">
        <f t="shared" si="92"/>
        <v>1.6149353842035106</v>
      </c>
    </row>
    <row r="2326" spans="13:16" x14ac:dyDescent="0.25">
      <c r="M2326">
        <v>0.987845482621728</v>
      </c>
      <c r="N2326">
        <v>0.98790487480947697</v>
      </c>
      <c r="O2326" s="1">
        <v>1.67530996035236E-9</v>
      </c>
      <c r="P2326" s="2">
        <f t="shared" si="92"/>
        <v>2.1055398995344872</v>
      </c>
    </row>
    <row r="2327" spans="13:16" x14ac:dyDescent="0.25">
      <c r="M2327">
        <v>1.2803987549960101</v>
      </c>
      <c r="N2327">
        <v>1.28041338573551</v>
      </c>
      <c r="O2327" s="1">
        <v>2.4155351301955398E-9</v>
      </c>
      <c r="P2327" s="2">
        <f t="shared" si="92"/>
        <v>8.8617439522490724E-2</v>
      </c>
    </row>
    <row r="2328" spans="13:16" x14ac:dyDescent="0.25">
      <c r="M2328">
        <v>0.98789437623510601</v>
      </c>
      <c r="N2328">
        <v>0.98790606796207303</v>
      </c>
      <c r="O2328" s="1">
        <v>1.3831479626508199E-9</v>
      </c>
      <c r="P2328" s="2">
        <f t="shared" si="92"/>
        <v>9.8829975651643309E-2</v>
      </c>
    </row>
    <row r="2329" spans="13:16" x14ac:dyDescent="0.25">
      <c r="M2329">
        <v>1.2803938392784</v>
      </c>
      <c r="N2329">
        <v>1.2804000316727899</v>
      </c>
      <c r="O2329" s="1">
        <v>2.3161666583056602E-9</v>
      </c>
      <c r="P2329" s="2">
        <f t="shared" si="92"/>
        <v>1.6555694791165323E-2</v>
      </c>
    </row>
    <row r="2330" spans="13:16" x14ac:dyDescent="0.25">
      <c r="M2330">
        <v>0.98790815126721798</v>
      </c>
      <c r="N2330">
        <v>0.987913009453257</v>
      </c>
      <c r="O2330" s="1">
        <v>1.0592518235458101E-9</v>
      </c>
      <c r="P2330" s="2">
        <f t="shared" si="92"/>
        <v>2.2281737982440979E-2</v>
      </c>
    </row>
    <row r="2331" spans="13:16" x14ac:dyDescent="0.25">
      <c r="M2331">
        <v>1.2804804926453099</v>
      </c>
      <c r="N2331">
        <v>1.2804246661032599</v>
      </c>
      <c r="O2331" s="1">
        <v>3.1286487407937399E-9</v>
      </c>
      <c r="P2331" s="2">
        <f t="shared" si="92"/>
        <v>0.99614979356091027</v>
      </c>
    </row>
    <row r="2332" spans="13:16" x14ac:dyDescent="0.25">
      <c r="M2332">
        <v>0.98793914004878902</v>
      </c>
      <c r="N2332">
        <v>0.98790020447961002</v>
      </c>
      <c r="O2332" s="1">
        <v>1.3723157140453001E-9</v>
      </c>
      <c r="P2332" s="2">
        <f t="shared" si="92"/>
        <v>1.1046864302266584</v>
      </c>
    </row>
    <row r="2333" spans="13:16" x14ac:dyDescent="0.25">
      <c r="M2333">
        <v>1.2803346226732499</v>
      </c>
      <c r="N2333">
        <v>1.2804248543574299</v>
      </c>
      <c r="O2333" s="1">
        <v>2.4805727655476201E-9</v>
      </c>
      <c r="P2333" s="2">
        <f t="shared" si="92"/>
        <v>3.2822084250205186</v>
      </c>
    </row>
    <row r="2334" spans="13:16" x14ac:dyDescent="0.25">
      <c r="M2334">
        <v>0.98782862845201502</v>
      </c>
      <c r="N2334">
        <v>0.98790010662670302</v>
      </c>
      <c r="O2334" s="1">
        <v>1.35443201291616E-9</v>
      </c>
      <c r="P2334" s="2">
        <f t="shared" si="92"/>
        <v>3.7721564523035984</v>
      </c>
    </row>
    <row r="2335" spans="13:16" x14ac:dyDescent="0.25">
      <c r="M2335">
        <v>1.28039673266422</v>
      </c>
      <c r="N2335">
        <v>1.28046949825915</v>
      </c>
      <c r="O2335" s="1">
        <v>2.01338268691123E-9</v>
      </c>
      <c r="P2335" s="2">
        <f t="shared" si="92"/>
        <v>2.6298188813946788</v>
      </c>
    </row>
    <row r="2336" spans="13:16" x14ac:dyDescent="0.25">
      <c r="M2336">
        <v>0.987815004646591</v>
      </c>
      <c r="N2336">
        <v>0.98787690178900001</v>
      </c>
      <c r="O2336" s="1">
        <v>1.2620143433113301E-9</v>
      </c>
      <c r="P2336" s="2">
        <f t="shared" si="92"/>
        <v>3.0358262239303895</v>
      </c>
    </row>
    <row r="2337" spans="13:16" x14ac:dyDescent="0.25">
      <c r="M2337">
        <v>1.28040650324586</v>
      </c>
      <c r="N2337">
        <v>1.28039916075395</v>
      </c>
      <c r="O2337" s="1">
        <v>2.0768233016179401E-9</v>
      </c>
      <c r="P2337" s="2">
        <f t="shared" si="92"/>
        <v>2.5958966950589715E-2</v>
      </c>
    </row>
    <row r="2338" spans="13:16" x14ac:dyDescent="0.25">
      <c r="M2338">
        <v>0.98792039632736395</v>
      </c>
      <c r="N2338">
        <v>0.98791346216429599</v>
      </c>
      <c r="O2338" s="1">
        <v>1.3886399288128599E-9</v>
      </c>
      <c r="P2338" s="2">
        <f t="shared" si="92"/>
        <v>3.4625691264829159E-2</v>
      </c>
    </row>
    <row r="2339" spans="13:16" x14ac:dyDescent="0.25">
      <c r="M2339">
        <v>1.2803587921772701</v>
      </c>
      <c r="N2339">
        <v>1.28039904551396</v>
      </c>
      <c r="O2339" s="1">
        <v>3.1521670802913401E-9</v>
      </c>
      <c r="P2339" s="2">
        <f t="shared" si="92"/>
        <v>0.51403719200054165</v>
      </c>
    </row>
    <row r="2340" spans="13:16" x14ac:dyDescent="0.25">
      <c r="M2340">
        <v>0.98787762330639695</v>
      </c>
      <c r="N2340">
        <v>0.98791352206706395</v>
      </c>
      <c r="O2340" s="1">
        <v>2.21433946199894E-9</v>
      </c>
      <c r="P2340" s="2">
        <f t="shared" si="92"/>
        <v>0.58198891341789216</v>
      </c>
    </row>
    <row r="2341" spans="13:16" x14ac:dyDescent="0.25">
      <c r="M2341">
        <v>1.2803593451835</v>
      </c>
      <c r="N2341">
        <v>1.2803675133435799</v>
      </c>
      <c r="O2341" s="1">
        <v>2.8215967042811399E-9</v>
      </c>
      <c r="P2341" s="2">
        <f t="shared" si="92"/>
        <v>2.3645774390483425E-2</v>
      </c>
    </row>
    <row r="2342" spans="13:16" x14ac:dyDescent="0.25">
      <c r="M2342">
        <v>0.98792251642905604</v>
      </c>
      <c r="N2342">
        <v>0.98792991310782396</v>
      </c>
      <c r="O2342" s="1">
        <v>2.10368087752797E-9</v>
      </c>
      <c r="P2342" s="2">
        <f t="shared" si="92"/>
        <v>2.6007203554629647E-2</v>
      </c>
    </row>
    <row r="2343" spans="13:16" x14ac:dyDescent="0.25">
      <c r="M2343">
        <v>1.2803088465852599</v>
      </c>
      <c r="N2343">
        <v>1.2803160960000799</v>
      </c>
      <c r="O2343" s="1">
        <v>2.8711068374345299E-9</v>
      </c>
      <c r="P2343" s="2">
        <f t="shared" si="92"/>
        <v>1.8304444316455788E-2</v>
      </c>
    </row>
    <row r="2344" spans="13:16" x14ac:dyDescent="0.25">
      <c r="M2344">
        <v>0.98795133404313995</v>
      </c>
      <c r="N2344">
        <v>0.98795664230079405</v>
      </c>
      <c r="O2344" s="1">
        <v>1.39287653112019E-9</v>
      </c>
      <c r="P2344" s="2">
        <f t="shared" si="92"/>
        <v>2.0229789714146761E-2</v>
      </c>
    </row>
    <row r="2345" spans="13:16" x14ac:dyDescent="0.25">
      <c r="M2345">
        <v>1.28033437580847</v>
      </c>
      <c r="N2345">
        <v>1.28037852437704</v>
      </c>
      <c r="O2345" s="1">
        <v>3.5059847463027998E-9</v>
      </c>
      <c r="P2345" s="2">
        <f t="shared" si="92"/>
        <v>0.55593399510350228</v>
      </c>
    </row>
    <row r="2346" spans="13:16" x14ac:dyDescent="0.25">
      <c r="M2346">
        <v>0.98789231160941104</v>
      </c>
      <c r="N2346">
        <v>0.98792418927984904</v>
      </c>
      <c r="O2346" s="1">
        <v>1.5102634440915401E-9</v>
      </c>
      <c r="P2346" s="2">
        <f t="shared" si="92"/>
        <v>0.67285338629431568</v>
      </c>
    </row>
    <row r="2347" spans="13:16" x14ac:dyDescent="0.25">
      <c r="M2347">
        <v>1.2803238596131601</v>
      </c>
      <c r="N2347">
        <v>1.2804042165140499</v>
      </c>
      <c r="O2347" s="1">
        <v>2.4708153872261899E-9</v>
      </c>
      <c r="P2347" s="2">
        <f t="shared" si="92"/>
        <v>2.6134010472809792</v>
      </c>
    </row>
    <row r="2348" spans="13:16" x14ac:dyDescent="0.25">
      <c r="M2348">
        <v>0.98781991142175396</v>
      </c>
      <c r="N2348">
        <v>0.98791083414425496</v>
      </c>
      <c r="O2348" s="1">
        <v>2.7056697357966001E-9</v>
      </c>
      <c r="P2348" s="2">
        <f t="shared" si="92"/>
        <v>3.0554141023273553</v>
      </c>
    </row>
    <row r="2349" spans="13:16" x14ac:dyDescent="0.25">
      <c r="M2349">
        <v>1.28035597095228</v>
      </c>
      <c r="N2349">
        <v>1.28043285794054</v>
      </c>
      <c r="O2349" s="1">
        <v>3.49151789668609E-9</v>
      </c>
      <c r="P2349" s="2">
        <f t="shared" si="92"/>
        <v>1.6931343726725401</v>
      </c>
    </row>
    <row r="2350" spans="13:16" x14ac:dyDescent="0.25">
      <c r="M2350">
        <v>0.98783609319078203</v>
      </c>
      <c r="N2350">
        <v>0.98789594645504497</v>
      </c>
      <c r="O2350" s="1">
        <v>1.90302761081422E-9</v>
      </c>
      <c r="P2350" s="2">
        <f t="shared" si="92"/>
        <v>1.8824809595889107</v>
      </c>
    </row>
    <row r="2351" spans="13:16" x14ac:dyDescent="0.25">
      <c r="M2351">
        <v>1.2804229127886799</v>
      </c>
      <c r="N2351">
        <v>1.2804539224767599</v>
      </c>
      <c r="O2351" s="1">
        <v>2.5568791976442299E-9</v>
      </c>
      <c r="P2351" s="2">
        <f t="shared" si="92"/>
        <v>0.37608376481194977</v>
      </c>
    </row>
    <row r="2352" spans="13:16" x14ac:dyDescent="0.25">
      <c r="M2352">
        <v>0.98785809041794603</v>
      </c>
      <c r="N2352">
        <v>0.98788499755621895</v>
      </c>
      <c r="O2352" s="1">
        <v>1.7033111964068401E-9</v>
      </c>
      <c r="P2352" s="2">
        <f t="shared" si="92"/>
        <v>0.42505097809781728</v>
      </c>
    </row>
    <row r="2353" spans="13:16" x14ac:dyDescent="0.25">
      <c r="M2353">
        <v>1.2804558364416601</v>
      </c>
      <c r="N2353">
        <v>1.2804841987161</v>
      </c>
      <c r="O2353" s="1">
        <v>2.6831510098478802E-9</v>
      </c>
      <c r="P2353" s="2">
        <f t="shared" si="92"/>
        <v>0.29980370409748269</v>
      </c>
    </row>
    <row r="2354" spans="13:16" x14ac:dyDescent="0.25">
      <c r="M2354">
        <v>0.98784545398797097</v>
      </c>
      <c r="N2354">
        <v>0.98786926113765405</v>
      </c>
      <c r="O2354" s="1">
        <v>1.73206377588914E-9</v>
      </c>
      <c r="P2354" s="2">
        <f t="shared" si="92"/>
        <v>0.32722835262917083</v>
      </c>
    </row>
    <row r="2355" spans="13:16" x14ac:dyDescent="0.25">
      <c r="M2355">
        <v>1.2803755941797701</v>
      </c>
      <c r="N2355">
        <v>1.2804318396469001</v>
      </c>
      <c r="O2355" s="1">
        <v>2.1433391170747502E-9</v>
      </c>
      <c r="P2355" s="2">
        <f t="shared" si="92"/>
        <v>1.475992551748353</v>
      </c>
    </row>
    <row r="2356" spans="13:16" x14ac:dyDescent="0.25">
      <c r="M2356">
        <v>0.98783324732895506</v>
      </c>
      <c r="N2356">
        <v>0.98789647575010797</v>
      </c>
      <c r="O2356" s="1">
        <v>1.8839315665352501E-9</v>
      </c>
      <c r="P2356" s="2">
        <f t="shared" si="92"/>
        <v>2.1220692473681679</v>
      </c>
    </row>
    <row r="2357" spans="13:16" x14ac:dyDescent="0.25">
      <c r="M2357">
        <v>1.2804117504404999</v>
      </c>
      <c r="N2357">
        <v>1.28048165716912</v>
      </c>
      <c r="O2357" s="1">
        <v>2.5985264719099099E-9</v>
      </c>
      <c r="P2357" s="2">
        <f t="shared" si="92"/>
        <v>1.880662275018907</v>
      </c>
    </row>
    <row r="2358" spans="13:16" x14ac:dyDescent="0.25">
      <c r="M2358">
        <v>0.98781537401124297</v>
      </c>
      <c r="N2358">
        <v>0.98787058211156198</v>
      </c>
      <c r="O2358" s="1">
        <v>1.4457278545457701E-9</v>
      </c>
      <c r="P2358" s="2">
        <f t="shared" si="92"/>
        <v>2.1082351918790749</v>
      </c>
    </row>
    <row r="2359" spans="13:16" x14ac:dyDescent="0.25">
      <c r="M2359">
        <v>2.3321930060290299</v>
      </c>
      <c r="N2359">
        <v>2.3323344459754001</v>
      </c>
      <c r="O2359" s="1">
        <v>3.0184650195418901E-8</v>
      </c>
      <c r="P2359" s="2">
        <f t="shared" si="92"/>
        <v>0.66276263927791723</v>
      </c>
    </row>
    <row r="2360" spans="13:16" x14ac:dyDescent="0.25">
      <c r="M2360">
        <v>0.98602497573361103</v>
      </c>
      <c r="N2360">
        <v>0.98601341917049101</v>
      </c>
      <c r="O2360" s="1">
        <v>1.0152534479122E-8</v>
      </c>
      <c r="P2360" s="2">
        <f t="shared" si="92"/>
        <v>1.3154759673224678E-2</v>
      </c>
    </row>
    <row r="2361" spans="13:16" x14ac:dyDescent="0.25">
      <c r="M2361">
        <v>1.07954920452022</v>
      </c>
      <c r="N2361">
        <v>1.07975814750361</v>
      </c>
      <c r="O2361" s="1">
        <v>1.15634925807131E-8</v>
      </c>
      <c r="P2361" s="2">
        <f t="shared" si="92"/>
        <v>3.7754311686713899</v>
      </c>
    </row>
    <row r="2362" spans="13:16" x14ac:dyDescent="0.25">
      <c r="M2362">
        <v>2.3324646784057599</v>
      </c>
      <c r="N2362">
        <v>2.3322951823489402</v>
      </c>
      <c r="O2362" s="1">
        <v>5.97219816788595E-8</v>
      </c>
      <c r="P2362" s="2">
        <f t="shared" si="92"/>
        <v>0.48104420633447925</v>
      </c>
    </row>
    <row r="2363" spans="13:16" x14ac:dyDescent="0.25">
      <c r="M2363">
        <v>0.98596363052958003</v>
      </c>
      <c r="N2363">
        <v>0.986003103163407</v>
      </c>
      <c r="O2363" s="1">
        <v>1.32207525613725E-8</v>
      </c>
      <c r="P2363" s="2">
        <f t="shared" si="92"/>
        <v>0.11785174966445014</v>
      </c>
    </row>
    <row r="2364" spans="13:16" x14ac:dyDescent="0.25">
      <c r="M2364">
        <v>1.07984633454307</v>
      </c>
      <c r="N2364">
        <v>1.07975187560887</v>
      </c>
      <c r="O2364" s="1">
        <v>1.52029256530474E-8</v>
      </c>
      <c r="P2364" s="2">
        <f t="shared" si="92"/>
        <v>0.58689297401215612</v>
      </c>
    </row>
    <row r="2365" spans="13:16" x14ac:dyDescent="0.25">
      <c r="M2365">
        <v>2.33342293524578</v>
      </c>
      <c r="N2365">
        <v>2.333489700816</v>
      </c>
      <c r="O2365" s="1">
        <v>1.5746562584034999E-8</v>
      </c>
      <c r="P2365" s="2">
        <f t="shared" si="92"/>
        <v>0.28308663195624029</v>
      </c>
    </row>
    <row r="2366" spans="13:16" x14ac:dyDescent="0.25">
      <c r="M2366">
        <v>0.986274094505739</v>
      </c>
      <c r="N2366">
        <v>0.98631691793701404</v>
      </c>
      <c r="O2366" s="1">
        <v>5.9700503183302101E-9</v>
      </c>
      <c r="P2366" s="2">
        <f t="shared" si="92"/>
        <v>0.30717433997793558</v>
      </c>
    </row>
    <row r="2367" spans="13:16" x14ac:dyDescent="0.25">
      <c r="M2367">
        <v>1.07977123905087</v>
      </c>
      <c r="N2367">
        <v>1.07994265470526</v>
      </c>
      <c r="O2367" s="1">
        <v>6.1277909848927504E-9</v>
      </c>
      <c r="P2367" s="2">
        <f t="shared" si="92"/>
        <v>4.7950928225802336</v>
      </c>
    </row>
    <row r="2368" spans="13:16" x14ac:dyDescent="0.25">
      <c r="M2368">
        <v>2.3338642758802499</v>
      </c>
      <c r="N2368">
        <v>2.3337324594076501</v>
      </c>
      <c r="O2368" s="1">
        <v>2.2505813479322902E-8</v>
      </c>
      <c r="P2368" s="2">
        <f t="shared" si="92"/>
        <v>0.77204862933001916</v>
      </c>
    </row>
    <row r="2369" spans="13:16" x14ac:dyDescent="0.25">
      <c r="M2369">
        <v>0.98649534852760801</v>
      </c>
      <c r="N2369">
        <v>0.98638068618607799</v>
      </c>
      <c r="O2369" s="1">
        <v>9.5478660780524607E-9</v>
      </c>
      <c r="P2369" s="2">
        <f t="shared" si="92"/>
        <v>1.377004291604744</v>
      </c>
    </row>
    <row r="2370" spans="13:16" x14ac:dyDescent="0.25">
      <c r="M2370">
        <v>1.0801600141905301</v>
      </c>
      <c r="N2370">
        <v>1.0799814183776699</v>
      </c>
      <c r="O2370" s="1">
        <v>4.1038965440014003E-9</v>
      </c>
      <c r="P2370" s="2">
        <f t="shared" si="92"/>
        <v>7.7722389025152232</v>
      </c>
    </row>
    <row r="2371" spans="13:16" x14ac:dyDescent="0.25">
      <c r="M2371">
        <v>2.3352956005793599</v>
      </c>
      <c r="N2371">
        <v>2.3353668112193402</v>
      </c>
      <c r="O2371" s="1">
        <v>1.95727430016061E-8</v>
      </c>
      <c r="P2371" s="2">
        <f t="shared" ref="P2371:P2434" si="93">(M2371-N2371)^2/O2371</f>
        <v>0.25908250294732971</v>
      </c>
    </row>
    <row r="2372" spans="13:16" x14ac:dyDescent="0.25">
      <c r="M2372">
        <v>0.98674937978036104</v>
      </c>
      <c r="N2372">
        <v>0.98680993522767602</v>
      </c>
      <c r="O2372" s="1">
        <v>5.3774969072249796E-9</v>
      </c>
      <c r="P2372" s="2">
        <f t="shared" si="93"/>
        <v>0.68190875100097315</v>
      </c>
    </row>
    <row r="2373" spans="13:16" x14ac:dyDescent="0.25">
      <c r="M2373">
        <v>1.0801095936956699</v>
      </c>
      <c r="N2373">
        <v>1.08024232282715</v>
      </c>
      <c r="O2373" s="1">
        <v>7.6174359826889607E-9</v>
      </c>
      <c r="P2373" s="2">
        <f t="shared" si="93"/>
        <v>2.3127233866484773</v>
      </c>
    </row>
    <row r="2374" spans="13:16" x14ac:dyDescent="0.25">
      <c r="M2374">
        <v>2.3354066531809101</v>
      </c>
      <c r="N2374">
        <v>2.3352058886715699</v>
      </c>
      <c r="O2374" s="1">
        <v>2.69354659427668E-8</v>
      </c>
      <c r="P2374" s="2">
        <f t="shared" si="93"/>
        <v>1.4964058277765853</v>
      </c>
    </row>
    <row r="2375" spans="13:16" x14ac:dyDescent="0.25">
      <c r="M2375">
        <v>0.98686481338793497</v>
      </c>
      <c r="N2375">
        <v>0.98676767529385501</v>
      </c>
      <c r="O2375" s="1">
        <v>5.7914327137595897E-9</v>
      </c>
      <c r="P2375" s="2">
        <f t="shared" si="93"/>
        <v>1.629270301124208</v>
      </c>
    </row>
    <row r="2376" spans="13:16" x14ac:dyDescent="0.25">
      <c r="M2376">
        <v>1.08038593936442</v>
      </c>
      <c r="N2376">
        <v>1.0802166388024499</v>
      </c>
      <c r="O2376" s="1">
        <v>7.6457804413585696E-9</v>
      </c>
      <c r="P2376" s="2">
        <f t="shared" si="93"/>
        <v>3.748823354687747</v>
      </c>
    </row>
    <row r="2377" spans="13:16" x14ac:dyDescent="0.25">
      <c r="M2377">
        <v>2.3360122514014199</v>
      </c>
      <c r="N2377">
        <v>2.3363728048286001</v>
      </c>
      <c r="O2377" s="1">
        <v>2.45964487218794E-8</v>
      </c>
      <c r="P2377" s="2">
        <f t="shared" si="93"/>
        <v>5.2852659878401349</v>
      </c>
    </row>
    <row r="2378" spans="13:16" x14ac:dyDescent="0.25">
      <c r="M2378">
        <v>0.98675271865831304</v>
      </c>
      <c r="N2378">
        <v>0.98707409462787998</v>
      </c>
      <c r="O2378" s="1">
        <v>7.5154276392634103E-9</v>
      </c>
      <c r="P2378" s="2">
        <f t="shared" si="93"/>
        <v>13.742732785490979</v>
      </c>
    </row>
    <row r="2379" spans="13:16" x14ac:dyDescent="0.25">
      <c r="M2379">
        <v>1.07996671326829</v>
      </c>
      <c r="N2379">
        <v>1.0804028580540499</v>
      </c>
      <c r="O2379" s="1">
        <v>1.0452017697202501E-8</v>
      </c>
      <c r="P2379" s="2">
        <f t="shared" si="93"/>
        <v>18.199574441639864</v>
      </c>
    </row>
    <row r="2380" spans="13:16" x14ac:dyDescent="0.25">
      <c r="M2380">
        <v>2.3362616524770998</v>
      </c>
      <c r="N2380">
        <v>2.3362853174884499</v>
      </c>
      <c r="O2380" s="1">
        <v>2.16847922018726E-8</v>
      </c>
      <c r="P2380" s="2">
        <f t="shared" si="93"/>
        <v>2.5826060816561389E-2</v>
      </c>
    </row>
    <row r="2381" spans="13:16" x14ac:dyDescent="0.25">
      <c r="M2381">
        <v>0.98700022064544601</v>
      </c>
      <c r="N2381">
        <v>0.98705112342475299</v>
      </c>
      <c r="O2381" s="1">
        <v>5.4009233485461203E-9</v>
      </c>
      <c r="P2381" s="2">
        <f t="shared" si="93"/>
        <v>0.47974999346579456</v>
      </c>
    </row>
    <row r="2382" spans="13:16" x14ac:dyDescent="0.25">
      <c r="M2382">
        <v>1.08039136126387</v>
      </c>
      <c r="N2382">
        <v>1.0803888987291801</v>
      </c>
      <c r="O2382" s="1">
        <v>5.7971872771877698E-9</v>
      </c>
      <c r="P2382" s="2">
        <f t="shared" si="93"/>
        <v>1.0460378126853998E-3</v>
      </c>
    </row>
    <row r="2383" spans="13:16" x14ac:dyDescent="0.25">
      <c r="M2383">
        <v>2.3371310989913998</v>
      </c>
      <c r="N2383">
        <v>2.3372108141457502</v>
      </c>
      <c r="O2383" s="1">
        <v>1.4185796403083E-8</v>
      </c>
      <c r="P2383" s="2">
        <f t="shared" si="93"/>
        <v>0.44794847272152222</v>
      </c>
    </row>
    <row r="2384" spans="13:16" x14ac:dyDescent="0.25">
      <c r="M2384">
        <v>0.98714432158971499</v>
      </c>
      <c r="N2384">
        <v>0.98729411090964703</v>
      </c>
      <c r="O2384" s="1">
        <v>4.6686180781331903E-9</v>
      </c>
      <c r="P2384" s="2">
        <f t="shared" si="93"/>
        <v>4.8058847372397802</v>
      </c>
    </row>
    <row r="2385" spans="13:16" x14ac:dyDescent="0.25">
      <c r="M2385">
        <v>1.0803367841673599</v>
      </c>
      <c r="N2385">
        <v>1.0805365519927601</v>
      </c>
      <c r="O2385" s="1">
        <v>5.8454800357478803E-9</v>
      </c>
      <c r="P2385" s="2">
        <f t="shared" si="93"/>
        <v>6.8270157148903836</v>
      </c>
    </row>
    <row r="2386" spans="13:16" x14ac:dyDescent="0.25">
      <c r="M2386">
        <v>2.336938003487</v>
      </c>
      <c r="N2386">
        <v>2.33699816734193</v>
      </c>
      <c r="O2386" s="1">
        <v>9.2563646476570704E-9</v>
      </c>
      <c r="P2386" s="2">
        <f t="shared" si="93"/>
        <v>0.39104870841020795</v>
      </c>
    </row>
    <row r="2387" spans="13:16" x14ac:dyDescent="0.25">
      <c r="M2387">
        <v>0.98702874279850505</v>
      </c>
      <c r="N2387">
        <v>0.98723828409650805</v>
      </c>
      <c r="O2387" s="1">
        <v>6.7215358938123803E-9</v>
      </c>
      <c r="P2387" s="2">
        <f t="shared" si="93"/>
        <v>6.5323694260411624</v>
      </c>
    </row>
    <row r="2388" spans="13:16" x14ac:dyDescent="0.25">
      <c r="M2388">
        <v>1.0804028816419</v>
      </c>
      <c r="N2388">
        <v>1.08050262981939</v>
      </c>
      <c r="O2388" s="1">
        <v>2.2400175264167899E-9</v>
      </c>
      <c r="P2388" s="2">
        <f t="shared" si="93"/>
        <v>4.4417951177815418</v>
      </c>
    </row>
    <row r="2389" spans="13:16" x14ac:dyDescent="0.25">
      <c r="M2389">
        <v>2.33823956538571</v>
      </c>
      <c r="N2389">
        <v>2.33828142069033</v>
      </c>
      <c r="O2389" s="1">
        <v>1.7650785542815001E-8</v>
      </c>
      <c r="P2389" s="2">
        <f t="shared" si="93"/>
        <v>9.925147640491612E-2</v>
      </c>
    </row>
    <row r="2390" spans="13:16" x14ac:dyDescent="0.25">
      <c r="M2390">
        <v>0.987195787055822</v>
      </c>
      <c r="N2390">
        <v>0.98757515130540197</v>
      </c>
      <c r="O2390" s="1">
        <v>7.1942699469145301E-9</v>
      </c>
      <c r="P2390" s="2">
        <f t="shared" si="93"/>
        <v>20.004425038441873</v>
      </c>
    </row>
    <row r="2391" spans="13:16" x14ac:dyDescent="0.25">
      <c r="M2391">
        <v>1.08068577449173</v>
      </c>
      <c r="N2391">
        <v>1.08070730825005</v>
      </c>
      <c r="O2391" s="1">
        <v>3.3377321502847202E-9</v>
      </c>
      <c r="P2391" s="2">
        <f t="shared" si="93"/>
        <v>0.13892748923731341</v>
      </c>
    </row>
    <row r="2392" spans="13:16" x14ac:dyDescent="0.25">
      <c r="M2392">
        <v>2.3390157846380699</v>
      </c>
      <c r="N2392">
        <v>2.3390055127733498</v>
      </c>
      <c r="O2392" s="1">
        <v>2.0703654895703001E-8</v>
      </c>
      <c r="P2392" s="2">
        <f t="shared" si="93"/>
        <v>5.0962598323956851E-3</v>
      </c>
    </row>
    <row r="2393" spans="13:16" x14ac:dyDescent="0.25">
      <c r="M2393">
        <v>0.987871226512681</v>
      </c>
      <c r="N2393">
        <v>0.98776520204479901</v>
      </c>
      <c r="O2393" s="1">
        <v>4.4162067358007799E-9</v>
      </c>
      <c r="P2393" s="2">
        <f t="shared" si="93"/>
        <v>2.5454396639838204</v>
      </c>
    </row>
    <row r="2394" spans="13:16" x14ac:dyDescent="0.25">
      <c r="M2394">
        <v>1.08081868484175</v>
      </c>
      <c r="N2394">
        <v>1.08082276820033</v>
      </c>
      <c r="O2394" s="1">
        <v>7.36212294959918E-9</v>
      </c>
      <c r="P2394" s="2">
        <f t="shared" si="93"/>
        <v>2.2648110343238244E-3</v>
      </c>
    </row>
    <row r="2395" spans="13:16" x14ac:dyDescent="0.25">
      <c r="M2395">
        <v>2.34010778539015</v>
      </c>
      <c r="N2395">
        <v>2.3400348244707598</v>
      </c>
      <c r="O2395" s="1">
        <v>1.3525347896222999E-8</v>
      </c>
      <c r="P2395" s="2">
        <f t="shared" si="93"/>
        <v>0.3935792113517208</v>
      </c>
    </row>
    <row r="2396" spans="13:16" x14ac:dyDescent="0.25">
      <c r="M2396">
        <v>0.98819506490973497</v>
      </c>
      <c r="N2396">
        <v>0.988035324730967</v>
      </c>
      <c r="O2396" s="1">
        <v>4.5598077210505396E-9</v>
      </c>
      <c r="P2396" s="2">
        <f t="shared" si="93"/>
        <v>5.5960527885904554</v>
      </c>
    </row>
    <row r="2397" spans="13:16" x14ac:dyDescent="0.25">
      <c r="M2397">
        <v>1.08099999108292</v>
      </c>
      <c r="N2397">
        <v>1.08098685659472</v>
      </c>
      <c r="O2397" s="1">
        <v>3.2142379457420601E-9</v>
      </c>
      <c r="P2397" s="2">
        <f t="shared" si="93"/>
        <v>5.3672062612282863E-2</v>
      </c>
    </row>
    <row r="2398" spans="13:16" x14ac:dyDescent="0.25">
      <c r="M2398">
        <v>2.3404518592315302</v>
      </c>
      <c r="N2398">
        <v>2.3404948820477101</v>
      </c>
      <c r="O2398" s="1">
        <v>1.5129198281622401E-8</v>
      </c>
      <c r="P2398" s="2">
        <f t="shared" si="93"/>
        <v>0.12234374073168917</v>
      </c>
    </row>
    <row r="2399" spans="13:16" x14ac:dyDescent="0.25">
      <c r="M2399">
        <v>0.98801693687893699</v>
      </c>
      <c r="N2399">
        <v>0.98815604328369899</v>
      </c>
      <c r="O2399" s="1">
        <v>3.5508456220395701E-9</v>
      </c>
      <c r="P2399" s="2">
        <f t="shared" si="93"/>
        <v>5.4495728357503328</v>
      </c>
    </row>
    <row r="2400" spans="13:16" x14ac:dyDescent="0.25">
      <c r="M2400">
        <v>1.0810606075445901</v>
      </c>
      <c r="N2400">
        <v>1.0810601816865499</v>
      </c>
      <c r="O2400" s="1">
        <v>3.2795544324557202E-9</v>
      </c>
      <c r="P2400" s="2">
        <f t="shared" si="93"/>
        <v>5.5298691974266141E-5</v>
      </c>
    </row>
    <row r="2401" spans="13:16" x14ac:dyDescent="0.25">
      <c r="M2401">
        <v>2.34097893378032</v>
      </c>
      <c r="N2401">
        <v>2.3411806776244499</v>
      </c>
      <c r="O2401" s="1">
        <v>1.81585858955423E-8</v>
      </c>
      <c r="P2401" s="2">
        <f t="shared" si="93"/>
        <v>2.2413958266610905</v>
      </c>
    </row>
    <row r="2402" spans="13:16" x14ac:dyDescent="0.25">
      <c r="M2402">
        <v>0.98844266939708403</v>
      </c>
      <c r="N2402">
        <v>0.98833597854254795</v>
      </c>
      <c r="O2402" s="1">
        <v>1.48520412077163E-9</v>
      </c>
      <c r="P2402" s="2">
        <f t="shared" si="93"/>
        <v>7.6642249253413262</v>
      </c>
    </row>
    <row r="2403" spans="13:16" x14ac:dyDescent="0.25">
      <c r="M2403">
        <v>1.0812616176198599</v>
      </c>
      <c r="N2403">
        <v>1.08116946792574</v>
      </c>
      <c r="O2403" s="1">
        <v>3.1516693453114401E-9</v>
      </c>
      <c r="P2403" s="2">
        <f t="shared" si="93"/>
        <v>2.6943074275974954</v>
      </c>
    </row>
    <row r="2404" spans="13:16" x14ac:dyDescent="0.25">
      <c r="M2404">
        <v>2.3412900761249502</v>
      </c>
      <c r="N2404">
        <v>2.3413052919011998</v>
      </c>
      <c r="O2404" s="1">
        <v>1.1007825220849E-8</v>
      </c>
      <c r="P2404" s="2">
        <f t="shared" si="93"/>
        <v>2.1032296773788994E-2</v>
      </c>
    </row>
    <row r="2405" spans="13:16" x14ac:dyDescent="0.25">
      <c r="M2405">
        <v>0.98846496849776699</v>
      </c>
      <c r="N2405">
        <v>0.98836867200669198</v>
      </c>
      <c r="O2405" s="1">
        <v>4.71998161060062E-9</v>
      </c>
      <c r="P2405" s="2">
        <f t="shared" si="93"/>
        <v>1.9646293054475328</v>
      </c>
    </row>
    <row r="2406" spans="13:16" x14ac:dyDescent="0.25">
      <c r="M2406">
        <v>1.0811873957437199</v>
      </c>
      <c r="N2406">
        <v>1.0811893238161501</v>
      </c>
      <c r="O2406" s="1">
        <v>6.4461599402468904E-9</v>
      </c>
      <c r="P2406" s="2">
        <f t="shared" si="93"/>
        <v>5.7669423818089687E-4</v>
      </c>
    </row>
    <row r="2407" spans="13:16" x14ac:dyDescent="0.25">
      <c r="M2407">
        <v>2.3419269143235502</v>
      </c>
      <c r="N2407">
        <v>2.34125377417317</v>
      </c>
      <c r="O2407" s="1">
        <v>2.62871067227858E-8</v>
      </c>
      <c r="P2407" s="2">
        <f t="shared" si="93"/>
        <v>17.237258814070909</v>
      </c>
    </row>
    <row r="2408" spans="13:16" x14ac:dyDescent="0.25">
      <c r="M2408">
        <v>0.98878802643974295</v>
      </c>
      <c r="N2408">
        <v>0.98835515603496304</v>
      </c>
      <c r="O2408" s="1">
        <v>4.1786597036469496E-9</v>
      </c>
      <c r="P2408" s="2">
        <f t="shared" si="93"/>
        <v>44.8413607767068</v>
      </c>
    </row>
    <row r="2409" spans="13:16" x14ac:dyDescent="0.25">
      <c r="M2409">
        <v>1.08137363859852</v>
      </c>
      <c r="N2409">
        <v>1.0811811151266699</v>
      </c>
      <c r="O2409" s="1">
        <v>3.8514492764432E-9</v>
      </c>
      <c r="P2409" s="2">
        <f t="shared" si="93"/>
        <v>9.623724617095343</v>
      </c>
    </row>
    <row r="2410" spans="13:16" x14ac:dyDescent="0.25">
      <c r="M2410">
        <v>2.34229663112025</v>
      </c>
      <c r="N2410">
        <v>2.3422202492347601</v>
      </c>
      <c r="O2410" s="1">
        <v>1.37748239667779E-8</v>
      </c>
      <c r="P2410" s="2">
        <f t="shared" si="93"/>
        <v>0.4235402532226431</v>
      </c>
    </row>
    <row r="2411" spans="13:16" x14ac:dyDescent="0.25">
      <c r="M2411">
        <v>0.98845369356490997</v>
      </c>
      <c r="N2411">
        <v>0.98860869756602998</v>
      </c>
      <c r="O2411" s="1">
        <v>2.9487567441238399E-9</v>
      </c>
      <c r="P2411" s="2">
        <f t="shared" si="93"/>
        <v>8.1479221407766733</v>
      </c>
    </row>
    <row r="2412" spans="13:16" x14ac:dyDescent="0.25">
      <c r="M2412">
        <v>1.0814684308125</v>
      </c>
      <c r="N2412">
        <v>1.0813350908336199</v>
      </c>
      <c r="O2412" s="1">
        <v>8.0420653904483994E-9</v>
      </c>
      <c r="P2412" s="2">
        <f t="shared" si="93"/>
        <v>2.2108188760640881</v>
      </c>
    </row>
    <row r="2413" spans="13:16" x14ac:dyDescent="0.25">
      <c r="M2413">
        <v>2.3426534565318602</v>
      </c>
      <c r="N2413">
        <v>2.3425181991037598</v>
      </c>
      <c r="O2413" s="1">
        <v>2.2038854557695399E-8</v>
      </c>
      <c r="P2413" s="2">
        <f t="shared" si="93"/>
        <v>0.83010538539734113</v>
      </c>
    </row>
    <row r="2414" spans="13:16" x14ac:dyDescent="0.25">
      <c r="M2414">
        <v>0.988579157169162</v>
      </c>
      <c r="N2414">
        <v>0.98868685265804701</v>
      </c>
      <c r="O2414" s="1">
        <v>7.2125348478853198E-9</v>
      </c>
      <c r="P2414" s="2">
        <f t="shared" si="93"/>
        <v>1.6080779602168844</v>
      </c>
    </row>
    <row r="2415" spans="13:16" x14ac:dyDescent="0.25">
      <c r="M2415">
        <v>1.0815335830382899</v>
      </c>
      <c r="N2415">
        <v>1.0813825508591399</v>
      </c>
      <c r="O2415" s="1">
        <v>6.9420906992969802E-9</v>
      </c>
      <c r="P2415" s="2">
        <f t="shared" si="93"/>
        <v>3.2858572621522835</v>
      </c>
    </row>
    <row r="2416" spans="13:16" x14ac:dyDescent="0.25">
      <c r="M2416">
        <v>0.64334334335353305</v>
      </c>
      <c r="N2416">
        <v>0.64336626916357997</v>
      </c>
      <c r="O2416" s="1">
        <v>1.0464508221823901E-9</v>
      </c>
      <c r="P2416" s="2">
        <f t="shared" si="93"/>
        <v>0.50226227087439557</v>
      </c>
    </row>
    <row r="2417" spans="13:16" x14ac:dyDescent="0.25">
      <c r="M2417">
        <v>0.99221073304485996</v>
      </c>
      <c r="N2417">
        <v>0.99224576596908898</v>
      </c>
      <c r="O2417" s="1">
        <v>1.8362798975803099E-9</v>
      </c>
      <c r="P2417" s="2">
        <f t="shared" si="93"/>
        <v>0.66836530838968866</v>
      </c>
    </row>
    <row r="2418" spans="13:16" x14ac:dyDescent="0.25">
      <c r="M2418">
        <v>0.643332017718796</v>
      </c>
      <c r="N2418">
        <v>0.64331526422791996</v>
      </c>
      <c r="O2418" s="1">
        <v>9.9807565814550308E-10</v>
      </c>
      <c r="P2418" s="2">
        <f t="shared" si="93"/>
        <v>0.2812206211452567</v>
      </c>
    </row>
    <row r="2419" spans="13:16" x14ac:dyDescent="0.25">
      <c r="M2419">
        <v>0.99232812040126395</v>
      </c>
      <c r="N2419">
        <v>0.99229876551049201</v>
      </c>
      <c r="O2419" s="1">
        <v>2.20963683814827E-9</v>
      </c>
      <c r="P2419" s="2">
        <f t="shared" si="93"/>
        <v>0.38997793544867032</v>
      </c>
    </row>
    <row r="2420" spans="13:16" x14ac:dyDescent="0.25">
      <c r="M2420">
        <v>0.64327425774803604</v>
      </c>
      <c r="N2420">
        <v>0.64330925167975395</v>
      </c>
      <c r="O2420" s="1">
        <v>9.6774377416723403E-10</v>
      </c>
      <c r="P2420" s="2">
        <f t="shared" si="93"/>
        <v>1.2653920281030975</v>
      </c>
    </row>
    <row r="2421" spans="13:16" x14ac:dyDescent="0.25">
      <c r="M2421">
        <v>0.99224730413481499</v>
      </c>
      <c r="N2421">
        <v>0.99230501364955703</v>
      </c>
      <c r="O2421" s="1">
        <v>2.2219460964669302E-9</v>
      </c>
      <c r="P2421" s="2">
        <f t="shared" si="93"/>
        <v>1.4988608846352014</v>
      </c>
    </row>
    <row r="2422" spans="13:16" x14ac:dyDescent="0.25">
      <c r="M2422">
        <v>0.64333195759468997</v>
      </c>
      <c r="N2422">
        <v>0.64331762751535704</v>
      </c>
      <c r="O2422" s="1">
        <v>1.0330285836440501E-9</v>
      </c>
      <c r="P2422" s="2">
        <f t="shared" si="93"/>
        <v>0.19878556793061189</v>
      </c>
    </row>
    <row r="2423" spans="13:16" x14ac:dyDescent="0.25">
      <c r="M2423">
        <v>0.99231772886549496</v>
      </c>
      <c r="N2423">
        <v>0.99229630964864102</v>
      </c>
      <c r="O2423" s="1">
        <v>2.0195720619360298E-9</v>
      </c>
      <c r="P2423" s="2">
        <f t="shared" si="93"/>
        <v>0.22716834882166506</v>
      </c>
    </row>
    <row r="2424" spans="13:16" x14ac:dyDescent="0.25">
      <c r="M2424">
        <v>0.64328555359527395</v>
      </c>
      <c r="N2424">
        <v>0.643348861179322</v>
      </c>
      <c r="O2424" s="1">
        <v>1.2655382062858499E-9</v>
      </c>
      <c r="P2424" s="2">
        <f t="shared" si="93"/>
        <v>3.166913632550552</v>
      </c>
    </row>
    <row r="2425" spans="13:16" x14ac:dyDescent="0.25">
      <c r="M2425">
        <v>0.99219469486774603</v>
      </c>
      <c r="N2425">
        <v>0.99226385392175898</v>
      </c>
      <c r="O2425" s="1">
        <v>1.47499985682284E-9</v>
      </c>
      <c r="P2425" s="2">
        <f t="shared" si="93"/>
        <v>3.2426950618613315</v>
      </c>
    </row>
    <row r="2426" spans="13:16" x14ac:dyDescent="0.25">
      <c r="M2426">
        <v>0.64338249157480798</v>
      </c>
      <c r="N2426">
        <v>0.64337580929902505</v>
      </c>
      <c r="O2426" s="1">
        <v>6.3181982250929604E-10</v>
      </c>
      <c r="P2426" s="2">
        <f t="shared" si="93"/>
        <v>7.0673328136209496E-2</v>
      </c>
    </row>
    <row r="2427" spans="13:16" x14ac:dyDescent="0.25">
      <c r="M2427">
        <v>0.99225676782237904</v>
      </c>
      <c r="N2427">
        <v>0.99223585353654198</v>
      </c>
      <c r="O2427" s="1">
        <v>2.4466866190890502E-9</v>
      </c>
      <c r="P2427" s="2">
        <f t="shared" si="93"/>
        <v>0.17877538899406406</v>
      </c>
    </row>
    <row r="2428" spans="13:16" x14ac:dyDescent="0.25">
      <c r="M2428">
        <v>0.64323955956281997</v>
      </c>
      <c r="N2428">
        <v>0.64327497303737602</v>
      </c>
      <c r="O2428" s="1">
        <v>1.47754268976824E-9</v>
      </c>
      <c r="P2428" s="2">
        <f t="shared" si="93"/>
        <v>0.84878371962868937</v>
      </c>
    </row>
    <row r="2429" spans="13:16" x14ac:dyDescent="0.25">
      <c r="M2429">
        <v>0.99229783416251804</v>
      </c>
      <c r="N2429">
        <v>0.99234063730609301</v>
      </c>
      <c r="O2429" s="1">
        <v>1.9802038846151001E-9</v>
      </c>
      <c r="P2429" s="2">
        <f t="shared" si="93"/>
        <v>0.92521235521927858</v>
      </c>
    </row>
    <row r="2430" spans="13:16" x14ac:dyDescent="0.25">
      <c r="M2430">
        <v>0.64333245592153299</v>
      </c>
      <c r="N2430">
        <v>0.643288188421549</v>
      </c>
      <c r="O2430" s="1">
        <v>8.2951465363370899E-10</v>
      </c>
      <c r="P2430" s="2">
        <f t="shared" si="93"/>
        <v>2.3623591774395063</v>
      </c>
    </row>
    <row r="2431" spans="13:16" x14ac:dyDescent="0.25">
      <c r="M2431">
        <v>0.99240975897508799</v>
      </c>
      <c r="N2431">
        <v>0.99232690300467197</v>
      </c>
      <c r="O2431" s="1">
        <v>2.2311583999843198E-9</v>
      </c>
      <c r="P2431" s="2">
        <f t="shared" si="93"/>
        <v>3.076927139564952</v>
      </c>
    </row>
    <row r="2432" spans="13:16" x14ac:dyDescent="0.25">
      <c r="M2432">
        <v>0.643286081254974</v>
      </c>
      <c r="N2432">
        <v>0.64333856086415497</v>
      </c>
      <c r="O2432" s="1">
        <v>5.6331211739139704E-10</v>
      </c>
      <c r="P2432" s="2">
        <f t="shared" si="93"/>
        <v>4.8891356936221486</v>
      </c>
    </row>
    <row r="2433" spans="13:16" x14ac:dyDescent="0.25">
      <c r="M2433">
        <v>0.99218234482354195</v>
      </c>
      <c r="N2433">
        <v>0.992274556960413</v>
      </c>
      <c r="O2433" s="1">
        <v>1.47058155047138E-9</v>
      </c>
      <c r="P2433" s="2">
        <f t="shared" si="93"/>
        <v>5.7821194503628632</v>
      </c>
    </row>
    <row r="2434" spans="13:16" x14ac:dyDescent="0.25">
      <c r="M2434">
        <v>0.64330990635644703</v>
      </c>
      <c r="N2434">
        <v>0.64327933035388096</v>
      </c>
      <c r="O2434" s="1">
        <v>1.7874477103617E-9</v>
      </c>
      <c r="P2434" s="2">
        <f t="shared" si="93"/>
        <v>0.52303176618839475</v>
      </c>
    </row>
    <row r="2435" spans="13:16" x14ac:dyDescent="0.25">
      <c r="M2435">
        <v>0.99236095611095099</v>
      </c>
      <c r="N2435">
        <v>0.99233610884236401</v>
      </c>
      <c r="O2435" s="1">
        <v>1.3452082309369999E-9</v>
      </c>
      <c r="P2435" s="2">
        <f t="shared" ref="P2435:P2498" si="94">(M2435-N2435)^2/O2435</f>
        <v>0.45895255621764175</v>
      </c>
    </row>
    <row r="2436" spans="13:16" x14ac:dyDescent="0.25">
      <c r="M2436">
        <v>0.64328293492044497</v>
      </c>
      <c r="N2436">
        <v>0.64329059496566898</v>
      </c>
      <c r="O2436" s="1">
        <v>6.4034329077894498E-10</v>
      </c>
      <c r="P2436" s="2">
        <f t="shared" si="94"/>
        <v>9.1632556597144824E-2</v>
      </c>
    </row>
    <row r="2437" spans="13:16" x14ac:dyDescent="0.25">
      <c r="M2437">
        <v>0.992307288219057</v>
      </c>
      <c r="N2437">
        <v>0.99232440201565897</v>
      </c>
      <c r="O2437" s="1">
        <v>2.37634169839155E-9</v>
      </c>
      <c r="P2437" s="2">
        <f t="shared" si="94"/>
        <v>0.12324912462363395</v>
      </c>
    </row>
    <row r="2438" spans="13:16" x14ac:dyDescent="0.25">
      <c r="M2438">
        <v>0.64327838150456196</v>
      </c>
      <c r="N2438">
        <v>0.64332112540812203</v>
      </c>
      <c r="O2438" s="1">
        <v>6.6870012804195E-10</v>
      </c>
      <c r="P2438" s="2">
        <f t="shared" si="94"/>
        <v>2.7322281168130806</v>
      </c>
    </row>
    <row r="2439" spans="13:16" x14ac:dyDescent="0.25">
      <c r="M2439">
        <v>0.99223295001803002</v>
      </c>
      <c r="N2439">
        <v>0.99229267476455096</v>
      </c>
      <c r="O2439" s="1">
        <v>1.1014367695761601E-9</v>
      </c>
      <c r="P2439" s="2">
        <f t="shared" si="94"/>
        <v>3.2385384667728903</v>
      </c>
    </row>
    <row r="2440" spans="13:16" x14ac:dyDescent="0.25">
      <c r="M2440">
        <v>0.64326226911486295</v>
      </c>
      <c r="N2440">
        <v>0.64327843688178599</v>
      </c>
      <c r="O2440" s="1">
        <v>1.26319487853917E-9</v>
      </c>
      <c r="P2440" s="2">
        <f t="shared" si="94"/>
        <v>0.20693298533629706</v>
      </c>
    </row>
    <row r="2441" spans="13:16" x14ac:dyDescent="0.25">
      <c r="M2441">
        <v>0.99232171920738899</v>
      </c>
      <c r="N2441">
        <v>0.992337037404183</v>
      </c>
      <c r="O2441" s="1">
        <v>1.1991652098022799E-9</v>
      </c>
      <c r="P2441" s="2">
        <f t="shared" si="94"/>
        <v>0.19567541745041614</v>
      </c>
    </row>
    <row r="2442" spans="13:16" x14ac:dyDescent="0.25">
      <c r="M2442">
        <v>0.64328885326594798</v>
      </c>
      <c r="N2442">
        <v>0.64331419687872604</v>
      </c>
      <c r="O2442" s="1">
        <v>5.5138707775343403E-10</v>
      </c>
      <c r="P2442" s="2">
        <f t="shared" si="94"/>
        <v>1.1648780585524394</v>
      </c>
    </row>
    <row r="2443" spans="13:16" x14ac:dyDescent="0.25">
      <c r="M2443">
        <v>0.99223714779747696</v>
      </c>
      <c r="N2443">
        <v>0.99229987467471203</v>
      </c>
      <c r="O2443" s="1">
        <v>1.9620460412874599E-9</v>
      </c>
      <c r="P2443" s="2">
        <f t="shared" si="94"/>
        <v>2.0053867467260624</v>
      </c>
    </row>
    <row r="2444" spans="13:16" x14ac:dyDescent="0.25">
      <c r="M2444">
        <v>0.64326651068674501</v>
      </c>
      <c r="N2444">
        <v>0.64333138185865801</v>
      </c>
      <c r="O2444" s="1">
        <v>8.1619759705781999E-10</v>
      </c>
      <c r="P2444" s="2">
        <f t="shared" si="94"/>
        <v>5.1559438064219485</v>
      </c>
    </row>
    <row r="2445" spans="13:16" x14ac:dyDescent="0.25">
      <c r="M2445">
        <v>0.99219020601433605</v>
      </c>
      <c r="N2445">
        <v>0.99228201682150996</v>
      </c>
      <c r="O2445" s="1">
        <v>1.4274443044063999E-9</v>
      </c>
      <c r="P2445" s="2">
        <f t="shared" si="94"/>
        <v>5.9051160790682733</v>
      </c>
    </row>
    <row r="2446" spans="13:16" x14ac:dyDescent="0.25">
      <c r="M2446">
        <v>0.64327175864223896</v>
      </c>
      <c r="N2446">
        <v>0.64324319022661403</v>
      </c>
      <c r="O2446" s="1">
        <v>1.47097194536324E-9</v>
      </c>
      <c r="P2446" s="2">
        <f t="shared" si="94"/>
        <v>0.55484020201160378</v>
      </c>
    </row>
    <row r="2447" spans="13:16" x14ac:dyDescent="0.25">
      <c r="M2447">
        <v>0.99241102373399703</v>
      </c>
      <c r="N2447">
        <v>0.99237367003912702</v>
      </c>
      <c r="O2447" s="1">
        <v>2.1321708767697301E-9</v>
      </c>
      <c r="P2447" s="2">
        <f t="shared" si="94"/>
        <v>0.65440276651555429</v>
      </c>
    </row>
    <row r="2448" spans="13:16" x14ac:dyDescent="0.25">
      <c r="M2448">
        <v>0.64332428341647896</v>
      </c>
      <c r="N2448">
        <v>0.64331623572704399</v>
      </c>
      <c r="O2448" s="1">
        <v>1.7918884991274E-9</v>
      </c>
      <c r="P2448" s="2">
        <f t="shared" si="94"/>
        <v>3.6143602279483107E-2</v>
      </c>
    </row>
    <row r="2449" spans="13:16" x14ac:dyDescent="0.25">
      <c r="M2449">
        <v>0.99230935083679905</v>
      </c>
      <c r="N2449">
        <v>0.99229775595409198</v>
      </c>
      <c r="O2449" s="1">
        <v>3.2324161622976999E-9</v>
      </c>
      <c r="P2449" s="2">
        <f t="shared" si="94"/>
        <v>4.1591582964776996E-2</v>
      </c>
    </row>
    <row r="2450" spans="13:16" x14ac:dyDescent="0.25">
      <c r="M2450">
        <v>0.64338920573209801</v>
      </c>
      <c r="N2450">
        <v>0.643425297933791</v>
      </c>
      <c r="O2450" s="1">
        <v>2.2122599312667199E-9</v>
      </c>
      <c r="P2450" s="2">
        <f t="shared" si="94"/>
        <v>0.58883090754217871</v>
      </c>
    </row>
    <row r="2451" spans="13:16" x14ac:dyDescent="0.25">
      <c r="M2451">
        <v>0.99214571968217602</v>
      </c>
      <c r="N2451">
        <v>0.99218443759022601</v>
      </c>
      <c r="O2451" s="1">
        <v>2.4856617015709401E-9</v>
      </c>
      <c r="P2451" s="2">
        <f t="shared" si="94"/>
        <v>0.6030894722399518</v>
      </c>
    </row>
    <row r="2452" spans="13:16" x14ac:dyDescent="0.25">
      <c r="M2452">
        <v>2.2879382253023701</v>
      </c>
      <c r="N2452">
        <v>2.2876817044474098</v>
      </c>
      <c r="O2452" s="1">
        <v>2.2572219650976E-8</v>
      </c>
      <c r="P2452" s="2">
        <f t="shared" si="94"/>
        <v>2.915218354554761</v>
      </c>
    </row>
    <row r="2453" spans="13:16" x14ac:dyDescent="0.25">
      <c r="M2453">
        <v>0.96718997806760998</v>
      </c>
      <c r="N2453">
        <v>0.96699192594388195</v>
      </c>
      <c r="O2453" s="1">
        <v>7.2497168159050804E-9</v>
      </c>
      <c r="P2453" s="2">
        <f t="shared" si="94"/>
        <v>5.4105070183057533</v>
      </c>
    </row>
    <row r="2454" spans="13:16" x14ac:dyDescent="0.25">
      <c r="M2454">
        <v>1.05899818704889</v>
      </c>
      <c r="N2454">
        <v>1.0587730786796099</v>
      </c>
      <c r="O2454" s="1">
        <v>5.7600203978993399E-9</v>
      </c>
      <c r="P2454" s="2">
        <f t="shared" si="94"/>
        <v>8.7974997342791674</v>
      </c>
    </row>
    <row r="2455" spans="13:16" x14ac:dyDescent="0.25">
      <c r="M2455">
        <v>2.2876032528265098</v>
      </c>
      <c r="N2455">
        <v>2.2876113094589399</v>
      </c>
      <c r="O2455" s="1">
        <v>2.7289287392080999E-8</v>
      </c>
      <c r="P2455" s="2">
        <f t="shared" si="94"/>
        <v>2.3785643494803133E-3</v>
      </c>
    </row>
    <row r="2456" spans="13:16" x14ac:dyDescent="0.25">
      <c r="M2456">
        <v>0.96698945178769202</v>
      </c>
      <c r="N2456">
        <v>0.96697299685817995</v>
      </c>
      <c r="O2456" s="1">
        <v>9.6261500944717794E-9</v>
      </c>
      <c r="P2456" s="2">
        <f t="shared" si="94"/>
        <v>2.8128036919239083E-2</v>
      </c>
    </row>
    <row r="2457" spans="13:16" x14ac:dyDescent="0.25">
      <c r="M2457">
        <v>1.0587252337461399</v>
      </c>
      <c r="N2457">
        <v>1.05876075150324</v>
      </c>
      <c r="O2457" s="1">
        <v>9.3035593496394596E-9</v>
      </c>
      <c r="P2457" s="2">
        <f t="shared" si="94"/>
        <v>0.13559445605835396</v>
      </c>
    </row>
    <row r="2458" spans="13:16" x14ac:dyDescent="0.25">
      <c r="M2458">
        <v>2.2886244107765701</v>
      </c>
      <c r="N2458">
        <v>2.2884564357215602</v>
      </c>
      <c r="O2458" s="1">
        <v>3.1895794012024397E-8</v>
      </c>
      <c r="P2458" s="2">
        <f t="shared" si="94"/>
        <v>0.88461880255850223</v>
      </c>
    </row>
    <row r="2459" spans="13:16" x14ac:dyDescent="0.25">
      <c r="M2459">
        <v>0.96741342231952998</v>
      </c>
      <c r="N2459">
        <v>0.96720023579015402</v>
      </c>
      <c r="O2459" s="1">
        <v>8.9497522061484595E-9</v>
      </c>
      <c r="P2459" s="2">
        <f t="shared" si="94"/>
        <v>5.0781848771349969</v>
      </c>
    </row>
    <row r="2460" spans="13:16" x14ac:dyDescent="0.25">
      <c r="M2460">
        <v>1.0590542930765601</v>
      </c>
      <c r="N2460">
        <v>1.0589087297091</v>
      </c>
      <c r="O2460" s="1">
        <v>1.04543021066428E-8</v>
      </c>
      <c r="P2460" s="2">
        <f t="shared" si="94"/>
        <v>2.0267918154817814</v>
      </c>
    </row>
    <row r="2461" spans="13:16" x14ac:dyDescent="0.25">
      <c r="M2461">
        <v>2.2889717332801101</v>
      </c>
      <c r="N2461">
        <v>2.2887501492247</v>
      </c>
      <c r="O2461" s="1">
        <v>2.0510988012686701E-8</v>
      </c>
      <c r="P2461" s="2">
        <f t="shared" si="94"/>
        <v>2.3938141634912937</v>
      </c>
    </row>
    <row r="2462" spans="13:16" x14ac:dyDescent="0.25">
      <c r="M2462">
        <v>0.96726379880052904</v>
      </c>
      <c r="N2462">
        <v>0.96727920280714597</v>
      </c>
      <c r="O2462" s="1">
        <v>5.71786853158004E-9</v>
      </c>
      <c r="P2462" s="2">
        <f t="shared" si="94"/>
        <v>4.1498579154761815E-2</v>
      </c>
    </row>
    <row r="2463" spans="13:16" x14ac:dyDescent="0.25">
      <c r="M2463">
        <v>1.0591639528369501</v>
      </c>
      <c r="N2463">
        <v>1.0589601498060699</v>
      </c>
      <c r="O2463" s="1">
        <v>1.01244498889393E-8</v>
      </c>
      <c r="P2463" s="2">
        <f t="shared" si="94"/>
        <v>4.1025118254897199</v>
      </c>
    </row>
    <row r="2464" spans="13:16" x14ac:dyDescent="0.25">
      <c r="M2464">
        <v>2.2897278104550001</v>
      </c>
      <c r="N2464">
        <v>2.2896528293160001</v>
      </c>
      <c r="O2464" s="1">
        <v>1.09751806551271E-8</v>
      </c>
      <c r="P2464" s="2">
        <f t="shared" si="94"/>
        <v>0.51226229274902457</v>
      </c>
    </row>
    <row r="2465" spans="13:16" x14ac:dyDescent="0.25">
      <c r="M2465">
        <v>0.96747607640134603</v>
      </c>
      <c r="N2465">
        <v>0.967521871855611</v>
      </c>
      <c r="O2465" s="1">
        <v>1.36281662393425E-9</v>
      </c>
      <c r="P2465" s="2">
        <f t="shared" si="94"/>
        <v>1.5388890878663934</v>
      </c>
    </row>
    <row r="2466" spans="13:16" x14ac:dyDescent="0.25">
      <c r="M2466">
        <v>1.05901763437497</v>
      </c>
      <c r="N2466">
        <v>1.0591181553365501</v>
      </c>
      <c r="O2466" s="1">
        <v>6.0620712987610501E-9</v>
      </c>
      <c r="P2466" s="2">
        <f t="shared" si="94"/>
        <v>1.6668335324677364</v>
      </c>
    </row>
    <row r="2467" spans="13:16" x14ac:dyDescent="0.25">
      <c r="M2467">
        <v>2.29010978850549</v>
      </c>
      <c r="N2467">
        <v>2.2902299502029502</v>
      </c>
      <c r="O2467" s="1">
        <v>1.9614419874100101E-8</v>
      </c>
      <c r="P2467" s="2">
        <f t="shared" si="94"/>
        <v>0.73613360115658566</v>
      </c>
    </row>
    <row r="2468" spans="13:16" x14ac:dyDescent="0.25">
      <c r="M2468">
        <v>0.96770941013496303</v>
      </c>
      <c r="N2468">
        <v>0.96767700201871099</v>
      </c>
      <c r="O2468" s="1">
        <v>4.9245080331078103E-9</v>
      </c>
      <c r="P2468" s="2">
        <f t="shared" si="94"/>
        <v>0.21327734505560098</v>
      </c>
    </row>
    <row r="2469" spans="13:16" x14ac:dyDescent="0.25">
      <c r="M2469">
        <v>1.05896748246794</v>
      </c>
      <c r="N2469">
        <v>1.05921915454501</v>
      </c>
      <c r="O2469" s="1">
        <v>7.6827106122554604E-9</v>
      </c>
      <c r="P2469" s="2">
        <f t="shared" si="94"/>
        <v>8.2443342686484513</v>
      </c>
    </row>
    <row r="2470" spans="13:16" x14ac:dyDescent="0.25">
      <c r="M2470">
        <v>2.2905430968984599</v>
      </c>
      <c r="N2470">
        <v>2.29051413926019</v>
      </c>
      <c r="O2470" s="1">
        <v>2.1552768109590301E-8</v>
      </c>
      <c r="P2470" s="2">
        <f t="shared" si="94"/>
        <v>3.8906594731057488E-2</v>
      </c>
    </row>
    <row r="2471" spans="13:16" x14ac:dyDescent="0.25">
      <c r="M2471">
        <v>0.96771730885034701</v>
      </c>
      <c r="N2471">
        <v>0.96775338684454504</v>
      </c>
      <c r="O2471" s="1">
        <v>5.0837611719154797E-9</v>
      </c>
      <c r="P2471" s="2">
        <f t="shared" si="94"/>
        <v>0.25603517186120894</v>
      </c>
    </row>
    <row r="2472" spans="13:16" x14ac:dyDescent="0.25">
      <c r="M2472">
        <v>1.05930161990842</v>
      </c>
      <c r="N2472">
        <v>1.0592688833199799</v>
      </c>
      <c r="O2472" s="1">
        <v>1.04575896007815E-8</v>
      </c>
      <c r="P2472" s="2">
        <f t="shared" si="94"/>
        <v>0.10247908587015753</v>
      </c>
    </row>
    <row r="2473" spans="13:16" x14ac:dyDescent="0.25">
      <c r="M2473">
        <v>2.2918761470194902</v>
      </c>
      <c r="N2473">
        <v>2.29171895587073</v>
      </c>
      <c r="O2473" s="1">
        <v>2.1709221459515401E-8</v>
      </c>
      <c r="P2473" s="2">
        <f t="shared" si="94"/>
        <v>1.1381825596373356</v>
      </c>
    </row>
    <row r="2474" spans="13:16" x14ac:dyDescent="0.25">
      <c r="M2474">
        <v>0.96815030929161905</v>
      </c>
      <c r="N2474">
        <v>0.96807718124446795</v>
      </c>
      <c r="O2474" s="1">
        <v>5.11791788551945E-9</v>
      </c>
      <c r="P2474" s="2">
        <f t="shared" si="94"/>
        <v>1.0448997814645256</v>
      </c>
    </row>
    <row r="2475" spans="13:16" x14ac:dyDescent="0.25">
      <c r="M2475">
        <v>1.0597277171424</v>
      </c>
      <c r="N2475">
        <v>1.0594796653671901</v>
      </c>
      <c r="O2475" s="1">
        <v>4.6597379950294602E-9</v>
      </c>
      <c r="P2475" s="2">
        <f t="shared" si="94"/>
        <v>13.204537089945385</v>
      </c>
    </row>
    <row r="2476" spans="13:16" x14ac:dyDescent="0.25">
      <c r="M2476">
        <v>2.29221124798757</v>
      </c>
      <c r="N2476">
        <v>2.2920271895256699</v>
      </c>
      <c r="O2476" s="1">
        <v>1.5316553427551402E-8</v>
      </c>
      <c r="P2476" s="2">
        <f t="shared" si="94"/>
        <v>2.2118237994794652</v>
      </c>
    </row>
    <row r="2477" spans="13:16" x14ac:dyDescent="0.25">
      <c r="M2477">
        <v>0.96815320383983705</v>
      </c>
      <c r="N2477">
        <v>0.96816000907218103</v>
      </c>
      <c r="O2477" s="1">
        <v>5.0192169952403902E-9</v>
      </c>
      <c r="P2477" s="2">
        <f t="shared" si="94"/>
        <v>9.2267752718029634E-3</v>
      </c>
    </row>
    <row r="2478" spans="13:16" x14ac:dyDescent="0.25">
      <c r="M2478">
        <v>1.0597584632974499</v>
      </c>
      <c r="N2478">
        <v>1.05953357962029</v>
      </c>
      <c r="O2478" s="1">
        <v>5.2897972539677104E-9</v>
      </c>
      <c r="P2478" s="2">
        <f t="shared" si="94"/>
        <v>9.5604171246869445</v>
      </c>
    </row>
    <row r="2479" spans="13:16" x14ac:dyDescent="0.25">
      <c r="M2479">
        <v>2.2920932698726499</v>
      </c>
      <c r="N2479">
        <v>2.2923150660598899</v>
      </c>
      <c r="O2479" s="1">
        <v>1.3585469683325E-8</v>
      </c>
      <c r="P2479" s="2">
        <f t="shared" si="94"/>
        <v>3.6210414377175577</v>
      </c>
    </row>
    <row r="2480" spans="13:16" x14ac:dyDescent="0.25">
      <c r="M2480">
        <v>0.96806279183336996</v>
      </c>
      <c r="N2480">
        <v>0.96823736292185403</v>
      </c>
      <c r="O2480" s="1">
        <v>8.0343726775475395E-9</v>
      </c>
      <c r="P2480" s="2">
        <f t="shared" si="94"/>
        <v>3.7930858024143674</v>
      </c>
    </row>
    <row r="2481" spans="13:16" x14ac:dyDescent="0.25">
      <c r="M2481">
        <v>1.0592463431236501</v>
      </c>
      <c r="N2481">
        <v>1.05958392906615</v>
      </c>
      <c r="O2481" s="1">
        <v>6.2888331178532599E-9</v>
      </c>
      <c r="P2481" s="2">
        <f t="shared" si="94"/>
        <v>18.121687511472437</v>
      </c>
    </row>
    <row r="2482" spans="13:16" x14ac:dyDescent="0.25">
      <c r="M2482">
        <v>2.2928422428567901</v>
      </c>
      <c r="N2482">
        <v>2.2930067857855101</v>
      </c>
      <c r="O2482" s="1">
        <v>1.7748485507888701E-8</v>
      </c>
      <c r="P2482" s="2">
        <f t="shared" si="94"/>
        <v>1.5254470799625548</v>
      </c>
    </row>
    <row r="2483" spans="13:16" x14ac:dyDescent="0.25">
      <c r="M2483">
        <v>0.96846674256008003</v>
      </c>
      <c r="N2483">
        <v>0.96842321698729406</v>
      </c>
      <c r="O2483" s="1">
        <v>3.7423026667366599E-9</v>
      </c>
      <c r="P2483" s="2">
        <f t="shared" si="94"/>
        <v>0.50623256723356669</v>
      </c>
    </row>
    <row r="2484" spans="13:16" x14ac:dyDescent="0.25">
      <c r="M2484">
        <v>1.0595253280266099</v>
      </c>
      <c r="N2484">
        <v>1.0597048943946199</v>
      </c>
      <c r="O2484" s="1">
        <v>4.2102913756688102E-9</v>
      </c>
      <c r="P2484" s="2">
        <f t="shared" si="94"/>
        <v>7.6583964489089587</v>
      </c>
    </row>
    <row r="2485" spans="13:16" x14ac:dyDescent="0.25">
      <c r="M2485">
        <v>2.2934982241315098</v>
      </c>
      <c r="N2485">
        <v>2.2934704609926699</v>
      </c>
      <c r="O2485" s="1">
        <v>1.43301553322103E-8</v>
      </c>
      <c r="P2485" s="2">
        <f t="shared" si="94"/>
        <v>5.3788103504427628E-2</v>
      </c>
    </row>
    <row r="2486" spans="13:16" x14ac:dyDescent="0.25">
      <c r="M2486">
        <v>0.96866738679321895</v>
      </c>
      <c r="N2486">
        <v>0.96854778770512595</v>
      </c>
      <c r="O2486" s="1">
        <v>6.6347668881105803E-9</v>
      </c>
      <c r="P2486" s="2">
        <f t="shared" si="94"/>
        <v>2.1559072253631708</v>
      </c>
    </row>
    <row r="2487" spans="13:16" x14ac:dyDescent="0.25">
      <c r="M2487">
        <v>1.0598232882806899</v>
      </c>
      <c r="N2487">
        <v>1.0597859674618499</v>
      </c>
      <c r="O2487" s="1">
        <v>5.37491292593775E-9</v>
      </c>
      <c r="P2487" s="2">
        <f t="shared" si="94"/>
        <v>0.25913787592109278</v>
      </c>
    </row>
    <row r="2488" spans="13:16" x14ac:dyDescent="0.25">
      <c r="M2488">
        <v>2.2939343171082598</v>
      </c>
      <c r="N2488">
        <v>2.2941230834513702</v>
      </c>
      <c r="O2488" s="1">
        <v>1.6533239719062399E-8</v>
      </c>
      <c r="P2488" s="2">
        <f t="shared" si="94"/>
        <v>2.1552177853069052</v>
      </c>
    </row>
    <row r="2489" spans="13:16" x14ac:dyDescent="0.25">
      <c r="M2489">
        <v>0.96864524914151895</v>
      </c>
      <c r="N2489">
        <v>0.96872310535990602</v>
      </c>
      <c r="O2489" s="1">
        <v>4.1324622218581099E-9</v>
      </c>
      <c r="P2489" s="2">
        <f t="shared" si="94"/>
        <v>1.4668230261062514</v>
      </c>
    </row>
    <row r="2490" spans="13:16" x14ac:dyDescent="0.25">
      <c r="M2490">
        <v>1.0597422672586401</v>
      </c>
      <c r="N2490">
        <v>1.0599000604736499</v>
      </c>
      <c r="O2490" s="1">
        <v>4.5642920527111697E-9</v>
      </c>
      <c r="P2490" s="2">
        <f t="shared" si="94"/>
        <v>5.4551063813627625</v>
      </c>
    </row>
    <row r="2491" spans="13:16" x14ac:dyDescent="0.25">
      <c r="M2491">
        <v>2.29449736633824</v>
      </c>
      <c r="N2491">
        <v>2.2944436814862001</v>
      </c>
      <c r="O2491" s="1">
        <v>1.3671739667308599E-8</v>
      </c>
      <c r="P2491" s="2">
        <f t="shared" si="94"/>
        <v>0.21080443372027394</v>
      </c>
    </row>
    <row r="2492" spans="13:16" x14ac:dyDescent="0.25">
      <c r="M2492">
        <v>0.96879221050465103</v>
      </c>
      <c r="N2492">
        <v>0.96880922277269099</v>
      </c>
      <c r="O2492" s="1">
        <v>2.0220502893514001E-9</v>
      </c>
      <c r="P2492" s="2">
        <f t="shared" si="94"/>
        <v>0.14313059639893921</v>
      </c>
    </row>
    <row r="2493" spans="13:16" x14ac:dyDescent="0.25">
      <c r="M2493">
        <v>1.0599481301045499</v>
      </c>
      <c r="N2493">
        <v>1.0599561007951199</v>
      </c>
      <c r="O2493" s="1">
        <v>5.9124985810549496E-9</v>
      </c>
      <c r="P2493" s="2">
        <f t="shared" si="94"/>
        <v>1.0745357024943633E-2</v>
      </c>
    </row>
    <row r="2494" spans="13:16" x14ac:dyDescent="0.25">
      <c r="M2494">
        <v>2.2949027257194001</v>
      </c>
      <c r="N2494">
        <v>2.2949378465277301</v>
      </c>
      <c r="O2494" s="1">
        <v>1.52204647065841E-8</v>
      </c>
      <c r="P2494" s="2">
        <f t="shared" si="94"/>
        <v>8.1040309972925939E-2</v>
      </c>
    </row>
    <row r="2495" spans="13:16" x14ac:dyDescent="0.25">
      <c r="M2495">
        <v>0.96879051082126899</v>
      </c>
      <c r="N2495">
        <v>0.96894195429682795</v>
      </c>
      <c r="O2495" s="1">
        <v>4.9712066039794402E-9</v>
      </c>
      <c r="P2495" s="2">
        <f t="shared" si="94"/>
        <v>4.6135934626044524</v>
      </c>
    </row>
    <row r="2496" spans="13:16" x14ac:dyDescent="0.25">
      <c r="M2496">
        <v>1.0600552482010199</v>
      </c>
      <c r="N2496">
        <v>1.0600424709798499</v>
      </c>
      <c r="O2496" s="1">
        <v>3.5387211042776499E-9</v>
      </c>
      <c r="P2496" s="2">
        <f t="shared" si="94"/>
        <v>4.6134571223911361E-2</v>
      </c>
    </row>
    <row r="2497" spans="13:16" x14ac:dyDescent="0.25">
      <c r="M2497">
        <v>2.2957802929289901</v>
      </c>
      <c r="N2497">
        <v>2.2957957201002599</v>
      </c>
      <c r="O2497" s="1">
        <v>5.9203002645564299E-9</v>
      </c>
      <c r="P2497" s="2">
        <f t="shared" si="94"/>
        <v>4.0200260586819615E-2</v>
      </c>
    </row>
    <row r="2498" spans="13:16" x14ac:dyDescent="0.25">
      <c r="M2498">
        <v>0.969195348249829</v>
      </c>
      <c r="N2498">
        <v>0.96917235235083499</v>
      </c>
      <c r="O2498" s="1">
        <v>2.3321496622921301E-9</v>
      </c>
      <c r="P2498" s="2">
        <f t="shared" si="94"/>
        <v>0.22674847120370861</v>
      </c>
    </row>
    <row r="2499" spans="13:16" x14ac:dyDescent="0.25">
      <c r="M2499">
        <v>1.0602389495842299</v>
      </c>
      <c r="N2499">
        <v>1.06019238270351</v>
      </c>
      <c r="O2499" s="1">
        <v>1.81983438413586E-9</v>
      </c>
      <c r="P2499" s="2">
        <f t="shared" ref="P2499:P2562" si="95">(M2499-N2499)^2/O2499</f>
        <v>1.191577870429215</v>
      </c>
    </row>
    <row r="2500" spans="13:16" x14ac:dyDescent="0.25">
      <c r="M2500">
        <v>2.2956524108147698</v>
      </c>
      <c r="N2500">
        <v>2.2955697639557102</v>
      </c>
      <c r="O2500" s="1">
        <v>9.5329202681042807E-9</v>
      </c>
      <c r="P2500" s="2">
        <f t="shared" si="95"/>
        <v>0.71651740708096368</v>
      </c>
    </row>
    <row r="2501" spans="13:16" x14ac:dyDescent="0.25">
      <c r="M2501">
        <v>0.96927164914756303</v>
      </c>
      <c r="N2501">
        <v>0.96911167062525405</v>
      </c>
      <c r="O2501" s="1">
        <v>3.60526796504384E-9</v>
      </c>
      <c r="P2501" s="2">
        <f t="shared" si="95"/>
        <v>7.098814248569524</v>
      </c>
    </row>
    <row r="2502" spans="13:16" x14ac:dyDescent="0.25">
      <c r="M2502">
        <v>1.0602601345678599</v>
      </c>
      <c r="N2502">
        <v>1.0601529006891199</v>
      </c>
      <c r="O2502" s="1">
        <v>2.0157373870234998E-9</v>
      </c>
      <c r="P2502" s="2">
        <f t="shared" si="95"/>
        <v>5.7046641212558979</v>
      </c>
    </row>
    <row r="2503" spans="13:16" x14ac:dyDescent="0.25">
      <c r="M2503">
        <v>2.2958010508528202</v>
      </c>
      <c r="N2503">
        <v>2.2957956639384598</v>
      </c>
      <c r="O2503" s="1">
        <v>8.6488055889714502E-9</v>
      </c>
      <c r="P2503" s="2">
        <f t="shared" si="95"/>
        <v>3.355243221430534E-3</v>
      </c>
    </row>
    <row r="2504" spans="13:16" x14ac:dyDescent="0.25">
      <c r="M2504">
        <v>0.96924257843475903</v>
      </c>
      <c r="N2504">
        <v>0.96917233726855501</v>
      </c>
      <c r="O2504" s="1">
        <v>4.0222324005179301E-9</v>
      </c>
      <c r="P2504" s="2">
        <f t="shared" si="95"/>
        <v>1.2266375829168028</v>
      </c>
    </row>
    <row r="2505" spans="13:16" x14ac:dyDescent="0.25">
      <c r="M2505">
        <v>1.0601804906071901</v>
      </c>
      <c r="N2505">
        <v>1.0601923728904801</v>
      </c>
      <c r="O2505" s="1">
        <v>4.5941899026642501E-9</v>
      </c>
      <c r="P2505" s="2">
        <f t="shared" si="95"/>
        <v>3.0732002632524898E-2</v>
      </c>
    </row>
    <row r="2506" spans="13:16" x14ac:dyDescent="0.25">
      <c r="M2506">
        <v>2.2958114945508199</v>
      </c>
      <c r="N2506">
        <v>2.2957983642491202</v>
      </c>
      <c r="O2506" s="1">
        <v>1.90726029677175E-8</v>
      </c>
      <c r="P2506" s="2">
        <f t="shared" si="95"/>
        <v>9.039396616013955E-3</v>
      </c>
    </row>
    <row r="2507" spans="13:16" x14ac:dyDescent="0.25">
      <c r="M2507">
        <v>0.96909528663622102</v>
      </c>
      <c r="N2507">
        <v>0.96917306243822499</v>
      </c>
      <c r="O2507" s="1">
        <v>4.1507621829821301E-9</v>
      </c>
      <c r="P2507" s="2">
        <f t="shared" si="95"/>
        <v>1.4573408715538712</v>
      </c>
    </row>
    <row r="2508" spans="13:16" x14ac:dyDescent="0.25">
      <c r="M2508">
        <v>1.0602666371603999</v>
      </c>
      <c r="N2508">
        <v>1.0601928447094999</v>
      </c>
      <c r="O2508" s="1">
        <v>4.3205943947179497E-9</v>
      </c>
      <c r="P2508" s="2">
        <f t="shared" si="95"/>
        <v>1.260318676635354</v>
      </c>
    </row>
    <row r="2509" spans="13:16" x14ac:dyDescent="0.25">
      <c r="M2509">
        <v>2.2960955735183499</v>
      </c>
      <c r="N2509">
        <v>2.2961486896355399</v>
      </c>
      <c r="O2509" s="1">
        <v>1.3040418349669601E-8</v>
      </c>
      <c r="P2509" s="2">
        <f t="shared" si="95"/>
        <v>0.21635210080567402</v>
      </c>
    </row>
    <row r="2510" spans="13:16" x14ac:dyDescent="0.25">
      <c r="M2510">
        <v>0.96924874371806402</v>
      </c>
      <c r="N2510">
        <v>0.96926713985023005</v>
      </c>
      <c r="O2510" s="1">
        <v>2.92161491168752E-9</v>
      </c>
      <c r="P2510" s="2">
        <f t="shared" si="95"/>
        <v>0.11583240396135808</v>
      </c>
    </row>
    <row r="2511" spans="13:16" x14ac:dyDescent="0.25">
      <c r="M2511">
        <v>1.0600615703568199</v>
      </c>
      <c r="N2511">
        <v>1.06025405332588</v>
      </c>
      <c r="O2511" s="1">
        <v>2.71049232480048E-9</v>
      </c>
      <c r="P2511" s="2">
        <f t="shared" si="95"/>
        <v>13.668990330344776</v>
      </c>
    </row>
    <row r="2512" spans="13:16" x14ac:dyDescent="0.25">
      <c r="M2512">
        <v>2.29611862853577</v>
      </c>
      <c r="N2512">
        <v>2.2963423535119798</v>
      </c>
      <c r="O2512" s="1">
        <v>7.5051024504463206E-9</v>
      </c>
      <c r="P2512" s="2">
        <f t="shared" si="95"/>
        <v>6.6691781105674446</v>
      </c>
    </row>
    <row r="2513" spans="13:16" x14ac:dyDescent="0.25">
      <c r="M2513">
        <v>0.96919096945425898</v>
      </c>
      <c r="N2513">
        <v>0.96931914467696501</v>
      </c>
      <c r="O2513" s="1">
        <v>1.6535126912858101E-9</v>
      </c>
      <c r="P2513" s="2">
        <f t="shared" si="95"/>
        <v>9.9357493911731023</v>
      </c>
    </row>
    <row r="2514" spans="13:16" x14ac:dyDescent="0.25">
      <c r="M2514">
        <v>1.0599839073460999</v>
      </c>
      <c r="N2514">
        <v>1.0602878876567701</v>
      </c>
      <c r="O2514" s="1">
        <v>3.3625718718729199E-9</v>
      </c>
      <c r="P2514" s="2">
        <f t="shared" si="95"/>
        <v>27.480164825040696</v>
      </c>
    </row>
    <row r="2515" spans="13:16" x14ac:dyDescent="0.25">
      <c r="M2515">
        <v>2.2961676671098701</v>
      </c>
      <c r="N2515">
        <v>2.2960914109841801</v>
      </c>
      <c r="O2515" s="1">
        <v>1.5121728871376499E-8</v>
      </c>
      <c r="P2515" s="2">
        <f t="shared" si="95"/>
        <v>0.38454575893430365</v>
      </c>
    </row>
    <row r="2516" spans="13:16" x14ac:dyDescent="0.25">
      <c r="M2516">
        <v>0.96927138783609101</v>
      </c>
      <c r="N2516">
        <v>0.96925175842949696</v>
      </c>
      <c r="O2516" s="1">
        <v>2.8227565270575398E-9</v>
      </c>
      <c r="P2516" s="2">
        <f t="shared" si="95"/>
        <v>0.13650259933557574</v>
      </c>
    </row>
    <row r="2517" spans="13:16" x14ac:dyDescent="0.25">
      <c r="M2517">
        <v>1.0603549444956499</v>
      </c>
      <c r="N2517">
        <v>1.0602440460353599</v>
      </c>
      <c r="O2517" s="1">
        <v>3.4761497128558001E-9</v>
      </c>
      <c r="P2517" s="2">
        <f t="shared" si="95"/>
        <v>3.5379570820005695</v>
      </c>
    </row>
    <row r="2518" spans="13:16" x14ac:dyDescent="0.25">
      <c r="M2518">
        <v>2.2961121382519099</v>
      </c>
      <c r="N2518">
        <v>2.2963672046210899</v>
      </c>
      <c r="O2518" s="1">
        <v>1.07428997935276E-8</v>
      </c>
      <c r="P2518" s="2">
        <f t="shared" si="95"/>
        <v>6.0559861803689374</v>
      </c>
    </row>
    <row r="2519" spans="13:16" x14ac:dyDescent="0.25">
      <c r="M2519">
        <v>0.96954495961771603</v>
      </c>
      <c r="N2519">
        <v>0.96932581786389804</v>
      </c>
      <c r="O2519" s="1">
        <v>2.0522359087274398E-9</v>
      </c>
      <c r="P2519" s="2">
        <f t="shared" si="95"/>
        <v>23.40038397252356</v>
      </c>
    </row>
    <row r="2520" spans="13:16" x14ac:dyDescent="0.25">
      <c r="M2520">
        <v>1.0601659109620201</v>
      </c>
      <c r="N2520">
        <v>1.0602922291777399</v>
      </c>
      <c r="O2520" s="1">
        <v>3.3975292380639299E-9</v>
      </c>
      <c r="P2520" s="2">
        <f t="shared" si="95"/>
        <v>4.6964398257063831</v>
      </c>
    </row>
    <row r="2521" spans="13:16" x14ac:dyDescent="0.25">
      <c r="M2521">
        <v>2.2959457654240998</v>
      </c>
      <c r="N2521">
        <v>2.2960225274390398</v>
      </c>
      <c r="O2521" s="1">
        <v>7.7019497060049695E-9</v>
      </c>
      <c r="P2521" s="2">
        <f t="shared" si="95"/>
        <v>0.76505393602543459</v>
      </c>
    </row>
    <row r="2522" spans="13:16" x14ac:dyDescent="0.25">
      <c r="M2522">
        <v>0.96920234404193895</v>
      </c>
      <c r="N2522">
        <v>0.96923326048383396</v>
      </c>
      <c r="O2522" s="1">
        <v>2.4716216782079498E-9</v>
      </c>
      <c r="P2522" s="2">
        <f t="shared" si="95"/>
        <v>0.38672034149688633</v>
      </c>
    </row>
    <row r="2523" spans="13:16" x14ac:dyDescent="0.25">
      <c r="M2523">
        <v>1.0601244475238001</v>
      </c>
      <c r="N2523">
        <v>1.0602320110204999</v>
      </c>
      <c r="O2523" s="1">
        <v>3.6167969179369599E-9</v>
      </c>
      <c r="P2523" s="2">
        <f t="shared" si="95"/>
        <v>3.1989370940110251</v>
      </c>
    </row>
    <row r="2524" spans="13:16" x14ac:dyDescent="0.25">
      <c r="M2524">
        <v>2.2961619462868201</v>
      </c>
      <c r="N2524">
        <v>2.29623905486674</v>
      </c>
      <c r="O2524" s="1">
        <v>1.64034096436011E-8</v>
      </c>
      <c r="P2524" s="2">
        <f t="shared" si="95"/>
        <v>0.36246934182807039</v>
      </c>
    </row>
    <row r="2525" spans="13:16" x14ac:dyDescent="0.25">
      <c r="M2525">
        <v>0.96924471084513997</v>
      </c>
      <c r="N2525">
        <v>0.96929140594847396</v>
      </c>
      <c r="O2525" s="1">
        <v>2.7350620017341102E-9</v>
      </c>
      <c r="P2525" s="2">
        <f t="shared" si="95"/>
        <v>0.79721508104382044</v>
      </c>
    </row>
    <row r="2526" spans="13:16" x14ac:dyDescent="0.25">
      <c r="M2526">
        <v>1.0601819208211101</v>
      </c>
      <c r="N2526">
        <v>1.0602698409365601</v>
      </c>
      <c r="O2526" s="1">
        <v>6.2918029063959998E-9</v>
      </c>
      <c r="P2526" s="2">
        <f t="shared" si="95"/>
        <v>1.2285741965762658</v>
      </c>
    </row>
    <row r="2527" spans="13:16" x14ac:dyDescent="0.25">
      <c r="M2527">
        <v>0.63101398793548003</v>
      </c>
      <c r="N2527">
        <v>0.63096561937972795</v>
      </c>
      <c r="O2527" s="1">
        <v>1.0463138092109899E-9</v>
      </c>
      <c r="P2527" s="2">
        <f t="shared" si="95"/>
        <v>2.2359613004686536</v>
      </c>
    </row>
    <row r="2528" spans="13:16" x14ac:dyDescent="0.25">
      <c r="M2528">
        <v>0.99247124080793603</v>
      </c>
      <c r="N2528">
        <v>0.99240206483209203</v>
      </c>
      <c r="O2528" s="1">
        <v>1.89941435005601E-9</v>
      </c>
      <c r="P2528" s="2">
        <f t="shared" si="95"/>
        <v>2.5193637364210058</v>
      </c>
    </row>
    <row r="2529" spans="13:16" x14ac:dyDescent="0.25">
      <c r="M2529">
        <v>0.63097293338051896</v>
      </c>
      <c r="N2529">
        <v>0.63097298303869498</v>
      </c>
      <c r="O2529" s="1">
        <v>5.1404795084858801E-10</v>
      </c>
      <c r="P2529" s="2">
        <f t="shared" si="95"/>
        <v>4.7970903125495742E-6</v>
      </c>
    </row>
    <row r="2530" spans="13:16" x14ac:dyDescent="0.25">
      <c r="M2530">
        <v>0.99239412738411803</v>
      </c>
      <c r="N2530">
        <v>0.99239426219306204</v>
      </c>
      <c r="O2530" s="1">
        <v>2.08635377656545E-9</v>
      </c>
      <c r="P2530" s="2">
        <f t="shared" si="95"/>
        <v>8.7106278851858588E-6</v>
      </c>
    </row>
    <row r="2531" spans="13:16" x14ac:dyDescent="0.25">
      <c r="M2531">
        <v>0.63098679730138596</v>
      </c>
      <c r="N2531">
        <v>0.630950052550874</v>
      </c>
      <c r="O2531" s="1">
        <v>4.9093188365793296E-10</v>
      </c>
      <c r="P2531" s="2">
        <f t="shared" si="95"/>
        <v>2.7502322320690724</v>
      </c>
    </row>
    <row r="2532" spans="13:16" x14ac:dyDescent="0.25">
      <c r="M2532">
        <v>0.99249057232219795</v>
      </c>
      <c r="N2532">
        <v>0.992418560169672</v>
      </c>
      <c r="O2532" s="1">
        <v>1.5737610266171901E-9</v>
      </c>
      <c r="P2532" s="2">
        <f t="shared" si="95"/>
        <v>3.2951318679984016</v>
      </c>
    </row>
    <row r="2533" spans="13:16" x14ac:dyDescent="0.25">
      <c r="M2533">
        <v>0.63094877940595195</v>
      </c>
      <c r="N2533">
        <v>0.63089745219952797</v>
      </c>
      <c r="O2533" s="1">
        <v>6.4860754889397902E-10</v>
      </c>
      <c r="P2533" s="2">
        <f t="shared" si="95"/>
        <v>4.061750628376319</v>
      </c>
    </row>
    <row r="2534" spans="13:16" x14ac:dyDescent="0.25">
      <c r="M2534">
        <v>0.99255255148343302</v>
      </c>
      <c r="N2534">
        <v>0.99247430299396</v>
      </c>
      <c r="O2534" s="1">
        <v>1.25681429729309E-9</v>
      </c>
      <c r="P2534" s="2">
        <f t="shared" si="95"/>
        <v>4.8717030972647963</v>
      </c>
    </row>
    <row r="2535" spans="13:16" x14ac:dyDescent="0.25">
      <c r="M2535">
        <v>0.63087866810841198</v>
      </c>
      <c r="N2535">
        <v>0.63084048242827495</v>
      </c>
      <c r="O2535" s="1">
        <v>1.1190490492515801E-9</v>
      </c>
      <c r="P2535" s="2">
        <f t="shared" si="95"/>
        <v>1.3030225694776139</v>
      </c>
    </row>
    <row r="2536" spans="13:16" x14ac:dyDescent="0.25">
      <c r="M2536">
        <v>0.99258373767768004</v>
      </c>
      <c r="N2536">
        <v>0.99253468505319498</v>
      </c>
      <c r="O2536" s="1">
        <v>1.7298886174333199E-9</v>
      </c>
      <c r="P2536" s="2">
        <f t="shared" si="95"/>
        <v>1.3909334650939762</v>
      </c>
    </row>
    <row r="2537" spans="13:16" x14ac:dyDescent="0.25">
      <c r="M2537">
        <v>0.63098420505376995</v>
      </c>
      <c r="N2537">
        <v>0.63094224518580599</v>
      </c>
      <c r="O2537" s="1">
        <v>7.66478824268179E-10</v>
      </c>
      <c r="P2537" s="2">
        <f t="shared" si="95"/>
        <v>2.2970373920425984</v>
      </c>
    </row>
    <row r="2538" spans="13:16" x14ac:dyDescent="0.25">
      <c r="M2538">
        <v>0.99248348630535599</v>
      </c>
      <c r="N2538">
        <v>0.99242683347416205</v>
      </c>
      <c r="O2538" s="1">
        <v>1.3022471605015999E-9</v>
      </c>
      <c r="P2538" s="2">
        <f t="shared" si="95"/>
        <v>2.4646191442279757</v>
      </c>
    </row>
    <row r="2539" spans="13:16" x14ac:dyDescent="0.25">
      <c r="M2539">
        <v>0.63089535397682905</v>
      </c>
      <c r="N2539">
        <v>0.63089884227113002</v>
      </c>
      <c r="O2539" s="1">
        <v>8.03549149375206E-10</v>
      </c>
      <c r="P2539" s="2">
        <f t="shared" si="95"/>
        <v>1.5143065162386213E-2</v>
      </c>
    </row>
    <row r="2540" spans="13:16" x14ac:dyDescent="0.25">
      <c r="M2540">
        <v>0.99246795397292797</v>
      </c>
      <c r="N2540">
        <v>0.99247282977603501</v>
      </c>
      <c r="O2540" s="1">
        <v>1.5032791406509501E-9</v>
      </c>
      <c r="P2540" s="2">
        <f t="shared" si="95"/>
        <v>1.5814398866954599E-2</v>
      </c>
    </row>
    <row r="2541" spans="13:16" x14ac:dyDescent="0.25">
      <c r="M2541">
        <v>0.63088166969849402</v>
      </c>
      <c r="N2541">
        <v>0.63087759907727503</v>
      </c>
      <c r="O2541" s="1">
        <v>5.6796414918353805E-10</v>
      </c>
      <c r="P2541" s="2">
        <f t="shared" si="95"/>
        <v>2.9174301110895164E-2</v>
      </c>
    </row>
    <row r="2542" spans="13:16" x14ac:dyDescent="0.25">
      <c r="M2542">
        <v>0.99250214312476503</v>
      </c>
      <c r="N2542">
        <v>0.99249534421206698</v>
      </c>
      <c r="O2542" s="1">
        <v>1.3741550926009199E-9</v>
      </c>
      <c r="P2542" s="2">
        <f t="shared" si="95"/>
        <v>3.3639007798112769E-2</v>
      </c>
    </row>
    <row r="2543" spans="13:16" x14ac:dyDescent="0.25">
      <c r="M2543">
        <v>0.63088161695979605</v>
      </c>
      <c r="N2543">
        <v>0.63086043328915498</v>
      </c>
      <c r="O2543" s="1">
        <v>7.11502809652754E-10</v>
      </c>
      <c r="P2543" s="2">
        <f t="shared" si="95"/>
        <v>0.6307043285587256</v>
      </c>
    </row>
    <row r="2544" spans="13:16" x14ac:dyDescent="0.25">
      <c r="M2544">
        <v>0.99254479259070405</v>
      </c>
      <c r="N2544">
        <v>0.99251353816785104</v>
      </c>
      <c r="O2544" s="1">
        <v>1.3658994054595399E-9</v>
      </c>
      <c r="P2544" s="2">
        <f t="shared" si="95"/>
        <v>0.71516170515219413</v>
      </c>
    </row>
    <row r="2545" spans="13:16" x14ac:dyDescent="0.25">
      <c r="M2545">
        <v>0.63092306800715403</v>
      </c>
      <c r="N2545">
        <v>0.63086463573177698</v>
      </c>
      <c r="O2545" s="1">
        <v>7.9197772163333395E-10</v>
      </c>
      <c r="P2545" s="2">
        <f t="shared" si="95"/>
        <v>4.3111450139002097</v>
      </c>
    </row>
    <row r="2546" spans="13:16" x14ac:dyDescent="0.25">
      <c r="M2546">
        <v>0.99259673965546102</v>
      </c>
      <c r="N2546">
        <v>0.99250908393775605</v>
      </c>
      <c r="O2546" s="1">
        <v>1.64542996090135E-9</v>
      </c>
      <c r="P2546" s="2">
        <f t="shared" si="95"/>
        <v>4.6696152549480612</v>
      </c>
    </row>
    <row r="2547" spans="13:16" x14ac:dyDescent="0.25">
      <c r="M2547">
        <v>0.63085351017903402</v>
      </c>
      <c r="N2547">
        <v>0.63085394798391903</v>
      </c>
      <c r="O2547" s="1">
        <v>5.1140052522585802E-10</v>
      </c>
      <c r="P2547" s="2">
        <f t="shared" si="95"/>
        <v>3.7480039203229091E-4</v>
      </c>
    </row>
    <row r="2548" spans="13:16" x14ac:dyDescent="0.25">
      <c r="M2548">
        <v>0.99251967090513105</v>
      </c>
      <c r="N2548">
        <v>0.99252041213470998</v>
      </c>
      <c r="O2548" s="1">
        <v>1.0772686950996E-9</v>
      </c>
      <c r="P2548" s="2">
        <f t="shared" si="95"/>
        <v>5.1001323178840121E-4</v>
      </c>
    </row>
    <row r="2549" spans="13:16" x14ac:dyDescent="0.25">
      <c r="M2549">
        <v>0.63094404470731802</v>
      </c>
      <c r="N2549">
        <v>0.63090681599463705</v>
      </c>
      <c r="O2549" s="1">
        <v>6.07192251265809E-10</v>
      </c>
      <c r="P2549" s="2">
        <f t="shared" si="95"/>
        <v>2.2826000249391933</v>
      </c>
    </row>
    <row r="2550" spans="13:16" x14ac:dyDescent="0.25">
      <c r="M2550">
        <v>0.99253507101097305</v>
      </c>
      <c r="N2550">
        <v>0.992464379213857</v>
      </c>
      <c r="O2550" s="1">
        <v>1.75353573315891E-9</v>
      </c>
      <c r="P2550" s="2">
        <f t="shared" si="95"/>
        <v>2.8498593356261583</v>
      </c>
    </row>
    <row r="2551" spans="13:16" x14ac:dyDescent="0.25">
      <c r="M2551">
        <v>0.630881102780952</v>
      </c>
      <c r="N2551">
        <v>0.63086884210661698</v>
      </c>
      <c r="O2551" s="1">
        <v>6.4231308990418202E-10</v>
      </c>
      <c r="P2551" s="2">
        <f t="shared" si="95"/>
        <v>0.23403560897661979</v>
      </c>
    </row>
    <row r="2552" spans="13:16" x14ac:dyDescent="0.25">
      <c r="M2552">
        <v>0.99252301802604703</v>
      </c>
      <c r="N2552">
        <v>0.99250462558957697</v>
      </c>
      <c r="O2552" s="1">
        <v>1.1841165748424899E-9</v>
      </c>
      <c r="P2552" s="2">
        <f t="shared" si="95"/>
        <v>0.28568278368218059</v>
      </c>
    </row>
    <row r="2553" spans="13:16" x14ac:dyDescent="0.25">
      <c r="M2553">
        <v>0.63081331682089603</v>
      </c>
      <c r="N2553">
        <v>0.63084190902670401</v>
      </c>
      <c r="O2553" s="1">
        <v>1.16536037322727E-9</v>
      </c>
      <c r="P2553" s="2">
        <f t="shared" si="95"/>
        <v>0.70151195436796288</v>
      </c>
    </row>
    <row r="2554" spans="13:16" x14ac:dyDescent="0.25">
      <c r="M2554">
        <v>0.99249457506602701</v>
      </c>
      <c r="N2554">
        <v>0.99253317289515097</v>
      </c>
      <c r="O2554" s="1">
        <v>1.9060648216960899E-9</v>
      </c>
      <c r="P2554" s="2">
        <f t="shared" si="95"/>
        <v>0.78160637357398255</v>
      </c>
    </row>
    <row r="2555" spans="13:16" x14ac:dyDescent="0.25">
      <c r="M2555">
        <v>0.63089256114734704</v>
      </c>
      <c r="N2555">
        <v>0.63089892651439605</v>
      </c>
      <c r="O2555" s="1">
        <v>7.1129257246972598E-10</v>
      </c>
      <c r="P2555" s="2">
        <f t="shared" si="95"/>
        <v>5.6963757582823377E-2</v>
      </c>
    </row>
    <row r="2556" spans="13:16" x14ac:dyDescent="0.25">
      <c r="M2556">
        <v>0.99246077787631504</v>
      </c>
      <c r="N2556">
        <v>0.99247274049398204</v>
      </c>
      <c r="O2556" s="1">
        <v>1.9042206102638002E-9</v>
      </c>
      <c r="P2556" s="2">
        <f t="shared" si="95"/>
        <v>7.5151072662278509E-2</v>
      </c>
    </row>
    <row r="2557" spans="13:16" x14ac:dyDescent="0.25">
      <c r="M2557">
        <v>0.63090511920235703</v>
      </c>
      <c r="N2557">
        <v>0.63090577675175497</v>
      </c>
      <c r="O2557" s="1">
        <v>5.5375282440092204E-10</v>
      </c>
      <c r="P2557" s="2">
        <f t="shared" si="95"/>
        <v>7.8080181566072561E-4</v>
      </c>
    </row>
    <row r="2558" spans="13:16" x14ac:dyDescent="0.25">
      <c r="M2558">
        <v>0.99246455650588605</v>
      </c>
      <c r="N2558">
        <v>0.99246548059463602</v>
      </c>
      <c r="O2558" s="1">
        <v>9.9964691602156306E-10</v>
      </c>
      <c r="P2558" s="2">
        <f t="shared" si="95"/>
        <v>8.5424163684770808E-4</v>
      </c>
    </row>
    <row r="2559" spans="13:16" x14ac:dyDescent="0.25">
      <c r="M2559">
        <v>0.63086333353074897</v>
      </c>
      <c r="N2559">
        <v>0.63089549212606</v>
      </c>
      <c r="O2559" s="1">
        <v>6.1858320897937801E-10</v>
      </c>
      <c r="P2559" s="2">
        <f t="shared" si="95"/>
        <v>1.6718450119018471</v>
      </c>
    </row>
    <row r="2560" spans="13:16" x14ac:dyDescent="0.25">
      <c r="M2560">
        <v>0.99243206704695797</v>
      </c>
      <c r="N2560">
        <v>0.992476380317313</v>
      </c>
      <c r="O2560" s="1">
        <v>1.0311047460291E-9</v>
      </c>
      <c r="P2560" s="2">
        <f t="shared" si="95"/>
        <v>1.9044291446825834</v>
      </c>
    </row>
    <row r="2561" spans="13:16" x14ac:dyDescent="0.25">
      <c r="M2561">
        <v>0.63087238686734504</v>
      </c>
      <c r="N2561">
        <v>0.63088110083987503</v>
      </c>
      <c r="O2561" s="1">
        <v>8.8837885182129995E-10</v>
      </c>
      <c r="P2561" s="2">
        <f t="shared" si="95"/>
        <v>8.5474026197072367E-2</v>
      </c>
    </row>
    <row r="2562" spans="13:16" x14ac:dyDescent="0.25">
      <c r="M2562">
        <v>0.99248049286761497</v>
      </c>
      <c r="N2562">
        <v>0.99249163280849895</v>
      </c>
      <c r="O2562" s="1">
        <v>1.3447099289371799E-9</v>
      </c>
      <c r="P2562" s="2">
        <f t="shared" si="95"/>
        <v>9.2286284371043165E-2</v>
      </c>
    </row>
    <row r="2563" spans="13:16" x14ac:dyDescent="0.25">
      <c r="M2563">
        <v>0.63096883592245501</v>
      </c>
      <c r="N2563">
        <v>0.63097759988832103</v>
      </c>
      <c r="O2563" s="1">
        <v>8.3972814632398401E-10</v>
      </c>
      <c r="P2563" s="2">
        <f t="shared" ref="P2563:P2626" si="96">(M2563-N2563)^2/O2563</f>
        <v>9.1466622902917197E-2</v>
      </c>
    </row>
    <row r="2564" spans="13:16" x14ac:dyDescent="0.25">
      <c r="M2564">
        <v>0.99237581985950396</v>
      </c>
      <c r="N2564">
        <v>0.99238937019047802</v>
      </c>
      <c r="O2564" s="1">
        <v>1.7044769814254899E-9</v>
      </c>
      <c r="P2564" s="2">
        <f t="shared" si="96"/>
        <v>0.10772305610890107</v>
      </c>
    </row>
    <row r="2565" spans="13:16" x14ac:dyDescent="0.25">
      <c r="M2565">
        <v>0.63090906613472897</v>
      </c>
      <c r="N2565">
        <v>0.63101423421684399</v>
      </c>
      <c r="O2565" s="1">
        <v>1.27180838418275E-9</v>
      </c>
      <c r="P2565" s="2">
        <f t="shared" si="96"/>
        <v>8.6965345041816633</v>
      </c>
    </row>
    <row r="2566" spans="13:16" x14ac:dyDescent="0.25">
      <c r="M2566">
        <v>0.99220762363033799</v>
      </c>
      <c r="N2566">
        <v>0.99235055466911004</v>
      </c>
      <c r="O2566" s="1">
        <v>2.0889825277427199E-9</v>
      </c>
      <c r="P2566" s="2">
        <f t="shared" si="96"/>
        <v>9.7795369626827551</v>
      </c>
    </row>
    <row r="2567" spans="13:16" x14ac:dyDescent="0.25">
      <c r="M2567">
        <v>0.63104979880015899</v>
      </c>
      <c r="N2567">
        <v>0.63108239306508496</v>
      </c>
      <c r="O2567" s="1">
        <v>1.3843022211697399E-9</v>
      </c>
      <c r="P2567" s="2">
        <f t="shared" si="96"/>
        <v>0.76745243185870182</v>
      </c>
    </row>
    <row r="2568" spans="13:16" x14ac:dyDescent="0.25">
      <c r="M2568">
        <v>0.99219294393997703</v>
      </c>
      <c r="N2568">
        <v>0.99227834770665901</v>
      </c>
      <c r="O2568" s="1">
        <v>4.5858497120249303E-9</v>
      </c>
      <c r="P2568" s="2">
        <f t="shared" si="96"/>
        <v>1.5905020490192534</v>
      </c>
    </row>
    <row r="2569" spans="13:16" x14ac:dyDescent="0.25">
      <c r="M2569">
        <v>2.3347387575098502</v>
      </c>
      <c r="N2569">
        <v>2.33480797180097</v>
      </c>
      <c r="O2569" s="1">
        <v>1.0421318412440199E-8</v>
      </c>
      <c r="P2569" s="2">
        <f t="shared" si="96"/>
        <v>0.45969405267403834</v>
      </c>
    </row>
    <row r="2570" spans="13:16" x14ac:dyDescent="0.25">
      <c r="M2570">
        <v>0.98667864454527099</v>
      </c>
      <c r="N2570">
        <v>0.98676986004533096</v>
      </c>
      <c r="O2570" s="1">
        <v>2.7459776616761802E-9</v>
      </c>
      <c r="P2570" s="2">
        <f t="shared" si="96"/>
        <v>3.0299836620345331</v>
      </c>
    </row>
    <row r="2571" spans="13:16" x14ac:dyDescent="0.25">
      <c r="M2571">
        <v>1.0801830595681901</v>
      </c>
      <c r="N2571">
        <v>1.0801488976470199</v>
      </c>
      <c r="O2571" s="1">
        <v>3.8884234131530899E-9</v>
      </c>
      <c r="P2571" s="2">
        <f t="shared" si="96"/>
        <v>0.30013111588764974</v>
      </c>
    </row>
    <row r="2572" spans="13:16" x14ac:dyDescent="0.25">
      <c r="M2572">
        <v>2.3358377772660002</v>
      </c>
      <c r="N2572">
        <v>2.3357687957807101</v>
      </c>
      <c r="O2572" s="1">
        <v>8.8383414281857004E-9</v>
      </c>
      <c r="P2572" s="2">
        <f t="shared" si="96"/>
        <v>0.53838668165214487</v>
      </c>
    </row>
    <row r="2573" spans="13:16" x14ac:dyDescent="0.25">
      <c r="M2573">
        <v>0.98706282298404002</v>
      </c>
      <c r="N2573">
        <v>0.98702035426422396</v>
      </c>
      <c r="O2573" s="1">
        <v>2.4576946969419301E-9</v>
      </c>
      <c r="P2573" s="2">
        <f t="shared" si="96"/>
        <v>0.73385525267194618</v>
      </c>
    </row>
    <row r="2574" spans="13:16" x14ac:dyDescent="0.25">
      <c r="M2574">
        <v>1.08040097256238</v>
      </c>
      <c r="N2574">
        <v>1.08031687348551</v>
      </c>
      <c r="O2574" s="1">
        <v>2.90285255060837E-9</v>
      </c>
      <c r="P2574" s="2">
        <f t="shared" si="96"/>
        <v>2.4364498737307017</v>
      </c>
    </row>
    <row r="2575" spans="13:16" x14ac:dyDescent="0.25">
      <c r="M2575">
        <v>2.3367010681621601</v>
      </c>
      <c r="N2575">
        <v>2.33680481088123</v>
      </c>
      <c r="O2575" s="1">
        <v>1.7951933407341601E-8</v>
      </c>
      <c r="P2575" s="2">
        <f t="shared" si="96"/>
        <v>0.59952048148936488</v>
      </c>
    </row>
    <row r="2576" spans="13:16" x14ac:dyDescent="0.25">
      <c r="M2576">
        <v>0.98727719286025095</v>
      </c>
      <c r="N2576">
        <v>0.98729040716370198</v>
      </c>
      <c r="O2576" s="1">
        <v>3.50146010315255E-9</v>
      </c>
      <c r="P2576" s="2">
        <f t="shared" si="96"/>
        <v>4.987000010040727E-2</v>
      </c>
    </row>
    <row r="2577" spans="13:16" x14ac:dyDescent="0.25">
      <c r="M2577">
        <v>1.08055659470585</v>
      </c>
      <c r="N2577">
        <v>1.0804979464423901</v>
      </c>
      <c r="O2577" s="1">
        <v>1.4556382481676401E-9</v>
      </c>
      <c r="P2577" s="2">
        <f t="shared" si="96"/>
        <v>2.3629626462435995</v>
      </c>
    </row>
    <row r="2578" spans="13:16" x14ac:dyDescent="0.25">
      <c r="M2578">
        <v>2.3377638566024701</v>
      </c>
      <c r="N2578">
        <v>2.3377141088711202</v>
      </c>
      <c r="O2578" s="1">
        <v>1.32943147701004E-8</v>
      </c>
      <c r="P2578" s="2">
        <f t="shared" si="96"/>
        <v>0.18615752803064711</v>
      </c>
    </row>
    <row r="2579" spans="13:16" x14ac:dyDescent="0.25">
      <c r="M2579">
        <v>0.98759538190516905</v>
      </c>
      <c r="N2579">
        <v>0.98752739155282099</v>
      </c>
      <c r="O2579" s="1">
        <v>3.0441807099188199E-9</v>
      </c>
      <c r="P2579" s="2">
        <f t="shared" si="96"/>
        <v>1.5185327196085767</v>
      </c>
    </row>
    <row r="2580" spans="13:16" x14ac:dyDescent="0.25">
      <c r="M2580">
        <v>1.0807145711255099</v>
      </c>
      <c r="N2580">
        <v>1.08065683085353</v>
      </c>
      <c r="O2580" s="1">
        <v>3.9266061119156198E-9</v>
      </c>
      <c r="P2580" s="2">
        <f t="shared" si="96"/>
        <v>0.84906377499821506</v>
      </c>
    </row>
    <row r="2581" spans="13:16" x14ac:dyDescent="0.25">
      <c r="M2581">
        <v>2.3384863629885699</v>
      </c>
      <c r="N2581">
        <v>2.33854739231086</v>
      </c>
      <c r="O2581" s="1">
        <v>9.6188214516112107E-9</v>
      </c>
      <c r="P2581" s="2">
        <f t="shared" si="96"/>
        <v>0.38721772702777701</v>
      </c>
    </row>
    <row r="2582" spans="13:16" x14ac:dyDescent="0.25">
      <c r="M2582">
        <v>0.98770665014861403</v>
      </c>
      <c r="N2582">
        <v>0.987744533760471</v>
      </c>
      <c r="O2582" s="1">
        <v>3.0416953269269401E-9</v>
      </c>
      <c r="P2582" s="2">
        <f t="shared" si="96"/>
        <v>0.47183162449723337</v>
      </c>
    </row>
    <row r="2583" spans="13:16" x14ac:dyDescent="0.25">
      <c r="M2583">
        <v>1.08071872171951</v>
      </c>
      <c r="N2583">
        <v>1.0808023992564999</v>
      </c>
      <c r="O2583" s="1">
        <v>1.9047963046083799E-9</v>
      </c>
      <c r="P2583" s="2">
        <f t="shared" si="96"/>
        <v>3.675946965959628</v>
      </c>
    </row>
    <row r="2584" spans="13:16" x14ac:dyDescent="0.25">
      <c r="M2584">
        <v>2.3398315924744701</v>
      </c>
      <c r="N2584">
        <v>2.3399833570592499</v>
      </c>
      <c r="O2584" s="1">
        <v>9.8216717065940305E-9</v>
      </c>
      <c r="P2584" s="2">
        <f t="shared" si="96"/>
        <v>2.3450681188924669</v>
      </c>
    </row>
    <row r="2585" spans="13:16" x14ac:dyDescent="0.25">
      <c r="M2585">
        <v>0.98808002132194095</v>
      </c>
      <c r="N2585">
        <v>0.98811865689358303</v>
      </c>
      <c r="O2585" s="1">
        <v>2.8346802280515901E-9</v>
      </c>
      <c r="P2585" s="2">
        <f t="shared" si="96"/>
        <v>0.52658757814669022</v>
      </c>
    </row>
    <row r="2586" spans="13:16" x14ac:dyDescent="0.25">
      <c r="M2586">
        <v>1.0808728592621299</v>
      </c>
      <c r="N2586">
        <v>1.08105317589853</v>
      </c>
      <c r="O2586" s="1">
        <v>4.8595980734507799E-9</v>
      </c>
      <c r="P2586" s="2">
        <f t="shared" si="96"/>
        <v>6.6906951709161442</v>
      </c>
    </row>
    <row r="2587" spans="13:16" x14ac:dyDescent="0.25">
      <c r="M2587">
        <v>2.3407015046774799</v>
      </c>
      <c r="N2587">
        <v>2.3407269047302699</v>
      </c>
      <c r="O2587" s="1">
        <v>7.2160599297811002E-9</v>
      </c>
      <c r="P2587" s="2">
        <f t="shared" si="96"/>
        <v>8.9406502718957864E-2</v>
      </c>
    </row>
    <row r="2588" spans="13:16" x14ac:dyDescent="0.25">
      <c r="M2588">
        <v>0.98830941283102103</v>
      </c>
      <c r="N2588">
        <v>0.98831234462468198</v>
      </c>
      <c r="O2588" s="1">
        <v>1.4368671658224801E-9</v>
      </c>
      <c r="P2588" s="2">
        <f t="shared" si="96"/>
        <v>5.9820519772893826E-3</v>
      </c>
    </row>
    <row r="2589" spans="13:16" x14ac:dyDescent="0.25">
      <c r="M2589">
        <v>1.0811623492632001</v>
      </c>
      <c r="N2589">
        <v>1.08118299132156</v>
      </c>
      <c r="O2589" s="1">
        <v>1.9060213469706802E-9</v>
      </c>
      <c r="P2589" s="2">
        <f t="shared" si="96"/>
        <v>0.22355183692591316</v>
      </c>
    </row>
    <row r="2590" spans="13:16" x14ac:dyDescent="0.25">
      <c r="M2590">
        <v>2.3405041090194398</v>
      </c>
      <c r="N2590">
        <v>2.3404856488140902</v>
      </c>
      <c r="O2590" s="1">
        <v>5.5796610001579903E-8</v>
      </c>
      <c r="P2590" s="2">
        <f t="shared" si="96"/>
        <v>6.1075248396397375E-3</v>
      </c>
    </row>
    <row r="2591" spans="13:16" x14ac:dyDescent="0.25">
      <c r="M2591">
        <v>0.98829410007090801</v>
      </c>
      <c r="N2591">
        <v>0.98824950213063401</v>
      </c>
      <c r="O2591" s="1">
        <v>6.2380589421339797E-9</v>
      </c>
      <c r="P2591" s="2">
        <f t="shared" si="96"/>
        <v>0.31884538045151856</v>
      </c>
    </row>
    <row r="2592" spans="13:16" x14ac:dyDescent="0.25">
      <c r="M2592">
        <v>1.0811329375669501</v>
      </c>
      <c r="N2592">
        <v>1.0811408734460499</v>
      </c>
      <c r="O2592" s="1">
        <v>5.0801441314038097E-9</v>
      </c>
      <c r="P2592" s="2">
        <f t="shared" si="96"/>
        <v>1.2396927224629421E-2</v>
      </c>
    </row>
    <row r="2593" spans="13:16" x14ac:dyDescent="0.25">
      <c r="M2593">
        <v>2.3394247338718301</v>
      </c>
      <c r="N2593">
        <v>2.3395905177060499</v>
      </c>
      <c r="O2593" s="1">
        <v>1.1850921629246701E-8</v>
      </c>
      <c r="P2593" s="2">
        <f t="shared" si="96"/>
        <v>2.3191681245081255</v>
      </c>
    </row>
    <row r="2594" spans="13:16" x14ac:dyDescent="0.25">
      <c r="M2594">
        <v>0.98794950178928198</v>
      </c>
      <c r="N2594">
        <v>0.98801631612415397</v>
      </c>
      <c r="O2594" s="1">
        <v>4.89478549177459E-9</v>
      </c>
      <c r="P2594" s="2">
        <f t="shared" si="96"/>
        <v>0.9120226722678918</v>
      </c>
    </row>
    <row r="2595" spans="13:16" x14ac:dyDescent="0.25">
      <c r="M2595">
        <v>1.0808154892094399</v>
      </c>
      <c r="N2595">
        <v>1.08098458001443</v>
      </c>
      <c r="O2595" s="1">
        <v>2.60866664601141E-9</v>
      </c>
      <c r="P2595" s="2">
        <f t="shared" si="96"/>
        <v>10.960273661604743</v>
      </c>
    </row>
    <row r="2596" spans="13:16" x14ac:dyDescent="0.25">
      <c r="M2596">
        <v>2.3401397608894499</v>
      </c>
      <c r="N2596">
        <v>2.34012787431001</v>
      </c>
      <c r="O2596" s="1">
        <v>2.13864466771829E-8</v>
      </c>
      <c r="P2596" s="2">
        <f t="shared" si="96"/>
        <v>6.6065566156209956E-3</v>
      </c>
    </row>
    <row r="2597" spans="13:16" x14ac:dyDescent="0.25">
      <c r="M2597">
        <v>0.988266220293467</v>
      </c>
      <c r="N2597">
        <v>0.98815630423198997</v>
      </c>
      <c r="O2597" s="1">
        <v>3.3223724089977501E-9</v>
      </c>
      <c r="P2597" s="2">
        <f t="shared" si="96"/>
        <v>3.6364197276329957</v>
      </c>
    </row>
    <row r="2598" spans="13:16" x14ac:dyDescent="0.25">
      <c r="M2598">
        <v>1.08116784237523</v>
      </c>
      <c r="N2598">
        <v>1.08107840906432</v>
      </c>
      <c r="O2598" s="1">
        <v>5.0544036865517999E-9</v>
      </c>
      <c r="P2598" s="2">
        <f t="shared" si="96"/>
        <v>1.5824452490042054</v>
      </c>
    </row>
    <row r="2599" spans="13:16" x14ac:dyDescent="0.25">
      <c r="M2599">
        <v>0.64394139104512305</v>
      </c>
      <c r="N2599">
        <v>0.64391577942531297</v>
      </c>
      <c r="O2599" s="1">
        <v>3.9516195819268604E-9</v>
      </c>
      <c r="P2599" s="2">
        <f t="shared" si="96"/>
        <v>0.16599651249219602</v>
      </c>
    </row>
    <row r="2600" spans="13:16" x14ac:dyDescent="0.25">
      <c r="M2600">
        <v>0.99184582046293202</v>
      </c>
      <c r="N2600">
        <v>0.99181450894085998</v>
      </c>
      <c r="O2600" s="1">
        <v>5.3034105769131002E-9</v>
      </c>
      <c r="P2600" s="2">
        <f t="shared" si="96"/>
        <v>0.18486432461691774</v>
      </c>
    </row>
    <row r="2601" spans="13:16" x14ac:dyDescent="0.25">
      <c r="M2601">
        <v>0.64386817203603597</v>
      </c>
      <c r="N2601">
        <v>0.64370901066245201</v>
      </c>
      <c r="O2601" s="1">
        <v>7.7485263073465202E-9</v>
      </c>
      <c r="P2601" s="2">
        <f t="shared" si="96"/>
        <v>3.2693110710761761</v>
      </c>
    </row>
    <row r="2602" spans="13:16" x14ac:dyDescent="0.25">
      <c r="M2602">
        <v>0.99222168618583095</v>
      </c>
      <c r="N2602">
        <v>0.99202913041240304</v>
      </c>
      <c r="O2602" s="1">
        <v>1.0735676215340601E-8</v>
      </c>
      <c r="P2602" s="2">
        <f t="shared" si="96"/>
        <v>3.4536926353498991</v>
      </c>
    </row>
    <row r="2603" spans="13:16" x14ac:dyDescent="0.25">
      <c r="M2603">
        <v>0.64371474116038396</v>
      </c>
      <c r="N2603">
        <v>0.64371134529492702</v>
      </c>
      <c r="O2603" s="1">
        <v>9.3174610654506702E-10</v>
      </c>
      <c r="P2603" s="2">
        <f t="shared" si="96"/>
        <v>1.2376657246721481E-2</v>
      </c>
    </row>
    <row r="2604" spans="13:16" x14ac:dyDescent="0.25">
      <c r="M2604">
        <v>0.99203491958985002</v>
      </c>
      <c r="N2604">
        <v>0.992026706470715</v>
      </c>
      <c r="O2604" s="1">
        <v>3.2644456952384999E-9</v>
      </c>
      <c r="P2604" s="2">
        <f t="shared" si="96"/>
        <v>2.0663638554112986E-2</v>
      </c>
    </row>
    <row r="2605" spans="13:16" x14ac:dyDescent="0.25">
      <c r="M2605">
        <v>0.643602509634149</v>
      </c>
      <c r="N2605">
        <v>0.64363059776506903</v>
      </c>
      <c r="O2605" s="1">
        <v>6.1541070313351201E-10</v>
      </c>
      <c r="P2605" s="2">
        <f t="shared" si="96"/>
        <v>1.2819781888158437</v>
      </c>
    </row>
    <row r="2606" spans="13:16" x14ac:dyDescent="0.25">
      <c r="M2606">
        <v>0.99205572521936303</v>
      </c>
      <c r="N2606">
        <v>0.99211055147012905</v>
      </c>
      <c r="O2606" s="1">
        <v>1.55639507464857E-9</v>
      </c>
      <c r="P2606" s="2">
        <f t="shared" si="96"/>
        <v>1.9313333883030892</v>
      </c>
    </row>
    <row r="2607" spans="13:16" x14ac:dyDescent="0.25">
      <c r="M2607">
        <v>0.64380341805608698</v>
      </c>
      <c r="N2607">
        <v>0.64362182769921406</v>
      </c>
      <c r="O2607" s="1">
        <v>7.7672259670138804E-9</v>
      </c>
      <c r="P2607" s="2">
        <f t="shared" si="96"/>
        <v>4.2454098605187278</v>
      </c>
    </row>
    <row r="2608" spans="13:16" x14ac:dyDescent="0.25">
      <c r="M2608">
        <v>0.99222405320749196</v>
      </c>
      <c r="N2608">
        <v>0.99211965901501398</v>
      </c>
      <c r="O2608" s="1">
        <v>4.4297896360867002E-9</v>
      </c>
      <c r="P2608" s="2">
        <f t="shared" si="96"/>
        <v>2.460195250435909</v>
      </c>
    </row>
    <row r="2609" spans="13:16" x14ac:dyDescent="0.25">
      <c r="M2609">
        <v>0.643937749762172</v>
      </c>
      <c r="N2609">
        <v>0.64400515496055399</v>
      </c>
      <c r="O2609" s="1">
        <v>3.6849088967713101E-9</v>
      </c>
      <c r="P2609" s="2">
        <f t="shared" si="96"/>
        <v>1.2329913428517694</v>
      </c>
    </row>
    <row r="2610" spans="13:16" x14ac:dyDescent="0.25">
      <c r="M2610">
        <v>0.99157848972570095</v>
      </c>
      <c r="N2610">
        <v>0.99172177478356904</v>
      </c>
      <c r="O2610" s="1">
        <v>1.2171611065629899E-8</v>
      </c>
      <c r="P2610" s="2">
        <f t="shared" si="96"/>
        <v>1.6867617357768441</v>
      </c>
    </row>
    <row r="2611" spans="13:16" x14ac:dyDescent="0.25">
      <c r="M2611">
        <v>0.64417502530507098</v>
      </c>
      <c r="N2611">
        <v>0.64415006275294295</v>
      </c>
      <c r="O2611" s="1">
        <v>1.51302733577031E-9</v>
      </c>
      <c r="P2611" s="2">
        <f t="shared" si="96"/>
        <v>0.41184253186491854</v>
      </c>
    </row>
    <row r="2612" spans="13:16" x14ac:dyDescent="0.25">
      <c r="M2612">
        <v>0.991605117040393</v>
      </c>
      <c r="N2612">
        <v>0.99157146730025203</v>
      </c>
      <c r="O2612" s="1">
        <v>2.1022354812743401E-9</v>
      </c>
      <c r="P2612" s="2">
        <f t="shared" si="96"/>
        <v>0.53861949417228216</v>
      </c>
    </row>
    <row r="2613" spans="13:16" x14ac:dyDescent="0.25">
      <c r="M2613">
        <v>0.64435609842673103</v>
      </c>
      <c r="N2613">
        <v>0.64424363699146403</v>
      </c>
      <c r="O2613" s="1">
        <v>2.77387722922917E-9</v>
      </c>
      <c r="P2613" s="2">
        <f t="shared" si="96"/>
        <v>4.5595292715343554</v>
      </c>
    </row>
    <row r="2614" spans="13:16" x14ac:dyDescent="0.25">
      <c r="M2614">
        <v>0.99160064037920903</v>
      </c>
      <c r="N2614">
        <v>0.99147443627864695</v>
      </c>
      <c r="O2614" s="1">
        <v>3.2483873558603399E-9</v>
      </c>
      <c r="P2614" s="2">
        <f t="shared" si="96"/>
        <v>4.9031944943230172</v>
      </c>
    </row>
    <row r="2615" spans="13:16" x14ac:dyDescent="0.25">
      <c r="M2615">
        <v>0.64461276436488801</v>
      </c>
      <c r="N2615">
        <v>0.64458137745742805</v>
      </c>
      <c r="O2615" s="1">
        <v>4.3004866066283398E-9</v>
      </c>
      <c r="P2615" s="2">
        <f t="shared" si="96"/>
        <v>0.22907592791519579</v>
      </c>
    </row>
    <row r="2616" spans="13:16" x14ac:dyDescent="0.25">
      <c r="M2616">
        <v>0.99115258498578496</v>
      </c>
      <c r="N2616">
        <v>0.99112441526008499</v>
      </c>
      <c r="O2616" s="1">
        <v>3.9427452639661001E-9</v>
      </c>
      <c r="P2616" s="2">
        <f t="shared" si="96"/>
        <v>0.20126419357185188</v>
      </c>
    </row>
    <row r="2617" spans="13:16" x14ac:dyDescent="0.25">
      <c r="M2617">
        <v>0.64461411540729296</v>
      </c>
      <c r="N2617">
        <v>0.64460325115473505</v>
      </c>
      <c r="O2617" s="1">
        <v>5.9615774583820296E-9</v>
      </c>
      <c r="P2617" s="2">
        <f t="shared" si="96"/>
        <v>1.9798783873265158E-2</v>
      </c>
    </row>
    <row r="2618" spans="13:16" x14ac:dyDescent="0.25">
      <c r="M2618">
        <v>0.99111476087649797</v>
      </c>
      <c r="N2618">
        <v>0.99110175679888901</v>
      </c>
      <c r="O2618" s="1">
        <v>8.1405771303513998E-9</v>
      </c>
      <c r="P2618" s="2">
        <f t="shared" si="96"/>
        <v>2.0773224275377832E-2</v>
      </c>
    </row>
    <row r="2619" spans="13:16" x14ac:dyDescent="0.25">
      <c r="M2619">
        <v>0.64404535982351596</v>
      </c>
      <c r="N2619">
        <v>0.64410088311082903</v>
      </c>
      <c r="O2619" s="1">
        <v>1.18135728751388E-9</v>
      </c>
      <c r="P2619" s="2">
        <f t="shared" si="96"/>
        <v>2.6095707595259006</v>
      </c>
    </row>
    <row r="2620" spans="13:16" x14ac:dyDescent="0.25">
      <c r="M2620">
        <v>0.99154844807665599</v>
      </c>
      <c r="N2620">
        <v>0.99162247317591201</v>
      </c>
      <c r="O2620" s="1">
        <v>1.7619305369645799E-9</v>
      </c>
      <c r="P2620" s="2">
        <f t="shared" si="96"/>
        <v>3.1100631976699615</v>
      </c>
    </row>
    <row r="2621" spans="13:16" x14ac:dyDescent="0.25">
      <c r="M2621">
        <v>0.644050386827556</v>
      </c>
      <c r="N2621">
        <v>0.64401374789364196</v>
      </c>
      <c r="O2621" s="1">
        <v>2.0363143332727199E-9</v>
      </c>
      <c r="P2621" s="2">
        <f t="shared" si="96"/>
        <v>0.65923588339110961</v>
      </c>
    </row>
    <row r="2622" spans="13:16" x14ac:dyDescent="0.25">
      <c r="M2622">
        <v>0.99175924877159505</v>
      </c>
      <c r="N2622">
        <v>0.99171286007371395</v>
      </c>
      <c r="O2622" s="1">
        <v>2.96728515444302E-9</v>
      </c>
      <c r="P2622" s="2">
        <f t="shared" si="96"/>
        <v>0.72521216502611319</v>
      </c>
    </row>
    <row r="2623" spans="13:16" x14ac:dyDescent="0.25">
      <c r="M2623">
        <v>2.2876179416171198</v>
      </c>
      <c r="N2623">
        <v>2.28770514918582</v>
      </c>
      <c r="O2623" s="1">
        <v>2.46021043771899E-8</v>
      </c>
      <c r="P2623" s="2">
        <f t="shared" si="96"/>
        <v>0.30912640325382645</v>
      </c>
    </row>
    <row r="2624" spans="13:16" x14ac:dyDescent="0.25">
      <c r="M2624">
        <v>0.96711848391400601</v>
      </c>
      <c r="N2624">
        <v>0.96709875445751603</v>
      </c>
      <c r="O2624" s="1">
        <v>6.5302551222219299E-9</v>
      </c>
      <c r="P2624" s="2">
        <f t="shared" si="96"/>
        <v>5.9607388395202937E-2</v>
      </c>
    </row>
    <row r="2625" spans="13:16" x14ac:dyDescent="0.25">
      <c r="M2625">
        <v>1.05875657946172</v>
      </c>
      <c r="N2625">
        <v>1.0588535541778901</v>
      </c>
      <c r="O2625" s="1">
        <v>7.5434897390064503E-9</v>
      </c>
      <c r="P2625" s="2">
        <f t="shared" si="96"/>
        <v>1.24665054260538</v>
      </c>
    </row>
    <row r="2626" spans="13:16" x14ac:dyDescent="0.25">
      <c r="M2626">
        <v>2.2876678830214998</v>
      </c>
      <c r="N2626">
        <v>2.28750425964631</v>
      </c>
      <c r="O2626" s="1">
        <v>4.3791169007227397E-8</v>
      </c>
      <c r="P2626" s="2">
        <f t="shared" si="96"/>
        <v>0.61137004367459835</v>
      </c>
    </row>
    <row r="2627" spans="13:16" x14ac:dyDescent="0.25">
      <c r="M2627">
        <v>0.96693723923726804</v>
      </c>
      <c r="N2627">
        <v>0.96704611312454702</v>
      </c>
      <c r="O2627" s="1">
        <v>3.4494597186517099E-9</v>
      </c>
      <c r="P2627" s="2">
        <f t="shared" ref="P2627:P2690" si="97">(M2627-N2627)^2/O2627</f>
        <v>3.4363420065881014</v>
      </c>
    </row>
    <row r="2628" spans="13:16" x14ac:dyDescent="0.25">
      <c r="M2628">
        <v>1.05872224199753</v>
      </c>
      <c r="N2628">
        <v>1.05881918382782</v>
      </c>
      <c r="O2628" s="1">
        <v>5.2622515869253096E-9</v>
      </c>
      <c r="P2628" s="2">
        <f t="shared" si="97"/>
        <v>1.7858740321993805</v>
      </c>
    </row>
    <row r="2629" spans="13:16" x14ac:dyDescent="0.25">
      <c r="M2629">
        <v>2.2887900054518502</v>
      </c>
      <c r="N2629">
        <v>2.28872915444789</v>
      </c>
      <c r="O2629" s="1">
        <v>2.41022692769425E-8</v>
      </c>
      <c r="P2629" s="2">
        <f t="shared" si="97"/>
        <v>0.15363054160626771</v>
      </c>
    </row>
    <row r="2630" spans="13:16" x14ac:dyDescent="0.25">
      <c r="M2630">
        <v>0.96756837590982303</v>
      </c>
      <c r="N2630">
        <v>0.96736705870687401</v>
      </c>
      <c r="O2630" s="1">
        <v>1.2115030125936899E-8</v>
      </c>
      <c r="P2630" s="2">
        <f t="shared" si="97"/>
        <v>3.3453169973099621</v>
      </c>
    </row>
    <row r="2631" spans="13:16" x14ac:dyDescent="0.25">
      <c r="M2631">
        <v>1.0591221438081699</v>
      </c>
      <c r="N2631">
        <v>1.05902872248847</v>
      </c>
      <c r="O2631" s="1">
        <v>1.22712304031161E-8</v>
      </c>
      <c r="P2631" s="2">
        <f t="shared" si="97"/>
        <v>0.71121987671730225</v>
      </c>
    </row>
    <row r="2632" spans="13:16" x14ac:dyDescent="0.25">
      <c r="M2632">
        <v>2.2888317868225001</v>
      </c>
      <c r="N2632">
        <v>2.2886975383691501</v>
      </c>
      <c r="O2632" s="1">
        <v>2.3406855951805999E-8</v>
      </c>
      <c r="P2632" s="2">
        <f t="shared" si="97"/>
        <v>0.76997300551461201</v>
      </c>
    </row>
    <row r="2633" spans="13:16" x14ac:dyDescent="0.25">
      <c r="M2633">
        <v>0.96746887670140902</v>
      </c>
      <c r="N2633">
        <v>0.96735877551791405</v>
      </c>
      <c r="O2633" s="1">
        <v>6.6479792824202599E-9</v>
      </c>
      <c r="P2633" s="2">
        <f t="shared" si="97"/>
        <v>1.8234519230601376</v>
      </c>
    </row>
    <row r="2634" spans="13:16" x14ac:dyDescent="0.25">
      <c r="M2634">
        <v>1.0591393536039999</v>
      </c>
      <c r="N2634">
        <v>1.05902331492039</v>
      </c>
      <c r="O2634" s="1">
        <v>6.9803360559924197E-9</v>
      </c>
      <c r="P2634" s="2">
        <f t="shared" si="97"/>
        <v>1.9289867974699562</v>
      </c>
    </row>
    <row r="2635" spans="13:16" x14ac:dyDescent="0.25">
      <c r="M2635">
        <v>2.2891628029462501</v>
      </c>
      <c r="N2635">
        <v>2.2891702050133298</v>
      </c>
      <c r="O2635" s="1">
        <v>2.7169212167031401E-8</v>
      </c>
      <c r="P2635" s="2">
        <f t="shared" si="97"/>
        <v>2.0166428351266548E-3</v>
      </c>
    </row>
    <row r="2636" spans="13:16" x14ac:dyDescent="0.25">
      <c r="M2636">
        <v>0.96757862864132405</v>
      </c>
      <c r="N2636">
        <v>0.96748260629937599</v>
      </c>
      <c r="O2636" s="1">
        <v>8.5365543992134596E-9</v>
      </c>
      <c r="P2636" s="2">
        <f t="shared" si="97"/>
        <v>1.0800950502978837</v>
      </c>
    </row>
    <row r="2637" spans="13:16" x14ac:dyDescent="0.25">
      <c r="M2637">
        <v>1.0589952225277499</v>
      </c>
      <c r="N2637">
        <v>1.0591041542253199</v>
      </c>
      <c r="O2637" s="1">
        <v>8.6866456587404493E-9</v>
      </c>
      <c r="P2637" s="2">
        <f t="shared" si="97"/>
        <v>1.3660180467402967</v>
      </c>
    </row>
    <row r="2638" spans="13:16" x14ac:dyDescent="0.25">
      <c r="M2638">
        <v>2.2892648086837402</v>
      </c>
      <c r="N2638">
        <v>2.2892315809948798</v>
      </c>
      <c r="O2638" s="1">
        <v>4.25501494770124E-8</v>
      </c>
      <c r="P2638" s="2">
        <f t="shared" si="97"/>
        <v>2.5947718646648757E-2</v>
      </c>
    </row>
    <row r="2639" spans="13:16" x14ac:dyDescent="0.25">
      <c r="M2639">
        <v>0.96724710189339302</v>
      </c>
      <c r="N2639">
        <v>0.96749868507038395</v>
      </c>
      <c r="O2639" s="1">
        <v>1.0499619413258201E-8</v>
      </c>
      <c r="P2639" s="2">
        <f t="shared" si="97"/>
        <v>6.0282275436500043</v>
      </c>
    </row>
    <row r="2640" spans="13:16" x14ac:dyDescent="0.25">
      <c r="M2640">
        <v>1.05903244209881</v>
      </c>
      <c r="N2640">
        <v>1.05911465047446</v>
      </c>
      <c r="O2640" s="1">
        <v>8.2542736754851197E-9</v>
      </c>
      <c r="P2640" s="2">
        <f t="shared" si="97"/>
        <v>0.81875368962873962</v>
      </c>
    </row>
    <row r="2641" spans="13:16" x14ac:dyDescent="0.25">
      <c r="M2641">
        <v>2.2894559671887098</v>
      </c>
      <c r="N2641">
        <v>2.2892968499676001</v>
      </c>
      <c r="O2641" s="1">
        <v>9.6907869645674394E-9</v>
      </c>
      <c r="P2641" s="2">
        <f t="shared" si="97"/>
        <v>2.6126144498123529</v>
      </c>
    </row>
    <row r="2642" spans="13:16" x14ac:dyDescent="0.25">
      <c r="M2642">
        <v>0.96748321271326798</v>
      </c>
      <c r="N2642">
        <v>0.96751578351516299</v>
      </c>
      <c r="O2642" s="1">
        <v>4.8488890205974097E-9</v>
      </c>
      <c r="P2642" s="2">
        <f t="shared" si="97"/>
        <v>0.21878354641181658</v>
      </c>
    </row>
    <row r="2643" spans="13:16" x14ac:dyDescent="0.25">
      <c r="M2643">
        <v>1.0592507827761499</v>
      </c>
      <c r="N2643">
        <v>1.05912581229113</v>
      </c>
      <c r="O2643" s="1">
        <v>4.1866720338033398E-9</v>
      </c>
      <c r="P2643" s="2">
        <f t="shared" si="97"/>
        <v>3.7303189741196818</v>
      </c>
    </row>
    <row r="2644" spans="13:16" x14ac:dyDescent="0.25">
      <c r="M2644">
        <v>2.2902032420181602</v>
      </c>
      <c r="N2644">
        <v>2.2901441314388098</v>
      </c>
      <c r="O2644" s="1">
        <v>1.92742801815601E-8</v>
      </c>
      <c r="P2644" s="2">
        <f t="shared" si="97"/>
        <v>0.18128098991108907</v>
      </c>
    </row>
    <row r="2645" spans="13:16" x14ac:dyDescent="0.25">
      <c r="M2645">
        <v>0.967709430724222</v>
      </c>
      <c r="N2645">
        <v>0.96773772814507597</v>
      </c>
      <c r="O2645" s="1">
        <v>3.5711226771846001E-9</v>
      </c>
      <c r="P2645" s="2">
        <f t="shared" si="97"/>
        <v>0.22422753273157503</v>
      </c>
    </row>
    <row r="2646" spans="13:16" x14ac:dyDescent="0.25">
      <c r="M2646">
        <v>1.0593167987296599</v>
      </c>
      <c r="N2646">
        <v>1.0592706898970801</v>
      </c>
      <c r="O2646" s="1">
        <v>4.0240321005413099E-9</v>
      </c>
      <c r="P2646" s="2">
        <f t="shared" si="97"/>
        <v>0.52833187925826353</v>
      </c>
    </row>
    <row r="2647" spans="13:16" x14ac:dyDescent="0.25">
      <c r="M2647">
        <v>2.29054650819372</v>
      </c>
      <c r="N2647">
        <v>2.2905159444830701</v>
      </c>
      <c r="O2647" s="1">
        <v>1.27478934679861E-8</v>
      </c>
      <c r="P2647" s="2">
        <f t="shared" si="97"/>
        <v>7.3278021269742658E-2</v>
      </c>
    </row>
    <row r="2648" spans="13:16" x14ac:dyDescent="0.25">
      <c r="M2648">
        <v>0.96789096574036904</v>
      </c>
      <c r="N2648">
        <v>0.96783511438754199</v>
      </c>
      <c r="O2648" s="1">
        <v>4.7754370790457401E-9</v>
      </c>
      <c r="P2648" s="2">
        <f t="shared" si="97"/>
        <v>0.65321216905949819</v>
      </c>
    </row>
    <row r="2649" spans="13:16" x14ac:dyDescent="0.25">
      <c r="M2649">
        <v>1.0593161255250201</v>
      </c>
      <c r="N2649">
        <v>1.05933425595848</v>
      </c>
      <c r="O2649" s="1">
        <v>4.6483869575409496E-9</v>
      </c>
      <c r="P2649" s="2">
        <f t="shared" si="97"/>
        <v>7.0715416002539708E-2</v>
      </c>
    </row>
    <row r="2650" spans="13:16" x14ac:dyDescent="0.25">
      <c r="M2650">
        <v>2.2911739494883898</v>
      </c>
      <c r="N2650">
        <v>2.2911075553038298</v>
      </c>
      <c r="O2650" s="1">
        <v>7.9609542236881395E-9</v>
      </c>
      <c r="P2650" s="2">
        <f t="shared" si="97"/>
        <v>0.55372605086348514</v>
      </c>
    </row>
    <row r="2651" spans="13:16" x14ac:dyDescent="0.25">
      <c r="M2651">
        <v>0.96798591001178103</v>
      </c>
      <c r="N2651">
        <v>0.967990058249662</v>
      </c>
      <c r="O2651" s="1">
        <v>4.0368208037280898E-9</v>
      </c>
      <c r="P2651" s="2">
        <f t="shared" si="97"/>
        <v>4.2627300922692055E-3</v>
      </c>
    </row>
    <row r="2652" spans="13:16" x14ac:dyDescent="0.25">
      <c r="M2652">
        <v>1.0595185321374601</v>
      </c>
      <c r="N2652">
        <v>1.0594353857746801</v>
      </c>
      <c r="O2652" s="1">
        <v>4.8484631841435997E-9</v>
      </c>
      <c r="P2652" s="2">
        <f t="shared" si="97"/>
        <v>1.4258781351881846</v>
      </c>
    </row>
    <row r="2653" spans="13:16" x14ac:dyDescent="0.25">
      <c r="M2653">
        <v>2.2915851403563998</v>
      </c>
      <c r="N2653">
        <v>2.2915809967864398</v>
      </c>
      <c r="O2653" s="1">
        <v>7.8229964647506897E-9</v>
      </c>
      <c r="P2653" s="2">
        <f t="shared" si="97"/>
        <v>2.1947053269257429E-3</v>
      </c>
    </row>
    <row r="2654" spans="13:16" x14ac:dyDescent="0.25">
      <c r="M2654">
        <v>0.96818126972783003</v>
      </c>
      <c r="N2654">
        <v>0.968114042409148</v>
      </c>
      <c r="O2654" s="1">
        <v>2.7757975062278398E-9</v>
      </c>
      <c r="P2654" s="2">
        <f t="shared" si="97"/>
        <v>1.6281851853512037</v>
      </c>
    </row>
    <row r="2655" spans="13:16" x14ac:dyDescent="0.25">
      <c r="M2655">
        <v>1.05959719214391</v>
      </c>
      <c r="N2655">
        <v>1.0595163038947899</v>
      </c>
      <c r="O2655" s="1">
        <v>3.5043159021240101E-9</v>
      </c>
      <c r="P2655" s="2">
        <f t="shared" si="97"/>
        <v>1.8671001783121157</v>
      </c>
    </row>
    <row r="2656" spans="13:16" x14ac:dyDescent="0.25">
      <c r="M2656">
        <v>2.2923560187932801</v>
      </c>
      <c r="N2656">
        <v>2.2923383009474199</v>
      </c>
      <c r="O2656" s="1">
        <v>1.1085878012985099E-8</v>
      </c>
      <c r="P2656" s="2">
        <f t="shared" si="97"/>
        <v>2.831729354766856E-2</v>
      </c>
    </row>
    <row r="2657" spans="13:16" x14ac:dyDescent="0.25">
      <c r="M2657">
        <v>0.96834418151825996</v>
      </c>
      <c r="N2657">
        <v>0.96831234386638698</v>
      </c>
      <c r="O2657" s="1">
        <v>2.7049458560519298E-9</v>
      </c>
      <c r="P2657" s="2">
        <f t="shared" si="97"/>
        <v>0.37473433137936579</v>
      </c>
    </row>
    <row r="2658" spans="13:16" x14ac:dyDescent="0.25">
      <c r="M2658">
        <v>1.0596654431300101</v>
      </c>
      <c r="N2658">
        <v>1.05964571641904</v>
      </c>
      <c r="O2658" s="1">
        <v>3.3804806585000998E-9</v>
      </c>
      <c r="P2658" s="2">
        <f t="shared" si="97"/>
        <v>0.11511473219576969</v>
      </c>
    </row>
    <row r="2659" spans="13:16" x14ac:dyDescent="0.25">
      <c r="M2659">
        <v>2.2929821757753501</v>
      </c>
      <c r="N2659">
        <v>2.2930273800650198</v>
      </c>
      <c r="O2659" s="1">
        <v>1.7407905084797199E-8</v>
      </c>
      <c r="P2659" s="2">
        <f t="shared" si="97"/>
        <v>0.11738504975688024</v>
      </c>
    </row>
    <row r="2660" spans="13:16" x14ac:dyDescent="0.25">
      <c r="M2660">
        <v>0.96849492823127503</v>
      </c>
      <c r="N2660">
        <v>0.96849275883485897</v>
      </c>
      <c r="O2660" s="1">
        <v>3.2700937781691901E-9</v>
      </c>
      <c r="P2660" s="2">
        <f t="shared" si="97"/>
        <v>1.439188331981617E-3</v>
      </c>
    </row>
    <row r="2661" spans="13:16" x14ac:dyDescent="0.25">
      <c r="M2661">
        <v>1.059726033507</v>
      </c>
      <c r="N2661">
        <v>1.05976344683712</v>
      </c>
      <c r="O2661" s="1">
        <v>3.7053974330197101E-9</v>
      </c>
      <c r="P2661" s="2">
        <f t="shared" si="97"/>
        <v>0.37776171003749853</v>
      </c>
    </row>
    <row r="2662" spans="13:16" x14ac:dyDescent="0.25">
      <c r="M2662">
        <v>2.2938466765258898</v>
      </c>
      <c r="N2662">
        <v>2.2938025556421202</v>
      </c>
      <c r="O2662" s="1">
        <v>1.04747696014819E-8</v>
      </c>
      <c r="P2662" s="2">
        <f t="shared" si="97"/>
        <v>0.18584202408944769</v>
      </c>
    </row>
    <row r="2663" spans="13:16" x14ac:dyDescent="0.25">
      <c r="M2663">
        <v>0.96871156483446297</v>
      </c>
      <c r="N2663">
        <v>0.96869569098081298</v>
      </c>
      <c r="O2663" s="1">
        <v>3.2922538807842301E-9</v>
      </c>
      <c r="P2663" s="2">
        <f t="shared" si="97"/>
        <v>7.6536998307395285E-2</v>
      </c>
    </row>
    <row r="2664" spans="13:16" x14ac:dyDescent="0.25">
      <c r="M2664">
        <v>1.0599551392800499</v>
      </c>
      <c r="N2664">
        <v>1.0598958603392199</v>
      </c>
      <c r="O2664" s="1">
        <v>4.6891403358472597E-9</v>
      </c>
      <c r="P2664" s="2">
        <f t="shared" si="97"/>
        <v>0.74938956274470214</v>
      </c>
    </row>
    <row r="2665" spans="13:16" x14ac:dyDescent="0.25">
      <c r="M2665">
        <v>2.2949425585543599</v>
      </c>
      <c r="N2665">
        <v>2.29497002915996</v>
      </c>
      <c r="O2665" s="1">
        <v>1.07581192527303E-8</v>
      </c>
      <c r="P2665" s="2">
        <f t="shared" si="97"/>
        <v>7.0145548148822595E-2</v>
      </c>
    </row>
    <row r="2666" spans="13:16" x14ac:dyDescent="0.25">
      <c r="M2666">
        <v>0.96899069740377697</v>
      </c>
      <c r="N2666">
        <v>0.96900127307238104</v>
      </c>
      <c r="O2666" s="1">
        <v>5.1091031333692999E-9</v>
      </c>
      <c r="P2666" s="2">
        <f t="shared" si="97"/>
        <v>2.1891272010676973E-2</v>
      </c>
    </row>
    <row r="2667" spans="13:16" x14ac:dyDescent="0.25">
      <c r="M2667">
        <v>1.0599869752286999</v>
      </c>
      <c r="N2667">
        <v>1.0600952319466601</v>
      </c>
      <c r="O2667" s="1">
        <v>5.1046522075564E-9</v>
      </c>
      <c r="P2667" s="2">
        <f t="shared" si="97"/>
        <v>2.2958502375872487</v>
      </c>
    </row>
    <row r="2668" spans="13:16" x14ac:dyDescent="0.25">
      <c r="M2668">
        <v>2.2956389549551099</v>
      </c>
      <c r="N2668">
        <v>2.2956183119220999</v>
      </c>
      <c r="O2668" s="1">
        <v>4.4981661297370901E-9</v>
      </c>
      <c r="P2668" s="2">
        <f t="shared" si="97"/>
        <v>9.4735231995582675E-2</v>
      </c>
    </row>
    <row r="2669" spans="13:16" x14ac:dyDescent="0.25">
      <c r="M2669">
        <v>0.96913949973546998</v>
      </c>
      <c r="N2669">
        <v>0.96917093328977</v>
      </c>
      <c r="O2669" s="1">
        <v>1.36835383979941E-9</v>
      </c>
      <c r="P2669" s="2">
        <f t="shared" si="97"/>
        <v>0.72208540451579706</v>
      </c>
    </row>
    <row r="2670" spans="13:16" x14ac:dyDescent="0.25">
      <c r="M2670">
        <v>1.06025672665733</v>
      </c>
      <c r="N2670">
        <v>1.0602059127844501</v>
      </c>
      <c r="O2670" s="1">
        <v>1.1701339591694199E-9</v>
      </c>
      <c r="P2670" s="2">
        <f t="shared" si="97"/>
        <v>2.2066274180125451</v>
      </c>
    </row>
    <row r="2671" spans="13:16" x14ac:dyDescent="0.25">
      <c r="M2671">
        <v>2.2945918473228999</v>
      </c>
      <c r="N2671">
        <v>2.2946570931835799</v>
      </c>
      <c r="O2671" s="1">
        <v>1.28010488183729E-8</v>
      </c>
      <c r="P2671" s="2">
        <f t="shared" si="97"/>
        <v>0.33255262098262361</v>
      </c>
    </row>
    <row r="2672" spans="13:16" x14ac:dyDescent="0.25">
      <c r="M2672">
        <v>0.96884110583195004</v>
      </c>
      <c r="N2672">
        <v>0.96891936897822795</v>
      </c>
      <c r="O2672" s="1">
        <v>3.0900142441060398E-9</v>
      </c>
      <c r="P2672" s="2">
        <f t="shared" si="97"/>
        <v>1.9822303657659186</v>
      </c>
    </row>
    <row r="2673" spans="13:16" x14ac:dyDescent="0.25">
      <c r="M2673">
        <v>1.0600312062868</v>
      </c>
      <c r="N2673">
        <v>1.0600417975652701</v>
      </c>
      <c r="O2673" s="1">
        <v>2.0773511582446899E-9</v>
      </c>
      <c r="P2673" s="2">
        <f t="shared" si="97"/>
        <v>5.3999141736097329E-2</v>
      </c>
    </row>
    <row r="2674" spans="13:16" x14ac:dyDescent="0.25">
      <c r="M2674">
        <v>2.2946023363346901</v>
      </c>
      <c r="N2674">
        <v>2.2946010430017898</v>
      </c>
      <c r="O2674" s="1">
        <v>7.6241153119229198E-9</v>
      </c>
      <c r="P2674" s="2">
        <f t="shared" si="97"/>
        <v>2.1939725760241835E-4</v>
      </c>
    </row>
    <row r="2675" spans="13:16" x14ac:dyDescent="0.25">
      <c r="M2675">
        <v>0.96906854827594402</v>
      </c>
      <c r="N2675">
        <v>0.96890469863023299</v>
      </c>
      <c r="O2675" s="1">
        <v>2.1103778370520402E-9</v>
      </c>
      <c r="P2675" s="2">
        <f t="shared" si="97"/>
        <v>12.721279539749691</v>
      </c>
    </row>
    <row r="2676" spans="13:16" x14ac:dyDescent="0.25">
      <c r="M2676">
        <v>1.0600606551254399</v>
      </c>
      <c r="N2676">
        <v>1.06003222641077</v>
      </c>
      <c r="O2676" s="1">
        <v>3.0278430390376602E-9</v>
      </c>
      <c r="P2676" s="2">
        <f t="shared" si="97"/>
        <v>0.26691998474255779</v>
      </c>
    </row>
    <row r="2677" spans="13:16" x14ac:dyDescent="0.25">
      <c r="M2677">
        <v>2.2948025650035602</v>
      </c>
      <c r="N2677">
        <v>2.2948453228162098</v>
      </c>
      <c r="O2677" s="1">
        <v>6.6203017763196696E-9</v>
      </c>
      <c r="P2677" s="2">
        <f t="shared" si="97"/>
        <v>0.27615516699243736</v>
      </c>
    </row>
    <row r="2678" spans="13:16" x14ac:dyDescent="0.25">
      <c r="M2678">
        <v>0.96908698681981098</v>
      </c>
      <c r="N2678">
        <v>0.96896863444450698</v>
      </c>
      <c r="O2678" s="1">
        <v>1.93826389653515E-9</v>
      </c>
      <c r="P2678" s="2">
        <f t="shared" si="97"/>
        <v>7.2267170456705951</v>
      </c>
    </row>
    <row r="2679" spans="13:16" x14ac:dyDescent="0.25">
      <c r="M2679">
        <v>1.05992113301145</v>
      </c>
      <c r="N2679">
        <v>1.06007393866443</v>
      </c>
      <c r="O2679" s="1">
        <v>3.31100737910323E-9</v>
      </c>
      <c r="P2679" s="2">
        <f t="shared" si="97"/>
        <v>7.0521037585182338</v>
      </c>
    </row>
    <row r="2680" spans="13:16" x14ac:dyDescent="0.25">
      <c r="M2680">
        <v>2.2949857308302799</v>
      </c>
      <c r="N2680">
        <v>2.2951605082494302</v>
      </c>
      <c r="O2680" s="1">
        <v>3.1026095221503698E-8</v>
      </c>
      <c r="P2680" s="2">
        <f t="shared" si="97"/>
        <v>0.9845630275659899</v>
      </c>
    </row>
    <row r="2681" spans="13:16" x14ac:dyDescent="0.25">
      <c r="M2681">
        <v>0.96884385995802502</v>
      </c>
      <c r="N2681">
        <v>0.96905112469698895</v>
      </c>
      <c r="O2681" s="1">
        <v>4.4005256486705704E-9</v>
      </c>
      <c r="P2681" s="2">
        <f t="shared" si="97"/>
        <v>9.7621683061350435</v>
      </c>
    </row>
    <row r="2682" spans="13:16" x14ac:dyDescent="0.25">
      <c r="M2682">
        <v>1.06004446508676</v>
      </c>
      <c r="N2682">
        <v>1.0601277543455101</v>
      </c>
      <c r="O2682" s="1">
        <v>7.5771579180049704E-9</v>
      </c>
      <c r="P2682" s="2">
        <f t="shared" si="97"/>
        <v>0.91552805131066239</v>
      </c>
    </row>
    <row r="2683" spans="13:16" x14ac:dyDescent="0.25">
      <c r="M2683">
        <v>0.63141124176464902</v>
      </c>
      <c r="N2683">
        <v>0.63138179716505904</v>
      </c>
      <c r="O2683" s="1">
        <v>1.9782559702290399E-9</v>
      </c>
      <c r="P2683" s="2">
        <f t="shared" si="97"/>
        <v>0.43825695868557163</v>
      </c>
    </row>
    <row r="2684" spans="13:16" x14ac:dyDescent="0.25">
      <c r="M2684">
        <v>0.99203473933507902</v>
      </c>
      <c r="N2684">
        <v>0.99200147943927897</v>
      </c>
      <c r="O2684" s="1">
        <v>2.4415049661000298E-9</v>
      </c>
      <c r="P2684" s="2">
        <f t="shared" si="97"/>
        <v>0.45308966559155361</v>
      </c>
    </row>
    <row r="2685" spans="13:16" x14ac:dyDescent="0.25">
      <c r="M2685">
        <v>0.63144531103345802</v>
      </c>
      <c r="N2685">
        <v>0.63142748842240404</v>
      </c>
      <c r="O2685" s="1">
        <v>9.36499263097961E-10</v>
      </c>
      <c r="P2685" s="2">
        <f t="shared" si="97"/>
        <v>0.33918389186007525</v>
      </c>
    </row>
    <row r="2686" spans="13:16" x14ac:dyDescent="0.25">
      <c r="M2686">
        <v>0.99201625140638305</v>
      </c>
      <c r="N2686">
        <v>0.99195311822477406</v>
      </c>
      <c r="O2686" s="1">
        <v>4.6802597867477002E-9</v>
      </c>
      <c r="P2686" s="2">
        <f t="shared" si="97"/>
        <v>0.85161909844421713</v>
      </c>
    </row>
    <row r="2687" spans="13:16" x14ac:dyDescent="0.25">
      <c r="M2687">
        <v>0.63152494275959503</v>
      </c>
      <c r="N2687">
        <v>0.63152354457311499</v>
      </c>
      <c r="O2687" s="1">
        <v>5.0427382940363398E-9</v>
      </c>
      <c r="P2687" s="2">
        <f t="shared" si="97"/>
        <v>3.8767140370480171E-4</v>
      </c>
    </row>
    <row r="2688" spans="13:16" x14ac:dyDescent="0.25">
      <c r="M2688">
        <v>0.99185302328354996</v>
      </c>
      <c r="N2688">
        <v>0.99185146815432801</v>
      </c>
      <c r="O2688" s="1">
        <v>6.0391071742912503E-9</v>
      </c>
      <c r="P2688" s="2">
        <f t="shared" si="97"/>
        <v>4.0046099980923491E-4</v>
      </c>
    </row>
    <row r="2689" spans="13:16" x14ac:dyDescent="0.25">
      <c r="M2689">
        <v>0.63135086245681604</v>
      </c>
      <c r="N2689">
        <v>0.63135762512986804</v>
      </c>
      <c r="O2689" s="1">
        <v>8.6990461620170002E-10</v>
      </c>
      <c r="P2689" s="2">
        <f t="shared" si="97"/>
        <v>5.257328902091471E-2</v>
      </c>
    </row>
    <row r="2690" spans="13:16" x14ac:dyDescent="0.25">
      <c r="M2690">
        <v>0.99201523291094196</v>
      </c>
      <c r="N2690">
        <v>0.99202706633045501</v>
      </c>
      <c r="O2690" s="1">
        <v>2.02067076854632E-9</v>
      </c>
      <c r="P2690" s="2">
        <f t="shared" si="97"/>
        <v>6.9298680196487064E-2</v>
      </c>
    </row>
    <row r="2691" spans="13:16" x14ac:dyDescent="0.25">
      <c r="M2691">
        <v>0.63170436656540696</v>
      </c>
      <c r="N2691">
        <v>0.63162107294661995</v>
      </c>
      <c r="O2691" s="1">
        <v>3.5785906402635601E-9</v>
      </c>
      <c r="P2691" s="2">
        <f t="shared" ref="P2691:P2754" si="98">(M2691-N2691)^2/O2691</f>
        <v>1.9387037043510793</v>
      </c>
    </row>
    <row r="2692" spans="13:16" x14ac:dyDescent="0.25">
      <c r="M2692">
        <v>0.99185543351986205</v>
      </c>
      <c r="N2692">
        <v>0.99174828659686098</v>
      </c>
      <c r="O2692" s="1">
        <v>5.4280296049855501E-9</v>
      </c>
      <c r="P2692" s="2">
        <f t="shared" si="98"/>
        <v>2.1150332522232285</v>
      </c>
    </row>
    <row r="2693" spans="13:16" x14ac:dyDescent="0.25">
      <c r="M2693">
        <v>0.63191625693303199</v>
      </c>
      <c r="N2693">
        <v>0.631853079391549</v>
      </c>
      <c r="O2693" s="1">
        <v>1.56161650819624E-9</v>
      </c>
      <c r="P2693" s="2">
        <f t="shared" si="98"/>
        <v>2.5559423372424841</v>
      </c>
    </row>
    <row r="2694" spans="13:16" x14ac:dyDescent="0.25">
      <c r="M2694">
        <v>0.99161793728852998</v>
      </c>
      <c r="N2694">
        <v>0.99150293914680598</v>
      </c>
      <c r="O2694" s="1">
        <v>4.0271710214697402E-9</v>
      </c>
      <c r="P2694" s="2">
        <f t="shared" si="98"/>
        <v>3.2838368496072716</v>
      </c>
    </row>
    <row r="2695" spans="13:16" x14ac:dyDescent="0.25">
      <c r="M2695">
        <v>0.63178218201179104</v>
      </c>
      <c r="N2695">
        <v>0.63178983579735104</v>
      </c>
      <c r="O2695" s="1">
        <v>1.46417403201495E-9</v>
      </c>
      <c r="P2695" s="2">
        <f t="shared" si="98"/>
        <v>4.0009201172543016E-2</v>
      </c>
    </row>
    <row r="2696" spans="13:16" x14ac:dyDescent="0.25">
      <c r="M2696">
        <v>0.991556745479936</v>
      </c>
      <c r="N2696">
        <v>0.99156980447015797</v>
      </c>
      <c r="O2696" s="1">
        <v>2.47654023671778E-9</v>
      </c>
      <c r="P2696" s="2">
        <f t="shared" si="98"/>
        <v>6.8861076064538659E-2</v>
      </c>
    </row>
    <row r="2697" spans="13:16" x14ac:dyDescent="0.25">
      <c r="M2697">
        <v>0.63162440617146898</v>
      </c>
      <c r="N2697">
        <v>0.63168282943257303</v>
      </c>
      <c r="O2697" s="1">
        <v>1.5324148918888601E-9</v>
      </c>
      <c r="P2697" s="2">
        <f t="shared" si="98"/>
        <v>2.2273846698432913</v>
      </c>
    </row>
    <row r="2698" spans="13:16" x14ac:dyDescent="0.25">
      <c r="M2698">
        <v>0.99163215715632902</v>
      </c>
      <c r="N2698">
        <v>0.99168296421425495</v>
      </c>
      <c r="O2698" s="1">
        <v>1.34031447795249E-9</v>
      </c>
      <c r="P2698" s="2">
        <f t="shared" si="98"/>
        <v>1.9259339338272017</v>
      </c>
    </row>
    <row r="2699" spans="13:16" x14ac:dyDescent="0.25">
      <c r="M2699">
        <v>0.63153955989722899</v>
      </c>
      <c r="N2699">
        <v>0.63150008907306598</v>
      </c>
      <c r="O2699" s="1">
        <v>1.9058023129836201E-9</v>
      </c>
      <c r="P2699" s="2">
        <f t="shared" si="98"/>
        <v>0.8174751124462375</v>
      </c>
    </row>
    <row r="2700" spans="13:16" x14ac:dyDescent="0.25">
      <c r="M2700">
        <v>0.99192220805416798</v>
      </c>
      <c r="N2700">
        <v>0.99187628721929</v>
      </c>
      <c r="O2700" s="1">
        <v>2.4443660539500801E-9</v>
      </c>
      <c r="P2700" s="2">
        <f t="shared" si="98"/>
        <v>0.8626871055105515</v>
      </c>
    </row>
    <row r="2701" spans="13:16" x14ac:dyDescent="0.25">
      <c r="M2701">
        <v>0.63128724053688501</v>
      </c>
      <c r="N2701">
        <v>0.63123631342523001</v>
      </c>
      <c r="O2701" s="1">
        <v>1.7136376302587399E-9</v>
      </c>
      <c r="P2701" s="2">
        <f t="shared" si="98"/>
        <v>1.5134884153593946</v>
      </c>
    </row>
    <row r="2702" spans="13:16" x14ac:dyDescent="0.25">
      <c r="M2702">
        <v>0.99224788988466694</v>
      </c>
      <c r="N2702">
        <v>0.99215550351095905</v>
      </c>
      <c r="O2702" s="1">
        <v>3.5820837646404302E-9</v>
      </c>
      <c r="P2702" s="2">
        <f t="shared" si="98"/>
        <v>2.3827589212593754</v>
      </c>
    </row>
    <row r="2703" spans="13:16" x14ac:dyDescent="0.25">
      <c r="M2703">
        <v>0.63120498756459598</v>
      </c>
      <c r="N2703">
        <v>0.63132991383214898</v>
      </c>
      <c r="O2703" s="1">
        <v>4.8059404084058898E-9</v>
      </c>
      <c r="P2703" s="2">
        <f t="shared" si="98"/>
        <v>3.247350361945418</v>
      </c>
    </row>
    <row r="2704" spans="13:16" x14ac:dyDescent="0.25">
      <c r="M2704">
        <v>0.99193451900017005</v>
      </c>
      <c r="N2704">
        <v>0.99205640166430797</v>
      </c>
      <c r="O2704" s="1">
        <v>4.8716929835246098E-9</v>
      </c>
      <c r="P2704" s="2">
        <f t="shared" si="98"/>
        <v>3.0493267674293172</v>
      </c>
    </row>
    <row r="2705" spans="13:16" x14ac:dyDescent="0.25">
      <c r="M2705">
        <v>0.63118589558660199</v>
      </c>
      <c r="N2705">
        <v>0.63131228240791404</v>
      </c>
      <c r="O2705" s="1">
        <v>2.4664155020136699E-9</v>
      </c>
      <c r="P2705" s="2">
        <f t="shared" si="98"/>
        <v>6.4764548342820509</v>
      </c>
    </row>
    <row r="2706" spans="13:16" x14ac:dyDescent="0.25">
      <c r="M2706">
        <v>0.99186420751452697</v>
      </c>
      <c r="N2706">
        <v>0.99207506750988295</v>
      </c>
      <c r="O2706" s="1">
        <v>4.5039629781783897E-9</v>
      </c>
      <c r="P2706" s="2">
        <f t="shared" si="98"/>
        <v>9.8717369252229048</v>
      </c>
    </row>
    <row r="2707" spans="13:16" x14ac:dyDescent="0.25">
      <c r="M2707">
        <v>2.2879347046716898</v>
      </c>
      <c r="N2707">
        <v>2.28777693835666</v>
      </c>
      <c r="O2707" s="1">
        <v>1.9940594987318199E-8</v>
      </c>
      <c r="P2707" s="2">
        <f t="shared" si="98"/>
        <v>1.2482180282947479</v>
      </c>
    </row>
    <row r="2708" spans="13:16" x14ac:dyDescent="0.25">
      <c r="M2708">
        <v>0.96710534289385297</v>
      </c>
      <c r="N2708">
        <v>0.96708907224796503</v>
      </c>
      <c r="O2708" s="1">
        <v>8.4830592750547106E-9</v>
      </c>
      <c r="P2708" s="2">
        <f t="shared" si="98"/>
        <v>3.120736387981958E-2</v>
      </c>
    </row>
    <row r="2709" spans="13:16" x14ac:dyDescent="0.25">
      <c r="M2709">
        <v>1.05910343213207</v>
      </c>
      <c r="N2709">
        <v>1.05893130789421</v>
      </c>
      <c r="O2709" s="1">
        <v>6.4323235311356398E-9</v>
      </c>
      <c r="P2709" s="2">
        <f t="shared" si="98"/>
        <v>4.6059177706933667</v>
      </c>
    </row>
    <row r="2710" spans="13:16" x14ac:dyDescent="0.25">
      <c r="M2710">
        <v>2.28842002568443</v>
      </c>
      <c r="N2710">
        <v>2.2884181553498499</v>
      </c>
      <c r="O2710" s="1">
        <v>4.63066434072448E-8</v>
      </c>
      <c r="P2710" s="2">
        <f t="shared" si="98"/>
        <v>7.5543187416029478E-5</v>
      </c>
    </row>
    <row r="2711" spans="13:16" x14ac:dyDescent="0.25">
      <c r="M2711">
        <v>0.96726048492669203</v>
      </c>
      <c r="N2711">
        <v>0.96725808437667005</v>
      </c>
      <c r="O2711" s="1">
        <v>1.25355066973625E-8</v>
      </c>
      <c r="P2711" s="2">
        <f t="shared" si="98"/>
        <v>4.5970542293827238E-4</v>
      </c>
    </row>
    <row r="2712" spans="13:16" x14ac:dyDescent="0.25">
      <c r="M2712">
        <v>1.0590884669518901</v>
      </c>
      <c r="N2712">
        <v>1.0590366967734</v>
      </c>
      <c r="O2712" s="1">
        <v>5.7749913288781401E-9</v>
      </c>
      <c r="P2712" s="2">
        <f t="shared" si="98"/>
        <v>0.46409617404903342</v>
      </c>
    </row>
    <row r="2713" spans="13:16" x14ac:dyDescent="0.25">
      <c r="M2713">
        <v>2.2886471414083802</v>
      </c>
      <c r="N2713">
        <v>2.2886504038784299</v>
      </c>
      <c r="O2713" s="1">
        <v>8.5388499017836906E-9</v>
      </c>
      <c r="P2713" s="2">
        <f t="shared" si="98"/>
        <v>1.2465040312710771E-3</v>
      </c>
    </row>
    <row r="2714" spans="13:16" x14ac:dyDescent="0.25">
      <c r="M2714">
        <v>0.96741970664996602</v>
      </c>
      <c r="N2714">
        <v>0.96731929610156597</v>
      </c>
      <c r="O2714" s="1">
        <v>9.9782298015641594E-9</v>
      </c>
      <c r="P2714" s="2">
        <f t="shared" si="98"/>
        <v>1.0104275438131194</v>
      </c>
    </row>
    <row r="2715" spans="13:16" x14ac:dyDescent="0.25">
      <c r="M2715">
        <v>1.0590718332390101</v>
      </c>
      <c r="N2715">
        <v>1.0590748638837499</v>
      </c>
      <c r="O2715" s="1">
        <v>5.1901451675875998E-9</v>
      </c>
      <c r="P2715" s="2">
        <f t="shared" si="98"/>
        <v>1.7696629366806024E-3</v>
      </c>
    </row>
    <row r="2716" spans="13:16" x14ac:dyDescent="0.25">
      <c r="M2716">
        <v>2.2890761841102298</v>
      </c>
      <c r="N2716">
        <v>2.28911543705548</v>
      </c>
      <c r="O2716" s="1">
        <v>2.17264558492766E-8</v>
      </c>
      <c r="P2716" s="2">
        <f t="shared" si="98"/>
        <v>7.0917858002440118E-2</v>
      </c>
    </row>
    <row r="2717" spans="13:16" x14ac:dyDescent="0.25">
      <c r="M2717">
        <v>0.96737348035067805</v>
      </c>
      <c r="N2717">
        <v>0.96744185382394499</v>
      </c>
      <c r="O2717" s="1">
        <v>3.5579608825115199E-9</v>
      </c>
      <c r="P2717" s="2">
        <f t="shared" si="98"/>
        <v>1.3139357067030064</v>
      </c>
    </row>
    <row r="2718" spans="13:16" x14ac:dyDescent="0.25">
      <c r="M2718">
        <v>1.05901752318204</v>
      </c>
      <c r="N2718">
        <v>1.0591512787021</v>
      </c>
      <c r="O2718" s="1">
        <v>9.6819777815552205E-9</v>
      </c>
      <c r="P2718" s="2">
        <f t="shared" si="98"/>
        <v>1.8478186533959904</v>
      </c>
    </row>
    <row r="2719" spans="13:16" x14ac:dyDescent="0.25">
      <c r="M2719">
        <v>2.2893409637661102</v>
      </c>
      <c r="N2719">
        <v>2.2893531219792802</v>
      </c>
      <c r="O2719" s="1">
        <v>2.6486154085211199E-8</v>
      </c>
      <c r="P2719" s="2">
        <f t="shared" si="98"/>
        <v>5.5811103043541836E-3</v>
      </c>
    </row>
    <row r="2720" spans="13:16" x14ac:dyDescent="0.25">
      <c r="M2720">
        <v>0.96754998398124004</v>
      </c>
      <c r="N2720">
        <v>0.96750449116083803</v>
      </c>
      <c r="O2720" s="1">
        <v>1.01222738758098E-8</v>
      </c>
      <c r="P2720" s="2">
        <f t="shared" si="98"/>
        <v>0.20445966326547926</v>
      </c>
    </row>
    <row r="2721" spans="13:16" x14ac:dyDescent="0.25">
      <c r="M2721">
        <v>1.05913608038505</v>
      </c>
      <c r="N2721">
        <v>1.0591903315125</v>
      </c>
      <c r="O2721" s="1">
        <v>7.7351821345271205E-9</v>
      </c>
      <c r="P2721" s="2">
        <f t="shared" si="98"/>
        <v>0.38049328101180713</v>
      </c>
    </row>
    <row r="2722" spans="13:16" x14ac:dyDescent="0.25">
      <c r="M2722">
        <v>2.28953486881132</v>
      </c>
      <c r="N2722">
        <v>2.2895143744352802</v>
      </c>
      <c r="O2722" s="1">
        <v>2.5738434404973001E-8</v>
      </c>
      <c r="P2722" s="2">
        <f t="shared" si="98"/>
        <v>1.6318764484729683E-2</v>
      </c>
    </row>
    <row r="2723" spans="13:16" x14ac:dyDescent="0.25">
      <c r="M2723">
        <v>0.96765457161264601</v>
      </c>
      <c r="N2723">
        <v>0.96754698478212198</v>
      </c>
      <c r="O2723" s="1">
        <v>5.98113807937132E-9</v>
      </c>
      <c r="P2723" s="2">
        <f t="shared" si="98"/>
        <v>1.9352380681743557</v>
      </c>
    </row>
    <row r="2724" spans="13:16" x14ac:dyDescent="0.25">
      <c r="M2724">
        <v>1.05917571992453</v>
      </c>
      <c r="N2724">
        <v>1.0592168246011699</v>
      </c>
      <c r="O2724" s="1">
        <v>7.9523975564786696E-9</v>
      </c>
      <c r="P2724" s="2">
        <f t="shared" si="98"/>
        <v>0.21246352809673871</v>
      </c>
    </row>
    <row r="2725" spans="13:16" x14ac:dyDescent="0.25">
      <c r="M2725">
        <v>2.2896092278665501</v>
      </c>
      <c r="N2725">
        <v>2.2894991703126202</v>
      </c>
      <c r="O2725" s="1">
        <v>2.5367166632009701E-8</v>
      </c>
      <c r="P2725" s="2">
        <f t="shared" si="98"/>
        <v>0.47749381524336754</v>
      </c>
    </row>
    <row r="2726" spans="13:16" x14ac:dyDescent="0.25">
      <c r="M2726">
        <v>0.96761534338280297</v>
      </c>
      <c r="N2726">
        <v>0.96754297820455504</v>
      </c>
      <c r="O2726" s="1">
        <v>1.13087587027265E-8</v>
      </c>
      <c r="P2726" s="2">
        <f t="shared" si="98"/>
        <v>0.46306753557248193</v>
      </c>
    </row>
    <row r="2727" spans="13:16" x14ac:dyDescent="0.25">
      <c r="M2727">
        <v>1.05931122947495</v>
      </c>
      <c r="N2727">
        <v>1.0592143266802401</v>
      </c>
      <c r="O2727" s="1">
        <v>1.1302253387799399E-8</v>
      </c>
      <c r="P2727" s="2">
        <f t="shared" si="98"/>
        <v>0.83082119117413744</v>
      </c>
    </row>
    <row r="2728" spans="13:16" x14ac:dyDescent="0.25">
      <c r="M2728">
        <v>2.2901441955930002</v>
      </c>
      <c r="N2728">
        <v>2.2901825811905701</v>
      </c>
      <c r="O2728" s="1">
        <v>2.5885566673551999E-8</v>
      </c>
      <c r="P2728" s="2">
        <f t="shared" si="98"/>
        <v>5.6921840629452006E-2</v>
      </c>
    </row>
    <row r="2729" spans="13:16" x14ac:dyDescent="0.25">
      <c r="M2729">
        <v>0.96756309539808005</v>
      </c>
      <c r="N2729">
        <v>0.96772306017069498</v>
      </c>
      <c r="O2729" s="1">
        <v>8.4906066515843297E-9</v>
      </c>
      <c r="P2729" s="2">
        <f t="shared" si="98"/>
        <v>3.0137691601778664</v>
      </c>
    </row>
    <row r="2730" spans="13:16" x14ac:dyDescent="0.25">
      <c r="M2730">
        <v>1.0592459871517299</v>
      </c>
      <c r="N2730">
        <v>1.0593265952898601</v>
      </c>
      <c r="O2730" s="1">
        <v>1.1385312307878499E-8</v>
      </c>
      <c r="P2730" s="2">
        <f t="shared" si="98"/>
        <v>0.57070651705478448</v>
      </c>
    </row>
    <row r="2731" spans="13:16" x14ac:dyDescent="0.25">
      <c r="M2731">
        <v>2.2903386102643801</v>
      </c>
      <c r="N2731">
        <v>2.2903402643467299</v>
      </c>
      <c r="O2731" s="1">
        <v>1.8268529403616799E-8</v>
      </c>
      <c r="P2731" s="2">
        <f t="shared" si="98"/>
        <v>1.4976511569846185E-4</v>
      </c>
    </row>
    <row r="2732" spans="13:16" x14ac:dyDescent="0.25">
      <c r="M2732">
        <v>0.96784626057922096</v>
      </c>
      <c r="N2732">
        <v>0.96776460754834703</v>
      </c>
      <c r="O2732" s="1">
        <v>9.0108701980008901E-9</v>
      </c>
      <c r="P2732" s="2">
        <f t="shared" si="98"/>
        <v>0.73990827793502378</v>
      </c>
    </row>
    <row r="2733" spans="13:16" x14ac:dyDescent="0.25">
      <c r="M2733">
        <v>1.0592101978274899</v>
      </c>
      <c r="N2733">
        <v>1.0593524959198399</v>
      </c>
      <c r="O2733" s="1">
        <v>7.6668776191980505E-9</v>
      </c>
      <c r="P2733" s="2">
        <f t="shared" si="98"/>
        <v>2.6410682538803338</v>
      </c>
    </row>
    <row r="2734" spans="13:16" x14ac:dyDescent="0.25">
      <c r="M2734">
        <v>2.29062612815442</v>
      </c>
      <c r="N2734">
        <v>2.2906650291651802</v>
      </c>
      <c r="O2734" s="1">
        <v>2.16102046992127E-8</v>
      </c>
      <c r="P2734" s="2">
        <f t="shared" si="98"/>
        <v>7.0026575834369831E-2</v>
      </c>
    </row>
    <row r="2735" spans="13:16" x14ac:dyDescent="0.25">
      <c r="M2735">
        <v>0.96781836658012699</v>
      </c>
      <c r="N2735">
        <v>0.96785017529035799</v>
      </c>
      <c r="O2735" s="1">
        <v>5.7712901763799204E-9</v>
      </c>
      <c r="P2735" s="2">
        <f t="shared" si="98"/>
        <v>0.17531505359081337</v>
      </c>
    </row>
    <row r="2736" spans="13:16" x14ac:dyDescent="0.25">
      <c r="M2736">
        <v>1.0593448781075101</v>
      </c>
      <c r="N2736">
        <v>1.05940583733127</v>
      </c>
      <c r="O2736" s="1">
        <v>9.1812330488443893E-9</v>
      </c>
      <c r="P2736" s="2">
        <f t="shared" si="98"/>
        <v>0.40474160078972404</v>
      </c>
    </row>
    <row r="2737" spans="13:16" x14ac:dyDescent="0.25">
      <c r="M2737">
        <v>2.29066222933118</v>
      </c>
      <c r="N2737">
        <v>2.2906822274848202</v>
      </c>
      <c r="O2737" s="1">
        <v>4.5133788002628202E-8</v>
      </c>
      <c r="P2737" s="2">
        <f t="shared" si="98"/>
        <v>8.8609036979755539E-3</v>
      </c>
    </row>
    <row r="2738" spans="13:16" x14ac:dyDescent="0.25">
      <c r="M2738">
        <v>0.96778263906058504</v>
      </c>
      <c r="N2738">
        <v>0.96785470650785299</v>
      </c>
      <c r="O2738" s="1">
        <v>1.22704466477922E-8</v>
      </c>
      <c r="P2738" s="2">
        <f t="shared" si="98"/>
        <v>0.42327040773644625</v>
      </c>
    </row>
    <row r="2739" spans="13:16" x14ac:dyDescent="0.25">
      <c r="M2739">
        <v>1.0594474383417101</v>
      </c>
      <c r="N2739">
        <v>1.0594086619552201</v>
      </c>
      <c r="O2739" s="1">
        <v>1.6262706433080201E-8</v>
      </c>
      <c r="P2739" s="2">
        <f t="shared" si="98"/>
        <v>9.2457436614668376E-2</v>
      </c>
    </row>
    <row r="2740" spans="13:16" x14ac:dyDescent="0.25">
      <c r="M2740">
        <v>2.29093083013665</v>
      </c>
      <c r="N2740">
        <v>2.2905231153393601</v>
      </c>
      <c r="O2740" s="1">
        <v>5.1733614976026597E-8</v>
      </c>
      <c r="P2740" s="2">
        <f t="shared" si="98"/>
        <v>3.2132174797012385</v>
      </c>
    </row>
    <row r="2741" spans="13:16" x14ac:dyDescent="0.25">
      <c r="M2741">
        <v>0.96788566659068298</v>
      </c>
      <c r="N2741">
        <v>0.96781278496206602</v>
      </c>
      <c r="O2741" s="1">
        <v>9.5722960864579893E-9</v>
      </c>
      <c r="P2741" s="2">
        <f t="shared" si="98"/>
        <v>0.5549067581993381</v>
      </c>
    </row>
    <row r="2742" spans="13:16" x14ac:dyDescent="0.25">
      <c r="M2742">
        <v>1.0596754046777299</v>
      </c>
      <c r="N2742">
        <v>1.0593825291140899</v>
      </c>
      <c r="O2742" s="1">
        <v>1.29314157917359E-8</v>
      </c>
      <c r="P2742" s="2">
        <f t="shared" si="98"/>
        <v>6.6331558089920142</v>
      </c>
    </row>
    <row r="2743" spans="13:16" x14ac:dyDescent="0.25">
      <c r="M2743">
        <v>2.2912298831892302</v>
      </c>
      <c r="N2743">
        <v>2.2909862406237802</v>
      </c>
      <c r="O2743" s="1">
        <v>4.71808607005904E-8</v>
      </c>
      <c r="P2743" s="2">
        <f t="shared" si="98"/>
        <v>1.2581733104816337</v>
      </c>
    </row>
    <row r="2744" spans="13:16" x14ac:dyDescent="0.25">
      <c r="M2744">
        <v>0.96810215550632694</v>
      </c>
      <c r="N2744">
        <v>0.96793480231531703</v>
      </c>
      <c r="O2744" s="1">
        <v>1.4056174146920099E-8</v>
      </c>
      <c r="P2744" s="2">
        <f t="shared" si="98"/>
        <v>1.9925116357025641</v>
      </c>
    </row>
    <row r="2745" spans="13:16" x14ac:dyDescent="0.25">
      <c r="M2745">
        <v>1.0596218522662</v>
      </c>
      <c r="N2745">
        <v>1.0594585903195799</v>
      </c>
      <c r="O2745" s="1">
        <v>1.29752903885496E-8</v>
      </c>
      <c r="P2745" s="2">
        <f t="shared" si="98"/>
        <v>2.0542479139967216</v>
      </c>
    </row>
    <row r="2746" spans="13:16" x14ac:dyDescent="0.25">
      <c r="M2746">
        <v>2.2906768565584001</v>
      </c>
      <c r="N2746">
        <v>2.29075550643139</v>
      </c>
      <c r="O2746" s="1">
        <v>2.1461198487162E-8</v>
      </c>
      <c r="P2746" s="2">
        <f t="shared" si="98"/>
        <v>0.28823192353520982</v>
      </c>
    </row>
    <row r="2747" spans="13:16" x14ac:dyDescent="0.25">
      <c r="M2747">
        <v>0.96784391414871696</v>
      </c>
      <c r="N2747">
        <v>0.96787401306705001</v>
      </c>
      <c r="O2747" s="1">
        <v>8.4174818717584706E-9</v>
      </c>
      <c r="P2747" s="2">
        <f t="shared" si="98"/>
        <v>0.10762659173160016</v>
      </c>
    </row>
    <row r="2748" spans="13:16" x14ac:dyDescent="0.25">
      <c r="M2748">
        <v>1.05933458565178</v>
      </c>
      <c r="N2748">
        <v>1.0594206970165301</v>
      </c>
      <c r="O2748" s="1">
        <v>6.7900025660225901E-9</v>
      </c>
      <c r="P2748" s="2">
        <f t="shared" si="98"/>
        <v>1.0920713309054937</v>
      </c>
    </row>
    <row r="2749" spans="13:16" x14ac:dyDescent="0.25">
      <c r="M2749">
        <v>2.2913221344828698</v>
      </c>
      <c r="N2749">
        <v>2.2914075389320301</v>
      </c>
      <c r="O2749" s="1">
        <v>3.9792717299582798E-8</v>
      </c>
      <c r="P2749" s="2">
        <f t="shared" si="98"/>
        <v>0.18329786029582315</v>
      </c>
    </row>
    <row r="2750" spans="13:16" x14ac:dyDescent="0.25">
      <c r="M2750">
        <v>0.96803912801854897</v>
      </c>
      <c r="N2750">
        <v>0.968045791654919</v>
      </c>
      <c r="O2750" s="1">
        <v>1.1516364709969499E-8</v>
      </c>
      <c r="P2750" s="2">
        <f t="shared" si="98"/>
        <v>3.8557349294042463E-3</v>
      </c>
    </row>
    <row r="2751" spans="13:16" x14ac:dyDescent="0.25">
      <c r="M2751">
        <v>1.0593955009232201</v>
      </c>
      <c r="N2751">
        <v>1.05952777347522</v>
      </c>
      <c r="O2751" s="1">
        <v>1.28925993725165E-8</v>
      </c>
      <c r="P2751" s="2">
        <f t="shared" si="98"/>
        <v>1.3570597756925162</v>
      </c>
    </row>
    <row r="2752" spans="13:16" x14ac:dyDescent="0.25">
      <c r="M2752">
        <v>2.29066222933118</v>
      </c>
      <c r="N2752">
        <v>2.2906822488228098</v>
      </c>
      <c r="O2752" s="1">
        <v>4.5133788002628202E-8</v>
      </c>
      <c r="P2752" s="2">
        <f t="shared" si="98"/>
        <v>8.8798229187251106E-3</v>
      </c>
    </row>
    <row r="2753" spans="13:16" x14ac:dyDescent="0.25">
      <c r="M2753">
        <v>0.96778263906058504</v>
      </c>
      <c r="N2753">
        <v>0.96785471212973595</v>
      </c>
      <c r="O2753" s="1">
        <v>1.22704466477922E-8</v>
      </c>
      <c r="P2753" s="2">
        <f t="shared" si="98"/>
        <v>0.4233364478029768</v>
      </c>
    </row>
    <row r="2754" spans="13:16" x14ac:dyDescent="0.25">
      <c r="M2754">
        <v>1.0594474383417101</v>
      </c>
      <c r="N2754">
        <v>1.0594086654597299</v>
      </c>
      <c r="O2754" s="1">
        <v>1.6262706433080201E-8</v>
      </c>
      <c r="P2754" s="2">
        <f t="shared" si="98"/>
        <v>9.2440725240583832E-2</v>
      </c>
    </row>
    <row r="2755" spans="13:16" x14ac:dyDescent="0.25">
      <c r="M2755">
        <v>2.29093083013665</v>
      </c>
      <c r="N2755">
        <v>2.29052317990292</v>
      </c>
      <c r="O2755" s="1">
        <v>5.1733614976026597E-8</v>
      </c>
      <c r="P2755" s="2">
        <f t="shared" ref="P2755:P2818" si="99">(M2755-N2755)^2/O2755</f>
        <v>3.212199904011054</v>
      </c>
    </row>
    <row r="2756" spans="13:16" x14ac:dyDescent="0.25">
      <c r="M2756">
        <v>0.96788566659068298</v>
      </c>
      <c r="N2756">
        <v>0.96781280197295705</v>
      </c>
      <c r="O2756" s="1">
        <v>9.5722960864579893E-9</v>
      </c>
      <c r="P2756" s="2">
        <f t="shared" si="99"/>
        <v>0.55464775309836245</v>
      </c>
    </row>
    <row r="2757" spans="13:16" x14ac:dyDescent="0.25">
      <c r="M2757">
        <v>1.0596754046777299</v>
      </c>
      <c r="N2757">
        <v>1.0593825397183601</v>
      </c>
      <c r="O2757" s="1">
        <v>1.29314157917359E-8</v>
      </c>
      <c r="P2757" s="2">
        <f t="shared" si="99"/>
        <v>6.6326754786993884</v>
      </c>
    </row>
    <row r="2758" spans="13:16" x14ac:dyDescent="0.25">
      <c r="M2758">
        <v>2.2912298831892302</v>
      </c>
      <c r="N2758">
        <v>2.29098626598861</v>
      </c>
      <c r="O2758" s="1">
        <v>4.71808607005904E-8</v>
      </c>
      <c r="P2758" s="2">
        <f t="shared" si="99"/>
        <v>1.257911355509906</v>
      </c>
    </row>
    <row r="2759" spans="13:16" x14ac:dyDescent="0.25">
      <c r="M2759">
        <v>0.96810215550632694</v>
      </c>
      <c r="N2759">
        <v>0.96793480899780904</v>
      </c>
      <c r="O2759" s="1">
        <v>1.4056174146920099E-8</v>
      </c>
      <c r="P2759" s="2">
        <f t="shared" si="99"/>
        <v>1.9923525150170542</v>
      </c>
    </row>
    <row r="2760" spans="13:16" x14ac:dyDescent="0.25">
      <c r="M2760">
        <v>1.0596218522662</v>
      </c>
      <c r="N2760">
        <v>1.0594585944850901</v>
      </c>
      <c r="O2760" s="1">
        <v>1.29752903885496E-8</v>
      </c>
      <c r="P2760" s="2">
        <f t="shared" si="99"/>
        <v>2.0541430900427096</v>
      </c>
    </row>
    <row r="2761" spans="13:16" x14ac:dyDescent="0.25">
      <c r="M2761">
        <v>2.2906768565584001</v>
      </c>
      <c r="N2761">
        <v>2.2907554942975099</v>
      </c>
      <c r="O2761" s="1">
        <v>2.1461198487162E-8</v>
      </c>
      <c r="P2761" s="2">
        <f t="shared" si="99"/>
        <v>0.28814299518243519</v>
      </c>
    </row>
    <row r="2762" spans="13:16" x14ac:dyDescent="0.25">
      <c r="M2762">
        <v>0.96784391414871696</v>
      </c>
      <c r="N2762">
        <v>0.96787400987019601</v>
      </c>
      <c r="O2762" s="1">
        <v>8.4174818717584706E-9</v>
      </c>
      <c r="P2762" s="2">
        <f t="shared" si="99"/>
        <v>0.10760373056264028</v>
      </c>
    </row>
    <row r="2763" spans="13:16" x14ac:dyDescent="0.25">
      <c r="M2763">
        <v>1.05933458565178</v>
      </c>
      <c r="N2763">
        <v>1.0594206950237299</v>
      </c>
      <c r="O2763" s="1">
        <v>6.7900025660225901E-9</v>
      </c>
      <c r="P2763" s="2">
        <f t="shared" si="99"/>
        <v>1.0920207857832942</v>
      </c>
    </row>
    <row r="2764" spans="13:16" x14ac:dyDescent="0.25">
      <c r="M2764">
        <v>2.2913221344828698</v>
      </c>
      <c r="N2764">
        <v>2.2914075642251999</v>
      </c>
      <c r="O2764" s="1">
        <v>3.9792717299582798E-8</v>
      </c>
      <c r="P2764" s="2">
        <f t="shared" si="99"/>
        <v>0.18340644645185786</v>
      </c>
    </row>
    <row r="2765" spans="13:16" x14ac:dyDescent="0.25">
      <c r="M2765">
        <v>0.96803912801854897</v>
      </c>
      <c r="N2765">
        <v>0.96804579831807203</v>
      </c>
      <c r="O2765" s="1">
        <v>1.1516364709969499E-8</v>
      </c>
      <c r="P2765" s="2">
        <f t="shared" si="99"/>
        <v>3.8634496950943264E-3</v>
      </c>
    </row>
    <row r="2766" spans="13:16" x14ac:dyDescent="0.25">
      <c r="M2766">
        <v>1.0593955009232201</v>
      </c>
      <c r="N2766">
        <v>1.0595277776284699</v>
      </c>
      <c r="O2766" s="1">
        <v>1.28925993725165E-8</v>
      </c>
      <c r="P2766" s="2">
        <f t="shared" si="99"/>
        <v>1.35714499816488</v>
      </c>
    </row>
    <row r="2767" spans="13:16" x14ac:dyDescent="0.25">
      <c r="M2767">
        <v>2.2934545780517399</v>
      </c>
      <c r="N2767">
        <v>2.2935414127320399</v>
      </c>
      <c r="O2767" s="1">
        <v>3.1342130384452497E-8</v>
      </c>
      <c r="P2767" s="2">
        <f t="shared" si="99"/>
        <v>0.24057910583343259</v>
      </c>
    </row>
    <row r="2768" spans="13:16" x14ac:dyDescent="0.25">
      <c r="M2768">
        <v>0.96859460844701695</v>
      </c>
      <c r="N2768">
        <v>0.96860783415552199</v>
      </c>
      <c r="O2768" s="1">
        <v>5.9782358591063203E-9</v>
      </c>
      <c r="P2768" s="2">
        <f t="shared" si="99"/>
        <v>2.9259361721868122E-2</v>
      </c>
    </row>
    <row r="2769" spans="13:16" x14ac:dyDescent="0.25">
      <c r="M2769">
        <v>1.0597536278699</v>
      </c>
      <c r="N2769">
        <v>1.0598780598747</v>
      </c>
      <c r="O2769" s="1">
        <v>8.0410181374299192E-9</v>
      </c>
      <c r="P2769" s="2">
        <f t="shared" si="99"/>
        <v>1.9255427054020493</v>
      </c>
    </row>
    <row r="2770" spans="13:16" x14ac:dyDescent="0.25">
      <c r="M2770">
        <v>2.2948099139471401</v>
      </c>
      <c r="N2770">
        <v>2.29481694613867</v>
      </c>
      <c r="O2770" s="1">
        <v>1.87119125684602E-8</v>
      </c>
      <c r="P2770" s="2">
        <f t="shared" si="99"/>
        <v>2.6427933292947304E-3</v>
      </c>
    </row>
    <row r="2771" spans="13:16" x14ac:dyDescent="0.25">
      <c r="M2771">
        <v>0.96892375365458105</v>
      </c>
      <c r="N2771">
        <v>0.96894370378588701</v>
      </c>
      <c r="O2771" s="1">
        <v>4.3247431324343596E-9</v>
      </c>
      <c r="P2771" s="2">
        <f t="shared" si="99"/>
        <v>9.20303765881436E-2</v>
      </c>
    </row>
    <row r="2772" spans="13:16" x14ac:dyDescent="0.25">
      <c r="M2772">
        <v>1.0600696202820099</v>
      </c>
      <c r="N2772">
        <v>1.06008734491566</v>
      </c>
      <c r="O2772" s="1">
        <v>4.1615108005243902E-9</v>
      </c>
      <c r="P2772" s="2">
        <f t="shared" si="99"/>
        <v>7.5492448077198682E-2</v>
      </c>
    </row>
    <row r="2773" spans="13:16" x14ac:dyDescent="0.25">
      <c r="M2773">
        <v>2.29547977339818</v>
      </c>
      <c r="N2773">
        <v>2.2955702745906001</v>
      </c>
      <c r="O2773" s="1">
        <v>1.8170496159934001E-8</v>
      </c>
      <c r="P2773" s="2">
        <f t="shared" si="99"/>
        <v>0.45075631162621188</v>
      </c>
    </row>
    <row r="2774" spans="13:16" x14ac:dyDescent="0.25">
      <c r="M2774">
        <v>0.96906449844864895</v>
      </c>
      <c r="N2774">
        <v>0.96914203496557505</v>
      </c>
      <c r="O2774" s="1">
        <v>5.0897164014874802E-9</v>
      </c>
      <c r="P2774" s="2">
        <f t="shared" si="99"/>
        <v>1.1811879057298238</v>
      </c>
    </row>
    <row r="2775" spans="13:16" x14ac:dyDescent="0.25">
      <c r="M2775">
        <v>1.0600495193280599</v>
      </c>
      <c r="N2775">
        <v>1.0602109131680499</v>
      </c>
      <c r="O2775" s="1">
        <v>7.2044896971193999E-9</v>
      </c>
      <c r="P2775" s="2">
        <f t="shared" si="99"/>
        <v>3.6155193055717474</v>
      </c>
    </row>
    <row r="2776" spans="13:16" x14ac:dyDescent="0.25">
      <c r="M2776">
        <v>2.2978221143719901</v>
      </c>
      <c r="N2776">
        <v>2.2975712430130399</v>
      </c>
      <c r="O2776" s="1">
        <v>2.9253874048799399E-8</v>
      </c>
      <c r="P2776" s="2">
        <f t="shared" si="99"/>
        <v>2.1513881763669316</v>
      </c>
    </row>
    <row r="2777" spans="13:16" x14ac:dyDescent="0.25">
      <c r="M2777">
        <v>0.96977279151518603</v>
      </c>
      <c r="N2777">
        <v>0.96966871736245297</v>
      </c>
      <c r="O2777" s="1">
        <v>3.4089975301139E-9</v>
      </c>
      <c r="P2777" s="2">
        <f t="shared" si="99"/>
        <v>3.1773062818094751</v>
      </c>
    </row>
    <row r="2778" spans="13:16" x14ac:dyDescent="0.25">
      <c r="M2778">
        <v>1.0603926362991101</v>
      </c>
      <c r="N2778">
        <v>1.0605390045233001</v>
      </c>
      <c r="O2778" s="1">
        <v>2.4515087784671498E-9</v>
      </c>
      <c r="P2778" s="2">
        <f t="shared" si="99"/>
        <v>8.7389681165783504</v>
      </c>
    </row>
    <row r="2779" spans="13:16" x14ac:dyDescent="0.25">
      <c r="M2779">
        <v>0.631300432025105</v>
      </c>
      <c r="N2779">
        <v>0.63122218872222302</v>
      </c>
      <c r="O2779" s="1">
        <v>7.7647366590127995E-9</v>
      </c>
      <c r="P2779" s="2">
        <f t="shared" si="99"/>
        <v>0.78843812929244173</v>
      </c>
    </row>
    <row r="2780" spans="13:16" x14ac:dyDescent="0.25">
      <c r="M2780">
        <v>0.99231960518295204</v>
      </c>
      <c r="N2780">
        <v>0.99215408449906095</v>
      </c>
      <c r="O2780" s="1">
        <v>1.9347397504276299E-8</v>
      </c>
      <c r="P2780" s="2">
        <f t="shared" si="99"/>
        <v>1.4160610898554691</v>
      </c>
    </row>
    <row r="2781" spans="13:16" x14ac:dyDescent="0.25">
      <c r="M2781">
        <v>0.63160233184844605</v>
      </c>
      <c r="N2781">
        <v>0.63147568203585003</v>
      </c>
      <c r="O2781" s="1">
        <v>2.7722597059436699E-9</v>
      </c>
      <c r="P2781" s="2">
        <f t="shared" si="99"/>
        <v>5.7859568482052239</v>
      </c>
    </row>
    <row r="2782" spans="13:16" x14ac:dyDescent="0.25">
      <c r="M2782">
        <v>0.99200617890168197</v>
      </c>
      <c r="N2782">
        <v>0.99188574316384504</v>
      </c>
      <c r="O2782" s="1">
        <v>2.6732618963215399E-9</v>
      </c>
      <c r="P2782" s="2">
        <f t="shared" si="99"/>
        <v>5.425868287834116</v>
      </c>
    </row>
    <row r="2783" spans="13:16" x14ac:dyDescent="0.25">
      <c r="M2783">
        <v>0.63196320426963704</v>
      </c>
      <c r="N2783">
        <v>0.63198395540756203</v>
      </c>
      <c r="O2783" s="1">
        <v>3.5810858569910601E-9</v>
      </c>
      <c r="P2783" s="2">
        <f t="shared" si="99"/>
        <v>0.12024557421356595</v>
      </c>
    </row>
    <row r="2784" spans="13:16" x14ac:dyDescent="0.25">
      <c r="M2784">
        <v>0.99130489819294099</v>
      </c>
      <c r="N2784">
        <v>0.99134824116848397</v>
      </c>
      <c r="O2784" s="1">
        <v>5.7506130031853704E-9</v>
      </c>
      <c r="P2784" s="2">
        <f t="shared" si="99"/>
        <v>0.32668056916347765</v>
      </c>
    </row>
    <row r="2785" spans="13:16" x14ac:dyDescent="0.25">
      <c r="M2785">
        <v>0.63261839924418295</v>
      </c>
      <c r="N2785">
        <v>0.63257593903979703</v>
      </c>
      <c r="O2785" s="1">
        <v>5.4099087040116101E-9</v>
      </c>
      <c r="P2785" s="2">
        <f t="shared" si="99"/>
        <v>0.33325312036359045</v>
      </c>
    </row>
    <row r="2786" spans="13:16" x14ac:dyDescent="0.25">
      <c r="M2786">
        <v>0.99080466589835803</v>
      </c>
      <c r="N2786">
        <v>0.99072312644624905</v>
      </c>
      <c r="O2786" s="1">
        <v>1.14043557884004E-8</v>
      </c>
      <c r="P2786" s="2">
        <f t="shared" si="99"/>
        <v>0.58299498661689164</v>
      </c>
    </row>
    <row r="2787" spans="13:16" x14ac:dyDescent="0.25">
      <c r="M2787">
        <v>0.63235654073289904</v>
      </c>
      <c r="N2787">
        <v>0.63218328745338803</v>
      </c>
      <c r="O2787" s="1">
        <v>1.2691916902124099E-8</v>
      </c>
      <c r="P2787" s="2">
        <f t="shared" si="99"/>
        <v>2.3650248495005926</v>
      </c>
    </row>
    <row r="2788" spans="13:16" x14ac:dyDescent="0.25">
      <c r="M2788">
        <v>0.99129328208807999</v>
      </c>
      <c r="N2788">
        <v>0.99113764385621195</v>
      </c>
      <c r="O2788" s="1">
        <v>1.1153497018509401E-8</v>
      </c>
      <c r="P2788" s="2">
        <f t="shared" si="99"/>
        <v>2.1718084631941328</v>
      </c>
    </row>
    <row r="2789" spans="13:16" x14ac:dyDescent="0.25">
      <c r="M2789">
        <v>0.63184838755893802</v>
      </c>
      <c r="N2789">
        <v>0.63184707277832797</v>
      </c>
      <c r="O2789" s="1">
        <v>2.1624766529394599E-9</v>
      </c>
      <c r="P2789" s="2">
        <f t="shared" si="99"/>
        <v>7.9938345240238137E-4</v>
      </c>
    </row>
    <row r="2790" spans="13:16" x14ac:dyDescent="0.25">
      <c r="M2790">
        <v>0.99149513186263905</v>
      </c>
      <c r="N2790">
        <v>0.99149292412659096</v>
      </c>
      <c r="O2790" s="1">
        <v>3.8638163305486701E-9</v>
      </c>
      <c r="P2790" s="2">
        <f t="shared" si="99"/>
        <v>1.2614726066271346E-3</v>
      </c>
    </row>
    <row r="2791" spans="13:16" x14ac:dyDescent="0.25">
      <c r="M2791">
        <v>0.63183563617280103</v>
      </c>
      <c r="N2791">
        <v>0.63175820636072</v>
      </c>
      <c r="O2791" s="1">
        <v>7.0537483590796802E-9</v>
      </c>
      <c r="P2791" s="2">
        <f t="shared" si="99"/>
        <v>0.84995600830960871</v>
      </c>
    </row>
    <row r="2792" spans="13:16" x14ac:dyDescent="0.25">
      <c r="M2792">
        <v>0.99169110807498995</v>
      </c>
      <c r="N2792">
        <v>0.99158688273179496</v>
      </c>
      <c r="O2792" s="1">
        <v>1.2053673342347601E-8</v>
      </c>
      <c r="P2792" s="2">
        <f t="shared" si="99"/>
        <v>0.90121258935633985</v>
      </c>
    </row>
    <row r="2793" spans="13:16" x14ac:dyDescent="0.25">
      <c r="M2793">
        <v>0.63156951448696796</v>
      </c>
      <c r="N2793">
        <v>0.63153644568527201</v>
      </c>
      <c r="O2793" s="1">
        <v>1.6930205165463599E-9</v>
      </c>
      <c r="P2793" s="2">
        <f t="shared" si="99"/>
        <v>0.64591399508688285</v>
      </c>
    </row>
    <row r="2794" spans="13:16" x14ac:dyDescent="0.25">
      <c r="M2794">
        <v>0.99187218889221496</v>
      </c>
      <c r="N2794">
        <v>0.99182144715378595</v>
      </c>
      <c r="O2794" s="1">
        <v>3.38181102565622E-9</v>
      </c>
      <c r="P2794" s="2">
        <f t="shared" si="99"/>
        <v>0.76134473489629606</v>
      </c>
    </row>
    <row r="2795" spans="13:16" x14ac:dyDescent="0.25">
      <c r="M2795">
        <v>0.63148238075665097</v>
      </c>
      <c r="N2795">
        <v>0.63146523227469398</v>
      </c>
      <c r="O2795" s="1">
        <v>1.7240430956455799E-9</v>
      </c>
      <c r="P2795" s="2">
        <f t="shared" si="99"/>
        <v>0.1705702335238462</v>
      </c>
    </row>
    <row r="2796" spans="13:16" x14ac:dyDescent="0.25">
      <c r="M2796">
        <v>0.99193441529434601</v>
      </c>
      <c r="N2796">
        <v>0.99189680144233106</v>
      </c>
      <c r="O2796" s="1">
        <v>5.4571056254943503E-9</v>
      </c>
      <c r="P2796" s="2">
        <f t="shared" si="99"/>
        <v>0.25925865476984061</v>
      </c>
    </row>
    <row r="2797" spans="13:16" x14ac:dyDescent="0.25">
      <c r="M2797">
        <v>6.3717198343044998</v>
      </c>
      <c r="N2797">
        <v>6.3705300206084399</v>
      </c>
      <c r="O2797" s="1">
        <v>2.5169146864384603E-7</v>
      </c>
      <c r="P2797" s="2">
        <f t="shared" si="99"/>
        <v>5.6245713808246061</v>
      </c>
    </row>
    <row r="2798" spans="13:16" x14ac:dyDescent="0.25">
      <c r="M2798">
        <v>2.600208539514</v>
      </c>
      <c r="N2798">
        <v>2.5996919681031798</v>
      </c>
      <c r="O2798" s="1">
        <v>4.9610986251125803E-8</v>
      </c>
      <c r="P2798" s="2">
        <f t="shared" si="99"/>
        <v>5.3787687494459462</v>
      </c>
    </row>
    <row r="2799" spans="13:16" x14ac:dyDescent="0.25">
      <c r="M2799">
        <v>3.0388430555589498</v>
      </c>
      <c r="N2799">
        <v>3.0381564227240401</v>
      </c>
      <c r="O2799" s="1">
        <v>8.1509864046566499E-8</v>
      </c>
      <c r="P2799" s="2">
        <f t="shared" si="99"/>
        <v>5.7841422690495969</v>
      </c>
    </row>
    <row r="2800" spans="13:16" x14ac:dyDescent="0.25">
      <c r="M2800">
        <v>1.0030970619205499</v>
      </c>
      <c r="N2800">
        <v>1.0029777808979301</v>
      </c>
      <c r="O2800" s="1">
        <v>8.3696789209500696E-9</v>
      </c>
      <c r="P2800" s="2">
        <f t="shared" si="99"/>
        <v>1.6999412392769919</v>
      </c>
    </row>
    <row r="2801" spans="13:16" x14ac:dyDescent="0.25">
      <c r="M2801">
        <v>6.3716454531069999</v>
      </c>
      <c r="N2801">
        <v>6.3724478544597796</v>
      </c>
      <c r="O2801" s="1">
        <v>1.7968506166289401E-7</v>
      </c>
      <c r="P2801" s="2">
        <f t="shared" si="99"/>
        <v>3.5832023262486139</v>
      </c>
    </row>
    <row r="2802" spans="13:16" x14ac:dyDescent="0.25">
      <c r="M2802">
        <v>2.5999245706993501</v>
      </c>
      <c r="N2802">
        <v>2.6002128088602898</v>
      </c>
      <c r="O2802" s="1">
        <v>4.4537553487728597E-8</v>
      </c>
      <c r="P2802" s="2">
        <f t="shared" si="99"/>
        <v>1.8654198741471735</v>
      </c>
    </row>
    <row r="2803" spans="13:16" x14ac:dyDescent="0.25">
      <c r="M2803">
        <v>3.03798246478275</v>
      </c>
      <c r="N2803">
        <v>3.0384935900750101</v>
      </c>
      <c r="O2803" s="1">
        <v>4.5618078523142898E-8</v>
      </c>
      <c r="P2803" s="2">
        <f t="shared" si="99"/>
        <v>5.7268756783647898</v>
      </c>
    </row>
    <row r="2804" spans="13:16" x14ac:dyDescent="0.25">
      <c r="M2804">
        <v>1.0027378592595999</v>
      </c>
      <c r="N2804">
        <v>1.0027025064100501</v>
      </c>
      <c r="O2804" s="1">
        <v>8.0945521369018293E-9</v>
      </c>
      <c r="P2804" s="2">
        <f t="shared" si="99"/>
        <v>0.15440310348902375</v>
      </c>
    </row>
    <row r="2805" spans="13:16" x14ac:dyDescent="0.25">
      <c r="M2805">
        <v>6.3730716053025001</v>
      </c>
      <c r="N2805">
        <v>6.3737339074829702</v>
      </c>
      <c r="O2805" s="1">
        <v>1.8461832612104001E-7</v>
      </c>
      <c r="P2805" s="2">
        <f t="shared" si="99"/>
        <v>2.3759514424798747</v>
      </c>
    </row>
    <row r="2806" spans="13:16" x14ac:dyDescent="0.25">
      <c r="M2806">
        <v>2.6001478306983001</v>
      </c>
      <c r="N2806">
        <v>2.6005620427163598</v>
      </c>
      <c r="O2806" s="1">
        <v>5.5699513449492198E-8</v>
      </c>
      <c r="P2806" s="2">
        <f t="shared" si="99"/>
        <v>3.0803069053854535</v>
      </c>
    </row>
    <row r="2807" spans="13:16" x14ac:dyDescent="0.25">
      <c r="M2807">
        <v>3.0382405469392002</v>
      </c>
      <c r="N2807">
        <v>3.0387196504690999</v>
      </c>
      <c r="O2807" s="1">
        <v>5.5285784915516898E-8</v>
      </c>
      <c r="P2807" s="2">
        <f t="shared" si="99"/>
        <v>4.1518844801259291</v>
      </c>
    </row>
    <row r="2808" spans="13:16" x14ac:dyDescent="0.25">
      <c r="M2808">
        <v>1.0025660449131999</v>
      </c>
      <c r="N2808">
        <v>1.00251800269671</v>
      </c>
      <c r="O2808" s="1">
        <v>1.08542638306366E-8</v>
      </c>
      <c r="P2808" s="2">
        <f t="shared" si="99"/>
        <v>0.21264035970348907</v>
      </c>
    </row>
    <row r="2809" spans="13:16" x14ac:dyDescent="0.25">
      <c r="M2809">
        <v>6.3743832987579996</v>
      </c>
      <c r="N2809">
        <v>6.3758093234536704</v>
      </c>
      <c r="O2809" s="1">
        <v>3.28429841683945E-7</v>
      </c>
      <c r="P2809" s="2">
        <f t="shared" si="99"/>
        <v>6.1917224763632595</v>
      </c>
    </row>
    <row r="2810" spans="13:16" x14ac:dyDescent="0.25">
      <c r="M2810">
        <v>2.6004420872790002</v>
      </c>
      <c r="N2810">
        <v>2.6011255821572998</v>
      </c>
      <c r="O2810" s="1">
        <v>5.5138302126764897E-8</v>
      </c>
      <c r="P2810" s="2">
        <f t="shared" si="99"/>
        <v>8.4726085251562573</v>
      </c>
    </row>
    <row r="2811" spans="13:16" x14ac:dyDescent="0.25">
      <c r="M2811">
        <v>3.0382637986396501</v>
      </c>
      <c r="N2811">
        <v>3.0390844031248099</v>
      </c>
      <c r="O2811" s="1">
        <v>8.2199913790204299E-8</v>
      </c>
      <c r="P2811" s="2">
        <f t="shared" si="99"/>
        <v>8.1921219866844091</v>
      </c>
    </row>
    <row r="2812" spans="13:16" x14ac:dyDescent="0.25">
      <c r="M2812">
        <v>1.0023976675791999</v>
      </c>
      <c r="N2812">
        <v>1.0022204030266799</v>
      </c>
      <c r="O2812" s="1">
        <v>8.7940185697975201E-9</v>
      </c>
      <c r="P2812" s="2">
        <f t="shared" si="99"/>
        <v>3.5731925433987173</v>
      </c>
    </row>
    <row r="2813" spans="13:16" x14ac:dyDescent="0.25">
      <c r="M2813">
        <v>6.3757888265801501</v>
      </c>
      <c r="N2813">
        <v>6.37587407688914</v>
      </c>
      <c r="O2813" s="1">
        <v>3.5057789267534401E-7</v>
      </c>
      <c r="P2813" s="2">
        <f t="shared" si="99"/>
        <v>2.073038641258142E-2</v>
      </c>
    </row>
    <row r="2814" spans="13:16" x14ac:dyDescent="0.25">
      <c r="M2814">
        <v>2.6011464835056501</v>
      </c>
      <c r="N2814">
        <v>2.6011431637249101</v>
      </c>
      <c r="O2814" s="1">
        <v>7.3092848515097103E-8</v>
      </c>
      <c r="P2814" s="2">
        <f t="shared" si="99"/>
        <v>1.5078006106117341E-4</v>
      </c>
    </row>
    <row r="2815" spans="13:16" x14ac:dyDescent="0.25">
      <c r="M2815">
        <v>3.0389445094069498</v>
      </c>
      <c r="N2815">
        <v>3.0390957822820801</v>
      </c>
      <c r="O2815" s="1">
        <v>9.8161973540704101E-8</v>
      </c>
      <c r="P2815" s="2">
        <f t="shared" si="99"/>
        <v>0.23311962794526395</v>
      </c>
    </row>
    <row r="2816" spans="13:16" x14ac:dyDescent="0.25">
      <c r="M2816">
        <v>1.0023321265833001</v>
      </c>
      <c r="N2816">
        <v>1.0022111208309199</v>
      </c>
      <c r="O2816" s="1">
        <v>1.3763962549701899E-8</v>
      </c>
      <c r="P2816" s="2">
        <f t="shared" si="99"/>
        <v>1.0638209786038006</v>
      </c>
    </row>
    <row r="2817" spans="13:16" x14ac:dyDescent="0.25">
      <c r="M2817">
        <v>6.3770140544139</v>
      </c>
      <c r="N2817">
        <v>6.3765429765103399</v>
      </c>
      <c r="O2817" s="1">
        <v>5.6815796991316602E-7</v>
      </c>
      <c r="P2817" s="2">
        <f t="shared" si="99"/>
        <v>0.39058572258794366</v>
      </c>
    </row>
    <row r="2818" spans="13:16" x14ac:dyDescent="0.25">
      <c r="M2818">
        <v>2.6017541440696501</v>
      </c>
      <c r="N2818">
        <v>2.6013247769093599</v>
      </c>
      <c r="O2818" s="1">
        <v>1.2089542477037501E-7</v>
      </c>
      <c r="P2818" s="2">
        <f t="shared" si="99"/>
        <v>1.5249225409962102</v>
      </c>
    </row>
    <row r="2819" spans="13:16" x14ac:dyDescent="0.25">
      <c r="M2819">
        <v>3.0390931038738498</v>
      </c>
      <c r="N2819">
        <v>3.0392133241156798</v>
      </c>
      <c r="O2819" s="1">
        <v>1.1569923464433001E-7</v>
      </c>
      <c r="P2819" s="2">
        <f t="shared" ref="P2819:P2882" si="100">(M2819-N2819)^2/O2819</f>
        <v>0.12491790970004564</v>
      </c>
    </row>
    <row r="2820" spans="13:16" x14ac:dyDescent="0.25">
      <c r="M2820">
        <v>1.00230876566335</v>
      </c>
      <c r="N2820">
        <v>1.0021152467776899</v>
      </c>
      <c r="O2820" s="1">
        <v>1.7953286192486799E-8</v>
      </c>
      <c r="P2820" s="2">
        <f t="shared" si="100"/>
        <v>2.08594452879611</v>
      </c>
    </row>
    <row r="2821" spans="13:16" x14ac:dyDescent="0.25">
      <c r="M2821">
        <v>6.3780427366807002</v>
      </c>
      <c r="N2821">
        <v>6.3775364989608496</v>
      </c>
      <c r="O2821" s="1">
        <v>5.8818856397416704E-7</v>
      </c>
      <c r="P2821" s="2">
        <f t="shared" si="100"/>
        <v>0.43570488223701415</v>
      </c>
    </row>
    <row r="2822" spans="13:16" x14ac:dyDescent="0.25">
      <c r="M2822">
        <v>2.6020905274016499</v>
      </c>
      <c r="N2822">
        <v>2.6015945167981802</v>
      </c>
      <c r="O2822" s="1">
        <v>1.2656754485548301E-7</v>
      </c>
      <c r="P2822" s="2">
        <f t="shared" si="100"/>
        <v>1.9438357521693495</v>
      </c>
    </row>
    <row r="2823" spans="13:16" x14ac:dyDescent="0.25">
      <c r="M2823">
        <v>3.0395364366086</v>
      </c>
      <c r="N2823">
        <v>3.0393878956610001</v>
      </c>
      <c r="O2823" s="1">
        <v>1.4846819916908401E-7</v>
      </c>
      <c r="P2823" s="2">
        <f t="shared" si="100"/>
        <v>0.14861373167688804</v>
      </c>
    </row>
    <row r="2824" spans="13:16" x14ac:dyDescent="0.25">
      <c r="M2824">
        <v>1.002078603927</v>
      </c>
      <c r="N2824">
        <v>1.00197287969453</v>
      </c>
      <c r="O2824" s="1">
        <v>2.46276681042657E-8</v>
      </c>
      <c r="P2824" s="2">
        <f t="shared" si="100"/>
        <v>0.45386405582744299</v>
      </c>
    </row>
    <row r="2825" spans="13:16" x14ac:dyDescent="0.25">
      <c r="M2825">
        <v>6.3781386359299503</v>
      </c>
      <c r="N2825">
        <v>6.3779609223970999</v>
      </c>
      <c r="O2825" s="1">
        <v>4.3918528409378502E-7</v>
      </c>
      <c r="P2825" s="2">
        <f t="shared" si="100"/>
        <v>7.1910651157986713E-2</v>
      </c>
    </row>
    <row r="2826" spans="13:16" x14ac:dyDescent="0.25">
      <c r="M2826">
        <v>2.60181276568815</v>
      </c>
      <c r="N2826">
        <v>2.6017097428543998</v>
      </c>
      <c r="O2826" s="1">
        <v>1.0237503047089E-7</v>
      </c>
      <c r="P2826" s="2">
        <f t="shared" si="100"/>
        <v>0.10367473616466354</v>
      </c>
    </row>
    <row r="2827" spans="13:16" x14ac:dyDescent="0.25">
      <c r="M2827">
        <v>3.0394783717205498</v>
      </c>
      <c r="N2827">
        <v>3.0394624657475502</v>
      </c>
      <c r="O2827" s="1">
        <v>1.0584505038440701E-7</v>
      </c>
      <c r="P2827" s="2">
        <f t="shared" si="100"/>
        <v>2.3902863303047013E-3</v>
      </c>
    </row>
    <row r="2828" spans="13:16" x14ac:dyDescent="0.25">
      <c r="M2828">
        <v>1.00229681021975</v>
      </c>
      <c r="N2828">
        <v>1.0019120747427701</v>
      </c>
      <c r="O2828" s="1">
        <v>2.7206245137484E-8</v>
      </c>
      <c r="P2828" s="2">
        <f t="shared" si="100"/>
        <v>5.4407135750986324</v>
      </c>
    </row>
    <row r="2829" spans="13:16" x14ac:dyDescent="0.25">
      <c r="M2829">
        <v>6.3773621432551497</v>
      </c>
      <c r="N2829">
        <v>6.3775452664669503</v>
      </c>
      <c r="O2829" s="1">
        <v>6.4302833808426603E-7</v>
      </c>
      <c r="P2829" s="2">
        <f t="shared" si="100"/>
        <v>5.2150284387260035E-2</v>
      </c>
    </row>
    <row r="2830" spans="13:16" x14ac:dyDescent="0.25">
      <c r="M2830">
        <v>2.6016008369432502</v>
      </c>
      <c r="N2830">
        <v>2.60159689710067</v>
      </c>
      <c r="O2830" s="1">
        <v>1.0457691307075E-7</v>
      </c>
      <c r="P2830" s="2">
        <f t="shared" si="100"/>
        <v>1.4843007984088335E-4</v>
      </c>
    </row>
    <row r="2831" spans="13:16" x14ac:dyDescent="0.25">
      <c r="M2831">
        <v>3.0392983814290502</v>
      </c>
      <c r="N2831">
        <v>3.03938943612056</v>
      </c>
      <c r="O2831" s="1">
        <v>2.0415403365278101E-7</v>
      </c>
      <c r="P2831" s="2">
        <f t="shared" si="100"/>
        <v>4.0611281088137004E-2</v>
      </c>
    </row>
    <row r="2832" spans="13:16" x14ac:dyDescent="0.25">
      <c r="M2832">
        <v>1.0019830310971001</v>
      </c>
      <c r="N2832">
        <v>1.0019716235409899</v>
      </c>
      <c r="O2832" s="1">
        <v>4.1543764388341203E-8</v>
      </c>
      <c r="P2832" s="2">
        <f t="shared" si="100"/>
        <v>3.13241561815113E-3</v>
      </c>
    </row>
    <row r="2833" spans="13:16" x14ac:dyDescent="0.25">
      <c r="M2833">
        <v>6.3808710874112498</v>
      </c>
      <c r="N2833">
        <v>6.38026508290762</v>
      </c>
      <c r="O2833" s="1">
        <v>3.9613092992372302E-7</v>
      </c>
      <c r="P2833" s="2">
        <f t="shared" si="100"/>
        <v>0.92707090176046547</v>
      </c>
    </row>
    <row r="2834" spans="13:16" x14ac:dyDescent="0.25">
      <c r="M2834">
        <v>2.6025557282898002</v>
      </c>
      <c r="N2834">
        <v>2.6023352510460098</v>
      </c>
      <c r="O2834" s="1">
        <v>8.7182621296895804E-8</v>
      </c>
      <c r="P2834" s="2">
        <f t="shared" si="100"/>
        <v>0.55756771597702104</v>
      </c>
    </row>
    <row r="2835" spans="13:16" x14ac:dyDescent="0.25">
      <c r="M2835">
        <v>3.0402682398324998</v>
      </c>
      <c r="N2835">
        <v>3.0398672460554801</v>
      </c>
      <c r="O2835" s="1">
        <v>1.13220325208398E-7</v>
      </c>
      <c r="P2835" s="2">
        <f t="shared" si="100"/>
        <v>1.4202044457352616</v>
      </c>
    </row>
    <row r="2836" spans="13:16" x14ac:dyDescent="0.25">
      <c r="M2836">
        <v>1.001437762271</v>
      </c>
      <c r="N2836">
        <v>1.0015821045354401</v>
      </c>
      <c r="O2836" s="1">
        <v>3.4909757459062302E-8</v>
      </c>
      <c r="P2836" s="2">
        <f t="shared" si="100"/>
        <v>0.59681564181911373</v>
      </c>
    </row>
    <row r="2837" spans="13:16" x14ac:dyDescent="0.25">
      <c r="M2837">
        <v>6.3803860785811004</v>
      </c>
      <c r="N2837">
        <v>6.3799398410135701</v>
      </c>
      <c r="O2837" s="1">
        <v>3.4866465581761401E-7</v>
      </c>
      <c r="P2837" s="2">
        <f t="shared" si="100"/>
        <v>0.57111600890079262</v>
      </c>
    </row>
    <row r="2838" spans="13:16" x14ac:dyDescent="0.25">
      <c r="M2838">
        <v>2.6029585551899501</v>
      </c>
      <c r="N2838">
        <v>2.60224696252864</v>
      </c>
      <c r="O2838" s="1">
        <v>9.4452003916272705E-8</v>
      </c>
      <c r="P2838" s="2">
        <f t="shared" si="100"/>
        <v>5.3610732926253117</v>
      </c>
    </row>
    <row r="2839" spans="13:16" x14ac:dyDescent="0.25">
      <c r="M2839">
        <v>3.0400833984532998</v>
      </c>
      <c r="N2839">
        <v>3.03981011521654</v>
      </c>
      <c r="O2839" s="1">
        <v>1.1588467006141E-7</v>
      </c>
      <c r="P2839" s="2">
        <f t="shared" si="100"/>
        <v>0.64446598030897106</v>
      </c>
    </row>
    <row r="2840" spans="13:16" x14ac:dyDescent="0.25">
      <c r="M2840">
        <v>1.0014677676835499</v>
      </c>
      <c r="N2840">
        <v>1.0016286673994399</v>
      </c>
      <c r="O2840" s="1">
        <v>3.8672742067849902E-8</v>
      </c>
      <c r="P2840" s="2">
        <f t="shared" si="100"/>
        <v>0.66943064259694862</v>
      </c>
    </row>
    <row r="2841" spans="13:16" x14ac:dyDescent="0.25">
      <c r="M2841">
        <v>6.3806815761575999</v>
      </c>
      <c r="N2841">
        <v>6.3811654790733296</v>
      </c>
      <c r="O2841" s="1">
        <v>5.9551163588092297E-7</v>
      </c>
      <c r="P2841" s="2">
        <f t="shared" si="100"/>
        <v>0.39321151383610625</v>
      </c>
    </row>
    <row r="2842" spans="13:16" x14ac:dyDescent="0.25">
      <c r="M2842">
        <v>2.60239686990165</v>
      </c>
      <c r="N2842">
        <v>2.60257966017753</v>
      </c>
      <c r="O2842" s="1">
        <v>1.2988777371441901E-7</v>
      </c>
      <c r="P2842" s="2">
        <f t="shared" si="100"/>
        <v>0.25723964620211037</v>
      </c>
    </row>
    <row r="2843" spans="13:16" x14ac:dyDescent="0.25">
      <c r="M2843">
        <v>3.0396825651342501</v>
      </c>
      <c r="N2843">
        <v>3.0400253968662998</v>
      </c>
      <c r="O2843" s="1">
        <v>1.08346726628821E-7</v>
      </c>
      <c r="P2843" s="2">
        <f t="shared" si="100"/>
        <v>1.0847913929405353</v>
      </c>
    </row>
    <row r="2844" spans="13:16" x14ac:dyDescent="0.25">
      <c r="M2844">
        <v>1.0016000684105999</v>
      </c>
      <c r="N2844">
        <v>1.0014532240716401</v>
      </c>
      <c r="O2844" s="1">
        <v>2.7127073263481899E-8</v>
      </c>
      <c r="P2844" s="2">
        <f t="shared" si="100"/>
        <v>0.79489813276614729</v>
      </c>
    </row>
    <row r="2845" spans="13:16" x14ac:dyDescent="0.25">
      <c r="M2845">
        <v>6.3797171783249</v>
      </c>
      <c r="N2845">
        <v>6.3807880263015901</v>
      </c>
      <c r="O2845" s="1">
        <v>4.8072248904294601E-7</v>
      </c>
      <c r="P2845" s="2">
        <f t="shared" si="100"/>
        <v>2.3853999247346325</v>
      </c>
    </row>
    <row r="2846" spans="13:16" x14ac:dyDescent="0.25">
      <c r="M2846">
        <v>2.6020751744797499</v>
      </c>
      <c r="N2846">
        <v>2.6024772034554302</v>
      </c>
      <c r="O2846" s="1">
        <v>8.4446657015999805E-8</v>
      </c>
      <c r="P2846" s="2">
        <f t="shared" si="100"/>
        <v>1.9139573193044077</v>
      </c>
    </row>
    <row r="2847" spans="13:16" x14ac:dyDescent="0.25">
      <c r="M2847">
        <v>3.03924743022985</v>
      </c>
      <c r="N2847">
        <v>3.0399591005849098</v>
      </c>
      <c r="O2847" s="1">
        <v>1.54454171988899E-7</v>
      </c>
      <c r="P2847" s="2">
        <f t="shared" si="100"/>
        <v>3.2791260200298189</v>
      </c>
    </row>
    <row r="2848" spans="13:16" x14ac:dyDescent="0.25">
      <c r="M2848">
        <v>1.00137372957335</v>
      </c>
      <c r="N2848">
        <v>1.00150724748803</v>
      </c>
      <c r="O2848" s="1">
        <v>2.17878440051257E-8</v>
      </c>
      <c r="P2848" s="2">
        <f t="shared" si="100"/>
        <v>0.81821007788994338</v>
      </c>
    </row>
    <row r="2849" spans="13:16" x14ac:dyDescent="0.25">
      <c r="M2849">
        <v>6.3834449750314999</v>
      </c>
      <c r="N2849">
        <v>6.3835462813247696</v>
      </c>
      <c r="O2849" s="1">
        <v>1.7005245463457199E-7</v>
      </c>
      <c r="P2849" s="2">
        <f t="shared" si="100"/>
        <v>6.0351760744141357E-2</v>
      </c>
    </row>
    <row r="2850" spans="13:16" x14ac:dyDescent="0.25">
      <c r="M2850">
        <v>2.6031991176315001</v>
      </c>
      <c r="N2850">
        <v>2.60322586437236</v>
      </c>
      <c r="O2850" s="1">
        <v>3.6950860083385397E-8</v>
      </c>
      <c r="P2850" s="2">
        <f t="shared" si="100"/>
        <v>1.9360527603742135E-2</v>
      </c>
    </row>
    <row r="2851" spans="13:16" x14ac:dyDescent="0.25">
      <c r="M2851">
        <v>3.0404287654259501</v>
      </c>
      <c r="N2851">
        <v>3.0404435069335101</v>
      </c>
      <c r="O2851" s="1">
        <v>6.1825205105867804E-8</v>
      </c>
      <c r="P2851" s="2">
        <f t="shared" si="100"/>
        <v>3.5149425670128174E-3</v>
      </c>
    </row>
    <row r="2852" spans="13:16" x14ac:dyDescent="0.25">
      <c r="M2852">
        <v>1.000894614018</v>
      </c>
      <c r="N2852">
        <v>1.0011126094234399</v>
      </c>
      <c r="O2852" s="1">
        <v>1.1018976010327001E-8</v>
      </c>
      <c r="P2852" s="2">
        <f t="shared" si="100"/>
        <v>4.3127416511666858</v>
      </c>
    </row>
    <row r="2853" spans="13:16" x14ac:dyDescent="0.25">
      <c r="M2853">
        <v>6.3857590154289001</v>
      </c>
      <c r="N2853">
        <v>6.3853387400533101</v>
      </c>
      <c r="O2853" s="1">
        <v>1.0092695178742201E-7</v>
      </c>
      <c r="P2853" s="2">
        <f t="shared" si="100"/>
        <v>1.7500914096694831</v>
      </c>
    </row>
    <row r="2854" spans="13:16" x14ac:dyDescent="0.25">
      <c r="M2854">
        <v>2.6035909484082498</v>
      </c>
      <c r="N2854">
        <v>2.60371232548682</v>
      </c>
      <c r="O2854" s="1">
        <v>1.9526579237315998E-8</v>
      </c>
      <c r="P2854" s="2">
        <f t="shared" si="100"/>
        <v>0.75447906277810695</v>
      </c>
    </row>
    <row r="2855" spans="13:16" x14ac:dyDescent="0.25">
      <c r="M2855">
        <v>3.0409727851772002</v>
      </c>
      <c r="N2855">
        <v>3.0407582287419102</v>
      </c>
      <c r="O2855" s="1">
        <v>2.9605280816171599E-8</v>
      </c>
      <c r="P2855" s="2">
        <f t="shared" si="100"/>
        <v>1.5549409650999633</v>
      </c>
    </row>
    <row r="2856" spans="13:16" x14ac:dyDescent="0.25">
      <c r="M2856">
        <v>1.0007946773359</v>
      </c>
      <c r="N2856">
        <v>1.0008563276448701</v>
      </c>
      <c r="O2856" s="1">
        <v>5.7812520724898496E-9</v>
      </c>
      <c r="P2856" s="2">
        <f t="shared" si="100"/>
        <v>0.65742862418925685</v>
      </c>
    </row>
    <row r="2857" spans="13:16" x14ac:dyDescent="0.25">
      <c r="M2857">
        <v>6.3873457818710504</v>
      </c>
      <c r="N2857">
        <v>6.3885516729946801</v>
      </c>
      <c r="O2857" s="1">
        <v>3.02275570463612E-7</v>
      </c>
      <c r="P2857" s="2">
        <f t="shared" si="100"/>
        <v>4.8107539746547188</v>
      </c>
    </row>
    <row r="2858" spans="13:16" x14ac:dyDescent="0.25">
      <c r="M2858">
        <v>2.6040010670845501</v>
      </c>
      <c r="N2858">
        <v>2.6045841793550402</v>
      </c>
      <c r="O2858" s="1">
        <v>4.8452971401277502E-8</v>
      </c>
      <c r="P2858" s="2">
        <f t="shared" si="100"/>
        <v>7.0175246256838797</v>
      </c>
    </row>
    <row r="2859" spans="13:16" x14ac:dyDescent="0.25">
      <c r="M2859">
        <v>3.0408516214819001</v>
      </c>
      <c r="N2859">
        <v>3.0413222193602301</v>
      </c>
      <c r="O2859" s="1">
        <v>5.6895704659567199E-8</v>
      </c>
      <c r="P2859" s="2">
        <f t="shared" si="100"/>
        <v>3.8924267554771914</v>
      </c>
    </row>
    <row r="2860" spans="13:16" x14ac:dyDescent="0.25">
      <c r="M2860">
        <v>1.0005015803366</v>
      </c>
      <c r="N2860">
        <v>1.00039729368817</v>
      </c>
      <c r="O2860" s="1">
        <v>5.5972246424501398E-9</v>
      </c>
      <c r="P2860" s="2">
        <f t="shared" si="100"/>
        <v>1.9430531621469131</v>
      </c>
    </row>
    <row r="2861" spans="13:16" x14ac:dyDescent="0.25">
      <c r="M2861">
        <v>6.3889609299230496</v>
      </c>
      <c r="N2861">
        <v>6.3886745921196697</v>
      </c>
      <c r="O2861" s="1">
        <v>2.1988417440799799E-7</v>
      </c>
      <c r="P2861" s="2">
        <f t="shared" si="100"/>
        <v>0.37287511875374396</v>
      </c>
    </row>
    <row r="2862" spans="13:16" x14ac:dyDescent="0.25">
      <c r="M2862">
        <v>2.6047137788200501</v>
      </c>
      <c r="N2862">
        <v>2.60461753148443</v>
      </c>
      <c r="O2862" s="1">
        <v>2.7691163723328499E-8</v>
      </c>
      <c r="P2862" s="2">
        <f t="shared" si="100"/>
        <v>0.33453088886114296</v>
      </c>
    </row>
    <row r="2863" spans="13:16" x14ac:dyDescent="0.25">
      <c r="M2863">
        <v>3.0414256245681499</v>
      </c>
      <c r="N2863">
        <v>3.04134379273468</v>
      </c>
      <c r="O2863" s="1">
        <v>3.6349270666745899E-8</v>
      </c>
      <c r="P2863" s="2">
        <f t="shared" si="100"/>
        <v>0.18422512601246102</v>
      </c>
    </row>
    <row r="2864" spans="13:16" x14ac:dyDescent="0.25">
      <c r="M2864">
        <v>1.000465791928</v>
      </c>
      <c r="N2864">
        <v>1.0003797409136399</v>
      </c>
      <c r="O2864" s="1">
        <v>7.4324606786288703E-9</v>
      </c>
      <c r="P2864" s="2">
        <f t="shared" si="100"/>
        <v>0.99627531077206799</v>
      </c>
    </row>
    <row r="2865" spans="13:16" x14ac:dyDescent="0.25">
      <c r="M2865">
        <v>0.60980739034790499</v>
      </c>
      <c r="N2865">
        <v>0.60982765847402098</v>
      </c>
      <c r="O2865" s="1">
        <v>1.3246806398487899E-9</v>
      </c>
      <c r="P2865" s="2">
        <f t="shared" si="100"/>
        <v>0.31011016836543387</v>
      </c>
    </row>
    <row r="2866" spans="13:16" x14ac:dyDescent="0.25">
      <c r="M2866">
        <v>0.99561997857749196</v>
      </c>
      <c r="N2866">
        <v>0.99564197349426298</v>
      </c>
      <c r="O2866" s="1">
        <v>1.5713994139035499E-9</v>
      </c>
      <c r="P2866" s="2">
        <f t="shared" si="100"/>
        <v>0.30786339837192106</v>
      </c>
    </row>
    <row r="2867" spans="13:16" x14ac:dyDescent="0.25">
      <c r="M2867">
        <v>0.60985477114072695</v>
      </c>
      <c r="N2867">
        <v>0.60985296885701501</v>
      </c>
      <c r="O2867" s="1">
        <v>9.5005635712773303E-10</v>
      </c>
      <c r="P2867" s="2">
        <f t="shared" si="100"/>
        <v>3.4189830465819258E-3</v>
      </c>
    </row>
    <row r="2868" spans="13:16" x14ac:dyDescent="0.25">
      <c r="M2868">
        <v>0.99561720507802398</v>
      </c>
      <c r="N2868">
        <v>0.99561413473732896</v>
      </c>
      <c r="O2868" s="1">
        <v>2.1549052873633799E-9</v>
      </c>
      <c r="P2868" s="2">
        <f t="shared" si="100"/>
        <v>4.374666505663643E-3</v>
      </c>
    </row>
    <row r="2869" spans="13:16" x14ac:dyDescent="0.25">
      <c r="M2869">
        <v>0.60983851194824801</v>
      </c>
      <c r="N2869">
        <v>0.60982748021695699</v>
      </c>
      <c r="O2869" s="1">
        <v>7.5549060796065503E-10</v>
      </c>
      <c r="P2869" s="2">
        <f t="shared" si="100"/>
        <v>0.16108617896102431</v>
      </c>
    </row>
    <row r="2870" spans="13:16" x14ac:dyDescent="0.25">
      <c r="M2870">
        <v>0.99565757235162</v>
      </c>
      <c r="N2870">
        <v>0.99564216956512697</v>
      </c>
      <c r="O2870" s="1">
        <v>1.2951156275929999E-9</v>
      </c>
      <c r="P2870" s="2">
        <f t="shared" si="100"/>
        <v>0.18318505830321088</v>
      </c>
    </row>
    <row r="2871" spans="13:16" x14ac:dyDescent="0.25">
      <c r="M2871">
        <v>0.60986196677844595</v>
      </c>
      <c r="N2871">
        <v>0.60983013515671003</v>
      </c>
      <c r="O2871" s="1">
        <v>8.6960842448210302E-10</v>
      </c>
      <c r="P2871" s="2">
        <f t="shared" si="100"/>
        <v>1.1651820679431781</v>
      </c>
    </row>
    <row r="2872" spans="13:16" x14ac:dyDescent="0.25">
      <c r="M2872">
        <v>0.99568195270341098</v>
      </c>
      <c r="N2872">
        <v>0.99563924931866199</v>
      </c>
      <c r="O2872" s="1">
        <v>1.3517047701842999E-9</v>
      </c>
      <c r="P2872" s="2">
        <f t="shared" si="100"/>
        <v>1.3490956821669264</v>
      </c>
    </row>
    <row r="2873" spans="13:16" x14ac:dyDescent="0.25">
      <c r="M2873">
        <v>0.60985997987505303</v>
      </c>
      <c r="N2873">
        <v>0.60984870428929305</v>
      </c>
      <c r="O2873" s="1">
        <v>6.3255752029725402E-10</v>
      </c>
      <c r="P2873" s="2">
        <f t="shared" si="100"/>
        <v>0.20099173616775268</v>
      </c>
    </row>
    <row r="2874" spans="13:16" x14ac:dyDescent="0.25">
      <c r="M2874">
        <v>0.99563872988645596</v>
      </c>
      <c r="N2874">
        <v>0.99561882517744005</v>
      </c>
      <c r="O2874" s="1">
        <v>1.6292296894197599E-9</v>
      </c>
      <c r="P2874" s="2">
        <f t="shared" si="100"/>
        <v>0.24318083790224415</v>
      </c>
    </row>
    <row r="2875" spans="13:16" x14ac:dyDescent="0.25">
      <c r="M2875">
        <v>0.60981040323387603</v>
      </c>
      <c r="N2875">
        <v>0.60982671267056598</v>
      </c>
      <c r="O2875" s="1">
        <v>6.5418580379543304E-10</v>
      </c>
      <c r="P2875" s="2">
        <f t="shared" si="100"/>
        <v>0.40660883131422987</v>
      </c>
    </row>
    <row r="2876" spans="13:16" x14ac:dyDescent="0.25">
      <c r="M2876">
        <v>0.99561878916151203</v>
      </c>
      <c r="N2876">
        <v>0.99564301381598397</v>
      </c>
      <c r="O2876" s="1">
        <v>1.21076363398346E-9</v>
      </c>
      <c r="P2876" s="2">
        <f t="shared" si="100"/>
        <v>0.48468079798043651</v>
      </c>
    </row>
    <row r="2877" spans="13:16" x14ac:dyDescent="0.25">
      <c r="M2877">
        <v>0.60986782503011905</v>
      </c>
      <c r="N2877">
        <v>0.609807878206438</v>
      </c>
      <c r="O2877" s="1">
        <v>4.6169576370564202E-10</v>
      </c>
      <c r="P2877" s="2">
        <f t="shared" si="100"/>
        <v>7.783527491357848</v>
      </c>
    </row>
    <row r="2878" spans="13:16" x14ac:dyDescent="0.25">
      <c r="M2878">
        <v>0.99577429126037398</v>
      </c>
      <c r="N2878">
        <v>0.99566373105262895</v>
      </c>
      <c r="O2878" s="1">
        <v>1.33383331407246E-9</v>
      </c>
      <c r="P2878" s="2">
        <f t="shared" si="100"/>
        <v>9.1642331974016695</v>
      </c>
    </row>
    <row r="2879" spans="13:16" x14ac:dyDescent="0.25">
      <c r="M2879">
        <v>0.60984146953833196</v>
      </c>
      <c r="N2879">
        <v>0.60981545383849001</v>
      </c>
      <c r="O2879" s="1">
        <v>5.3399633997058303E-10</v>
      </c>
      <c r="P2879" s="2">
        <f t="shared" si="100"/>
        <v>1.2674555752645282</v>
      </c>
    </row>
    <row r="2880" spans="13:16" x14ac:dyDescent="0.25">
      <c r="M2880">
        <v>0.995692174766872</v>
      </c>
      <c r="N2880">
        <v>0.99565539799967795</v>
      </c>
      <c r="O2880" s="1">
        <v>9.7481886798696197E-10</v>
      </c>
      <c r="P2880" s="2">
        <f t="shared" si="100"/>
        <v>1.3874686361355861</v>
      </c>
    </row>
    <row r="2881" spans="13:16" x14ac:dyDescent="0.25">
      <c r="M2881">
        <v>0.609815170474035</v>
      </c>
      <c r="N2881">
        <v>0.60980919452153304</v>
      </c>
      <c r="O2881" s="1">
        <v>5.8345080033003197E-10</v>
      </c>
      <c r="P2881" s="2">
        <f t="shared" si="100"/>
        <v>6.1208260037440232E-2</v>
      </c>
    </row>
    <row r="2882" spans="13:16" x14ac:dyDescent="0.25">
      <c r="M2882">
        <v>0.99567057219331601</v>
      </c>
      <c r="N2882">
        <v>0.99566228311831395</v>
      </c>
      <c r="O2882" s="1">
        <v>1.05649890200985E-9</v>
      </c>
      <c r="P2882" s="2">
        <f t="shared" si="100"/>
        <v>6.5034392614114478E-2</v>
      </c>
    </row>
    <row r="2883" spans="13:16" x14ac:dyDescent="0.25">
      <c r="M2883">
        <v>0.60980632545548996</v>
      </c>
      <c r="N2883">
        <v>0.60977224711736699</v>
      </c>
      <c r="O2883" s="1">
        <v>5.4673472670296904E-10</v>
      </c>
      <c r="P2883" s="2">
        <f t="shared" ref="P2883:P2946" si="101">(M2883-N2883)^2/O2883</f>
        <v>2.1241254167749211</v>
      </c>
    </row>
    <row r="2884" spans="13:16" x14ac:dyDescent="0.25">
      <c r="M2884">
        <v>0.99574791512961403</v>
      </c>
      <c r="N2884">
        <v>0.99570292690532403</v>
      </c>
      <c r="O2884" s="1">
        <v>9.0366910319774497E-10</v>
      </c>
      <c r="P2884" s="2">
        <f t="shared" si="101"/>
        <v>2.2396918491572819</v>
      </c>
    </row>
    <row r="2885" spans="13:16" x14ac:dyDescent="0.25">
      <c r="M2885">
        <v>6.4692777806280999</v>
      </c>
      <c r="N2885">
        <v>6.4693637568602202</v>
      </c>
      <c r="O2885" s="1">
        <v>9.0574142710476598E-8</v>
      </c>
      <c r="P2885" s="2">
        <f t="shared" si="101"/>
        <v>8.1611730107604502E-2</v>
      </c>
    </row>
    <row r="2886" spans="13:16" x14ac:dyDescent="0.25">
      <c r="M2886">
        <v>2.63875954188395</v>
      </c>
      <c r="N2886">
        <v>2.6388540127491602</v>
      </c>
      <c r="O2886" s="1">
        <v>2.5688354582978901E-8</v>
      </c>
      <c r="P2886" s="2">
        <f t="shared" si="101"/>
        <v>0.34742374583525326</v>
      </c>
    </row>
    <row r="2887" spans="13:16" x14ac:dyDescent="0.25">
      <c r="M2887">
        <v>3.0828682116603998</v>
      </c>
      <c r="N2887">
        <v>3.0828990644632599</v>
      </c>
      <c r="O2887" s="1">
        <v>2.1154235755550101E-8</v>
      </c>
      <c r="P2887" s="2">
        <f t="shared" si="101"/>
        <v>4.4997864981878737E-2</v>
      </c>
    </row>
    <row r="2888" spans="13:16" x14ac:dyDescent="0.25">
      <c r="M2888">
        <v>1.00186678113525</v>
      </c>
      <c r="N2888">
        <v>1.00185238022048</v>
      </c>
      <c r="O2888" s="1">
        <v>4.9658749202024003E-9</v>
      </c>
      <c r="P2888" s="2">
        <f t="shared" si="101"/>
        <v>4.1762297590163054E-2</v>
      </c>
    </row>
    <row r="2889" spans="13:16" x14ac:dyDescent="0.25">
      <c r="M2889">
        <v>6.4696514607982998</v>
      </c>
      <c r="N2889">
        <v>6.4697795220472702</v>
      </c>
      <c r="O2889" s="1">
        <v>8.4265495443200596E-8</v>
      </c>
      <c r="P2889" s="2">
        <f t="shared" si="101"/>
        <v>0.19461920210189051</v>
      </c>
    </row>
    <row r="2890" spans="13:16" x14ac:dyDescent="0.25">
      <c r="M2890">
        <v>2.6388730789717498</v>
      </c>
      <c r="N2890">
        <v>2.6389688862157699</v>
      </c>
      <c r="O2890" s="1">
        <v>1.42066789728056E-8</v>
      </c>
      <c r="P2890" s="2">
        <f t="shared" si="101"/>
        <v>0.64610652667551649</v>
      </c>
    </row>
    <row r="2891" spans="13:16" x14ac:dyDescent="0.25">
      <c r="M2891">
        <v>3.0828698804779502</v>
      </c>
      <c r="N2891">
        <v>3.0829722303846099</v>
      </c>
      <c r="O2891" s="1">
        <v>2.6132895941118001E-8</v>
      </c>
      <c r="P2891" s="2">
        <f t="shared" si="101"/>
        <v>0.40085505321917203</v>
      </c>
    </row>
    <row r="2892" spans="13:16" x14ac:dyDescent="0.25">
      <c r="M2892">
        <v>1.00183845278915</v>
      </c>
      <c r="N2892">
        <v>1.00179378911048</v>
      </c>
      <c r="O2892" s="1">
        <v>6.0721885464427696E-9</v>
      </c>
      <c r="P2892" s="2">
        <f t="shared" si="101"/>
        <v>0.32852145105104191</v>
      </c>
    </row>
    <row r="2893" spans="13:16" x14ac:dyDescent="0.25">
      <c r="M2893">
        <v>6.4698380864763001</v>
      </c>
      <c r="N2893">
        <v>6.46946398368312</v>
      </c>
      <c r="O2893" s="1">
        <v>1.5529529573137401E-7</v>
      </c>
      <c r="P2893" s="2">
        <f t="shared" si="101"/>
        <v>0.90120501851655044</v>
      </c>
    </row>
    <row r="2894" spans="13:16" x14ac:dyDescent="0.25">
      <c r="M2894">
        <v>2.6390879803836498</v>
      </c>
      <c r="N2894">
        <v>2.6388817050464901</v>
      </c>
      <c r="O2894" s="1">
        <v>3.4917140703652702E-8</v>
      </c>
      <c r="P2894" s="2">
        <f t="shared" si="101"/>
        <v>1.218585309761151</v>
      </c>
    </row>
    <row r="2895" spans="13:16" x14ac:dyDescent="0.25">
      <c r="M2895">
        <v>3.08312483421515</v>
      </c>
      <c r="N2895">
        <v>3.0829167025456599</v>
      </c>
      <c r="O2895" s="1">
        <v>5.1043700492463897E-8</v>
      </c>
      <c r="P2895" s="2">
        <f t="shared" si="101"/>
        <v>0.84866088130047579</v>
      </c>
    </row>
    <row r="2896" spans="13:16" x14ac:dyDescent="0.25">
      <c r="M2896">
        <v>1.0018739626605999</v>
      </c>
      <c r="N2896">
        <v>1.00183825524195</v>
      </c>
      <c r="O2896" s="1">
        <v>3.1188733181442401E-9</v>
      </c>
      <c r="P2896" s="2">
        <f t="shared" si="101"/>
        <v>0.40880780223451069</v>
      </c>
    </row>
    <row r="2897" spans="13:16" x14ac:dyDescent="0.25">
      <c r="M2897">
        <v>6.4695803189415502</v>
      </c>
      <c r="N2897">
        <v>6.4700431246241301</v>
      </c>
      <c r="O2897" s="1">
        <v>9.8401601615918597E-8</v>
      </c>
      <c r="P2897" s="2">
        <f t="shared" si="101"/>
        <v>2.1766830652240263</v>
      </c>
    </row>
    <row r="2898" spans="13:16" x14ac:dyDescent="0.25">
      <c r="M2898">
        <v>2.6387844598094001</v>
      </c>
      <c r="N2898">
        <v>2.6390417168177902</v>
      </c>
      <c r="O2898" s="1">
        <v>2.50814329361556E-8</v>
      </c>
      <c r="P2898" s="2">
        <f t="shared" si="101"/>
        <v>2.6386518080635728</v>
      </c>
    </row>
    <row r="2899" spans="13:16" x14ac:dyDescent="0.25">
      <c r="M2899">
        <v>3.0827809655082499</v>
      </c>
      <c r="N2899">
        <v>3.08301861735338</v>
      </c>
      <c r="O2899" s="1">
        <v>2.2733189852012601E-8</v>
      </c>
      <c r="P2899" s="2">
        <f t="shared" si="101"/>
        <v>2.484402754801212</v>
      </c>
    </row>
    <row r="2900" spans="13:16" x14ac:dyDescent="0.25">
      <c r="M2900">
        <v>1.0017182957302</v>
      </c>
      <c r="N2900">
        <v>1.0017566450223001</v>
      </c>
      <c r="O2900" s="1">
        <v>5.4293563504786096E-9</v>
      </c>
      <c r="P2900" s="2">
        <f t="shared" si="101"/>
        <v>0.27087339817919603</v>
      </c>
    </row>
    <row r="2901" spans="13:16" x14ac:dyDescent="0.25">
      <c r="M2901">
        <v>6.4700337975688003</v>
      </c>
      <c r="N2901">
        <v>6.47019033682027</v>
      </c>
      <c r="O2901" s="1">
        <v>7.4600628874516699E-8</v>
      </c>
      <c r="P2901" s="2">
        <f t="shared" si="101"/>
        <v>0.32847628257834599</v>
      </c>
    </row>
    <row r="2902" spans="13:16" x14ac:dyDescent="0.25">
      <c r="M2902">
        <v>2.6390491519316499</v>
      </c>
      <c r="N2902">
        <v>2.6390823895728799</v>
      </c>
      <c r="O2902" s="1">
        <v>9.6005127971847897E-9</v>
      </c>
      <c r="P2902" s="2">
        <f t="shared" si="101"/>
        <v>0.11507101942061221</v>
      </c>
    </row>
    <row r="2903" spans="13:16" x14ac:dyDescent="0.25">
      <c r="M2903">
        <v>3.0829288319677999</v>
      </c>
      <c r="N2903">
        <v>3.0830445222246201</v>
      </c>
      <c r="O2903" s="1">
        <v>2.1815004029648299E-8</v>
      </c>
      <c r="P2903" s="2">
        <f t="shared" si="101"/>
        <v>0.61353348846240552</v>
      </c>
    </row>
    <row r="2904" spans="13:16" x14ac:dyDescent="0.25">
      <c r="M2904">
        <v>1.0017359726070501</v>
      </c>
      <c r="N2904">
        <v>1.0017359026938699</v>
      </c>
      <c r="O2904" s="1">
        <v>4.38073402339158E-9</v>
      </c>
      <c r="P2904" s="2">
        <f t="shared" si="101"/>
        <v>1.1157611328048897E-6</v>
      </c>
    </row>
    <row r="2905" spans="13:16" x14ac:dyDescent="0.25">
      <c r="M2905">
        <v>6.4711975726536997</v>
      </c>
      <c r="N2905">
        <v>6.4710936289858001</v>
      </c>
      <c r="O2905" s="1">
        <v>1.3311310861442899E-7</v>
      </c>
      <c r="P2905" s="2">
        <f t="shared" si="101"/>
        <v>8.1166206761125487E-2</v>
      </c>
    </row>
    <row r="2906" spans="13:16" x14ac:dyDescent="0.25">
      <c r="M2906">
        <v>2.6393641714495</v>
      </c>
      <c r="N2906">
        <v>2.6393319505452402</v>
      </c>
      <c r="O2906" s="1">
        <v>2.6751541697245E-8</v>
      </c>
      <c r="P2906" s="2">
        <f t="shared" si="101"/>
        <v>3.880848001468501E-2</v>
      </c>
    </row>
    <row r="2907" spans="13:16" x14ac:dyDescent="0.25">
      <c r="M2907">
        <v>3.0833001231486001</v>
      </c>
      <c r="N2907">
        <v>3.0832034660475598</v>
      </c>
      <c r="O2907" s="1">
        <v>2.90774192531748E-8</v>
      </c>
      <c r="P2907" s="2">
        <f t="shared" si="101"/>
        <v>0.32130070073199368</v>
      </c>
    </row>
    <row r="2908" spans="13:16" x14ac:dyDescent="0.25">
      <c r="M2908">
        <v>1.00156876855265</v>
      </c>
      <c r="N2908">
        <v>1.0016086477625601</v>
      </c>
      <c r="O2908" s="1">
        <v>5.6256789644234098E-9</v>
      </c>
      <c r="P2908" s="2">
        <f t="shared" si="101"/>
        <v>0.282695012124211</v>
      </c>
    </row>
    <row r="2909" spans="13:16" x14ac:dyDescent="0.25">
      <c r="M2909">
        <v>6.4713847357349499</v>
      </c>
      <c r="N2909">
        <v>6.4710362500356498</v>
      </c>
      <c r="O2909" s="1">
        <v>1.0380530599388199E-7</v>
      </c>
      <c r="P2909" s="2">
        <f t="shared" si="101"/>
        <v>1.169904384500887</v>
      </c>
    </row>
    <row r="2910" spans="13:16" x14ac:dyDescent="0.25">
      <c r="M2910">
        <v>2.6394843933900001</v>
      </c>
      <c r="N2910">
        <v>2.6393160982605002</v>
      </c>
      <c r="O2910" s="1">
        <v>2.39002663950097E-8</v>
      </c>
      <c r="P2910" s="2">
        <f t="shared" si="101"/>
        <v>1.1850600384646965</v>
      </c>
    </row>
    <row r="2911" spans="13:16" x14ac:dyDescent="0.25">
      <c r="M2911">
        <v>3.0834672022518501</v>
      </c>
      <c r="N2911">
        <v>3.08319337002983</v>
      </c>
      <c r="O2911" s="1">
        <v>2.9174487492257098E-8</v>
      </c>
      <c r="P2911" s="2">
        <f t="shared" si="101"/>
        <v>2.570193763862882</v>
      </c>
    </row>
    <row r="2912" spans="13:16" x14ac:dyDescent="0.25">
      <c r="M2912">
        <v>1.0015810950970001</v>
      </c>
      <c r="N2912">
        <v>1.0016167302446799</v>
      </c>
      <c r="O2912" s="1">
        <v>2.8720002454268001E-9</v>
      </c>
      <c r="P2912" s="2">
        <f t="shared" si="101"/>
        <v>0.44215307856695996</v>
      </c>
    </row>
    <row r="2913" spans="13:16" x14ac:dyDescent="0.25">
      <c r="M2913">
        <v>6.4711665146803998</v>
      </c>
      <c r="N2913">
        <v>6.4709697674515301</v>
      </c>
      <c r="O2913" s="1">
        <v>9.39122042941497E-8</v>
      </c>
      <c r="P2913" s="2">
        <f t="shared" si="101"/>
        <v>0.41218787652648703</v>
      </c>
    </row>
    <row r="2914" spans="13:16" x14ac:dyDescent="0.25">
      <c r="M2914">
        <v>2.6394580226077</v>
      </c>
      <c r="N2914">
        <v>2.6392977308260099</v>
      </c>
      <c r="O2914" s="1">
        <v>2.2924886130969E-8</v>
      </c>
      <c r="P2914" s="2">
        <f t="shared" si="101"/>
        <v>1.1207669748322733</v>
      </c>
    </row>
    <row r="2915" spans="13:16" x14ac:dyDescent="0.25">
      <c r="M2915">
        <v>3.0833596141670001</v>
      </c>
      <c r="N2915">
        <v>3.0831816721267198</v>
      </c>
      <c r="O2915" s="1">
        <v>1.88148637583921E-8</v>
      </c>
      <c r="P2915" s="2">
        <f t="shared" si="101"/>
        <v>1.6828912558561808</v>
      </c>
    </row>
    <row r="2916" spans="13:16" x14ac:dyDescent="0.25">
      <c r="M2916">
        <v>1.0015299982195001</v>
      </c>
      <c r="N2916">
        <v>1.0016260952490701</v>
      </c>
      <c r="O2916" s="1">
        <v>4.8607045655293703E-9</v>
      </c>
      <c r="P2916" s="2">
        <f t="shared" si="101"/>
        <v>1.8998560738853607</v>
      </c>
    </row>
    <row r="2917" spans="13:16" x14ac:dyDescent="0.25">
      <c r="M2917">
        <v>6.4716566061071497</v>
      </c>
      <c r="N2917">
        <v>6.4717314771769496</v>
      </c>
      <c r="O2917" s="1">
        <v>8.3983840438469101E-8</v>
      </c>
      <c r="P2917" s="2">
        <f t="shared" si="101"/>
        <v>6.6747091627701996E-2</v>
      </c>
    </row>
    <row r="2918" spans="13:16" x14ac:dyDescent="0.25">
      <c r="M2918">
        <v>2.6394529754304501</v>
      </c>
      <c r="N2918">
        <v>2.6395081680585499</v>
      </c>
      <c r="O2918" s="1">
        <v>2.3104249517632001E-8</v>
      </c>
      <c r="P2918" s="2">
        <f t="shared" si="101"/>
        <v>0.13184700910720321</v>
      </c>
    </row>
    <row r="2919" spans="13:16" x14ac:dyDescent="0.25">
      <c r="M2919">
        <v>3.0832396490697001</v>
      </c>
      <c r="N2919">
        <v>3.0833156937628301</v>
      </c>
      <c r="O2919" s="1">
        <v>1.40734035333757E-8</v>
      </c>
      <c r="P2919" s="2">
        <f t="shared" si="101"/>
        <v>0.41090240463363559</v>
      </c>
    </row>
    <row r="2920" spans="13:16" x14ac:dyDescent="0.25">
      <c r="M2920">
        <v>1.0015382558321499</v>
      </c>
      <c r="N2920">
        <v>1.00151880875937</v>
      </c>
      <c r="O2920" s="1">
        <v>2.5098183514825002E-9</v>
      </c>
      <c r="P2920" s="2">
        <f t="shared" si="101"/>
        <v>0.15068366978960832</v>
      </c>
    </row>
    <row r="2921" spans="13:16" x14ac:dyDescent="0.25">
      <c r="M2921">
        <v>6.4716531416070504</v>
      </c>
      <c r="N2921">
        <v>6.4716071440546603</v>
      </c>
      <c r="O2921" s="1">
        <v>1.03941670358351E-7</v>
      </c>
      <c r="P2921" s="2">
        <f t="shared" si="101"/>
        <v>2.0355405282457228E-2</v>
      </c>
    </row>
    <row r="2922" spans="13:16" x14ac:dyDescent="0.25">
      <c r="M2922">
        <v>2.6394292334849498</v>
      </c>
      <c r="N2922">
        <v>2.6394738191437499</v>
      </c>
      <c r="O2922" s="1">
        <v>1.9247048556896001E-8</v>
      </c>
      <c r="P2922" s="2">
        <f t="shared" si="101"/>
        <v>0.10328237936110833</v>
      </c>
    </row>
    <row r="2923" spans="13:16" x14ac:dyDescent="0.25">
      <c r="M2923">
        <v>3.0832249801418001</v>
      </c>
      <c r="N2923">
        <v>3.08329381822367</v>
      </c>
      <c r="O2923" s="1">
        <v>2.2884342330451099E-8</v>
      </c>
      <c r="P2923" s="2">
        <f t="shared" si="101"/>
        <v>0.20707090669658335</v>
      </c>
    </row>
    <row r="2924" spans="13:16" x14ac:dyDescent="0.25">
      <c r="M2924">
        <v>1.00160291404915</v>
      </c>
      <c r="N2924">
        <v>1.00153631937938</v>
      </c>
      <c r="O2924" s="1">
        <v>2.61846725919948E-9</v>
      </c>
      <c r="P2924" s="2">
        <f t="shared" si="101"/>
        <v>1.6936816858004917</v>
      </c>
    </row>
    <row r="2925" spans="13:16" x14ac:dyDescent="0.25">
      <c r="M2925">
        <v>6.4719096458854999</v>
      </c>
      <c r="N2925">
        <v>6.4722988773966303</v>
      </c>
      <c r="O2925" s="1">
        <v>1.36568587649534E-7</v>
      </c>
      <c r="P2925" s="2">
        <f t="shared" si="101"/>
        <v>1.1093412611521525</v>
      </c>
    </row>
    <row r="2926" spans="13:16" x14ac:dyDescent="0.25">
      <c r="M2926">
        <v>2.6394417656733502</v>
      </c>
      <c r="N2926">
        <v>2.63966491829057</v>
      </c>
      <c r="O2926" s="1">
        <v>2.8723016054261199E-8</v>
      </c>
      <c r="P2926" s="2">
        <f t="shared" si="101"/>
        <v>1.7336999177937853</v>
      </c>
    </row>
    <row r="2927" spans="13:16" x14ac:dyDescent="0.25">
      <c r="M2927">
        <v>3.0831539249226498</v>
      </c>
      <c r="N2927">
        <v>3.0834155204794702</v>
      </c>
      <c r="O2927" s="1">
        <v>3.1510528811010997E-8</v>
      </c>
      <c r="P2927" s="2">
        <f t="shared" si="101"/>
        <v>2.171726020803785</v>
      </c>
    </row>
    <row r="2928" spans="13:16" x14ac:dyDescent="0.25">
      <c r="M2928">
        <v>1.0014732285500001</v>
      </c>
      <c r="N2928">
        <v>1.0014389063540801</v>
      </c>
      <c r="O2928" s="1">
        <v>6.82574463845147E-9</v>
      </c>
      <c r="P2928" s="2">
        <f t="shared" si="101"/>
        <v>0.17258382713836992</v>
      </c>
    </row>
    <row r="2929" spans="13:16" x14ac:dyDescent="0.25">
      <c r="M2929">
        <v>6.4722605717124004</v>
      </c>
      <c r="N2929">
        <v>6.47234476411092</v>
      </c>
      <c r="O2929" s="1">
        <v>1.42719342377718E-7</v>
      </c>
      <c r="P2929" s="2">
        <f t="shared" si="101"/>
        <v>4.9666428182607976E-2</v>
      </c>
    </row>
    <row r="2930" spans="13:16" x14ac:dyDescent="0.25">
      <c r="M2930">
        <v>2.6396576338381501</v>
      </c>
      <c r="N2930">
        <v>2.6396775947804798</v>
      </c>
      <c r="O2930" s="1">
        <v>4.0094791488801901E-8</v>
      </c>
      <c r="P2930" s="2">
        <f t="shared" si="101"/>
        <v>9.9374308705628706E-3</v>
      </c>
    </row>
    <row r="2931" spans="13:16" x14ac:dyDescent="0.25">
      <c r="M2931">
        <v>3.0832180910793001</v>
      </c>
      <c r="N2931">
        <v>3.0834235934110401</v>
      </c>
      <c r="O2931" s="1">
        <v>4.6354633855949801E-8</v>
      </c>
      <c r="P2931" s="2">
        <f t="shared" si="101"/>
        <v>0.91104609911946366</v>
      </c>
    </row>
    <row r="2932" spans="13:16" x14ac:dyDescent="0.25">
      <c r="M2932">
        <v>1.0015906116601001</v>
      </c>
      <c r="N2932">
        <v>1.00143244508226</v>
      </c>
      <c r="O2932" s="1">
        <v>7.5167738145105506E-9</v>
      </c>
      <c r="P2932" s="2">
        <f t="shared" si="101"/>
        <v>3.3281121612766604</v>
      </c>
    </row>
    <row r="2933" spans="13:16" x14ac:dyDescent="0.25">
      <c r="M2933">
        <v>6.4722560129060502</v>
      </c>
      <c r="N2933">
        <v>6.4721935772262302</v>
      </c>
      <c r="O2933" s="1">
        <v>1.26100618401937E-7</v>
      </c>
      <c r="P2933" s="2">
        <f t="shared" si="101"/>
        <v>3.0913520996074292E-2</v>
      </c>
    </row>
    <row r="2934" spans="13:16" x14ac:dyDescent="0.25">
      <c r="M2934">
        <v>2.6395144743457499</v>
      </c>
      <c r="N2934">
        <v>2.6396358283546499</v>
      </c>
      <c r="O2934" s="1">
        <v>2.1423826795889301E-8</v>
      </c>
      <c r="P2934" s="2">
        <f t="shared" si="101"/>
        <v>0.68740265763021213</v>
      </c>
    </row>
    <row r="2935" spans="13:16" x14ac:dyDescent="0.25">
      <c r="M2935">
        <v>3.08351859810575</v>
      </c>
      <c r="N2935">
        <v>3.08339699469603</v>
      </c>
      <c r="O2935" s="1">
        <v>2.2049669592185201E-8</v>
      </c>
      <c r="P2935" s="2">
        <f t="shared" si="101"/>
        <v>0.67063994740186605</v>
      </c>
    </row>
    <row r="2936" spans="13:16" x14ac:dyDescent="0.25">
      <c r="M2936">
        <v>1.00150202925455</v>
      </c>
      <c r="N2936">
        <v>1.0014537339182801</v>
      </c>
      <c r="O2936" s="1">
        <v>4.2329430665622104E-9</v>
      </c>
      <c r="P2936" s="2">
        <f t="shared" si="101"/>
        <v>0.5510207599650363</v>
      </c>
    </row>
    <row r="2937" spans="13:16" x14ac:dyDescent="0.25">
      <c r="M2937">
        <v>6.4720203792502504</v>
      </c>
      <c r="N2937">
        <v>6.4726836886898198</v>
      </c>
      <c r="O2937" s="1">
        <v>2.0126137970352801E-7</v>
      </c>
      <c r="P2937" s="2">
        <f t="shared" si="101"/>
        <v>2.1861094923922688</v>
      </c>
    </row>
    <row r="2938" spans="13:16" x14ac:dyDescent="0.25">
      <c r="M2938">
        <v>2.6393863451512498</v>
      </c>
      <c r="N2938">
        <v>2.6397712239031299</v>
      </c>
      <c r="O2938" s="1">
        <v>4.7475475023929702E-8</v>
      </c>
      <c r="P2938" s="2">
        <f t="shared" si="101"/>
        <v>3.1201721220085101</v>
      </c>
    </row>
    <row r="2939" spans="13:16" x14ac:dyDescent="0.25">
      <c r="M2939">
        <v>3.0831790831914998</v>
      </c>
      <c r="N2939">
        <v>3.0834832198993301</v>
      </c>
      <c r="O2939" s="1">
        <v>4.7470406244666398E-8</v>
      </c>
      <c r="P2939" s="2">
        <f t="shared" si="101"/>
        <v>1.9485642607116991</v>
      </c>
    </row>
    <row r="2940" spans="13:16" x14ac:dyDescent="0.25">
      <c r="M2940">
        <v>1.0013535258991999</v>
      </c>
      <c r="N2940">
        <v>1.0013847240909499</v>
      </c>
      <c r="O2940" s="1">
        <v>5.8719913735066997E-9</v>
      </c>
      <c r="P2940" s="2">
        <f t="shared" si="101"/>
        <v>0.16575759509153198</v>
      </c>
    </row>
    <row r="2941" spans="13:16" x14ac:dyDescent="0.25">
      <c r="M2941">
        <v>6.4721303931562497</v>
      </c>
      <c r="N2941">
        <v>6.4723567248036202</v>
      </c>
      <c r="O2941" s="1">
        <v>1.0864233242962199E-7</v>
      </c>
      <c r="P2941" s="2">
        <f t="shared" si="101"/>
        <v>0.47151062993456017</v>
      </c>
    </row>
    <row r="2942" spans="13:16" x14ac:dyDescent="0.25">
      <c r="M2942">
        <v>2.6396645748401499</v>
      </c>
      <c r="N2942">
        <v>2.63968089899139</v>
      </c>
      <c r="O2942" s="1">
        <v>1.9850399377084901E-8</v>
      </c>
      <c r="P2942" s="2">
        <f t="shared" si="101"/>
        <v>1.3424309941939326E-2</v>
      </c>
    </row>
    <row r="2943" spans="13:16" x14ac:dyDescent="0.25">
      <c r="M2943">
        <v>3.08329824324895</v>
      </c>
      <c r="N2943">
        <v>3.0834256976711201</v>
      </c>
      <c r="O2943" s="1">
        <v>3.9675540154223302E-8</v>
      </c>
      <c r="P2943" s="2">
        <f t="shared" si="101"/>
        <v>0.40943688901449765</v>
      </c>
    </row>
    <row r="2944" spans="13:16" x14ac:dyDescent="0.25">
      <c r="M2944">
        <v>1.0013902373617001</v>
      </c>
      <c r="N2944">
        <v>1.00143076092099</v>
      </c>
      <c r="O2944" s="1">
        <v>3.8987695690505502E-9</v>
      </c>
      <c r="P2944" s="2">
        <f t="shared" si="101"/>
        <v>0.42119926003397778</v>
      </c>
    </row>
    <row r="2945" spans="13:16" x14ac:dyDescent="0.25">
      <c r="M2945">
        <v>6.4724360269704002</v>
      </c>
      <c r="N2945">
        <v>6.4727541063891101</v>
      </c>
      <c r="O2945" s="1">
        <v>1.5163797270781599E-7</v>
      </c>
      <c r="P2945" s="2">
        <f t="shared" si="101"/>
        <v>0.66721095514616213</v>
      </c>
    </row>
    <row r="2946" spans="13:16" x14ac:dyDescent="0.25">
      <c r="M2946">
        <v>2.6396432679270001</v>
      </c>
      <c r="N2946">
        <v>2.6397906768450201</v>
      </c>
      <c r="O2946" s="1">
        <v>3.2066587479576101E-8</v>
      </c>
      <c r="P2946" s="2">
        <f t="shared" si="101"/>
        <v>0.67763335046704354</v>
      </c>
    </row>
    <row r="2947" spans="13:16" x14ac:dyDescent="0.25">
      <c r="M2947">
        <v>3.0832955180816999</v>
      </c>
      <c r="N2947">
        <v>3.0834956081315399</v>
      </c>
      <c r="O2947" s="1">
        <v>5.0786230437062399E-8</v>
      </c>
      <c r="P2947" s="2">
        <f t="shared" ref="P2947:P3010" si="102">(M2947-N2947)^2/O2947</f>
        <v>0.78832446709333504</v>
      </c>
    </row>
    <row r="2948" spans="13:16" x14ac:dyDescent="0.25">
      <c r="M2948">
        <v>1.001351785894</v>
      </c>
      <c r="N2948">
        <v>1.00137480979241</v>
      </c>
      <c r="O2948" s="1">
        <v>6.89856894971657E-9</v>
      </c>
      <c r="P2948" s="2">
        <f t="shared" si="102"/>
        <v>7.6842009097681421E-2</v>
      </c>
    </row>
    <row r="2949" spans="13:16" x14ac:dyDescent="0.25">
      <c r="M2949">
        <v>6.4731708735793001</v>
      </c>
      <c r="N2949">
        <v>6.4729577330555301</v>
      </c>
      <c r="O2949" s="1">
        <v>1.1289458450969E-7</v>
      </c>
      <c r="P2949" s="2">
        <f t="shared" si="102"/>
        <v>0.402400904084455</v>
      </c>
    </row>
    <row r="2950" spans="13:16" x14ac:dyDescent="0.25">
      <c r="M2950">
        <v>2.6402410090277</v>
      </c>
      <c r="N2950">
        <v>2.6398469284791402</v>
      </c>
      <c r="O2950" s="1">
        <v>1.5140580521269599E-8</v>
      </c>
      <c r="P2950" s="2">
        <f t="shared" si="102"/>
        <v>10.257168048150383</v>
      </c>
    </row>
    <row r="2951" spans="13:16" x14ac:dyDescent="0.25">
      <c r="M2951">
        <v>3.0836720015233001</v>
      </c>
      <c r="N2951">
        <v>3.0835314306700998</v>
      </c>
      <c r="O2951" s="1">
        <v>1.6486278919650599E-8</v>
      </c>
      <c r="P2951" s="2">
        <f t="shared" si="102"/>
        <v>1.1985824615587419</v>
      </c>
    </row>
    <row r="2952" spans="13:16" x14ac:dyDescent="0.25">
      <c r="M2952">
        <v>1.0011062344944499</v>
      </c>
      <c r="N2952">
        <v>1.0013461418019001</v>
      </c>
      <c r="O2952" s="1">
        <v>1.1644856025977499E-8</v>
      </c>
      <c r="P2952" s="2">
        <f t="shared" si="102"/>
        <v>4.9425700102766434</v>
      </c>
    </row>
    <row r="2953" spans="13:16" x14ac:dyDescent="0.25">
      <c r="M2953">
        <v>6.4721734941813001</v>
      </c>
      <c r="N2953">
        <v>6.4726442097177603</v>
      </c>
      <c r="O2953" s="1">
        <v>1.8364577233898899E-7</v>
      </c>
      <c r="P2953" s="2">
        <f t="shared" si="102"/>
        <v>1.2065244597958209</v>
      </c>
    </row>
    <row r="2954" spans="13:16" x14ac:dyDescent="0.25">
      <c r="M2954">
        <v>2.6395769689350002</v>
      </c>
      <c r="N2954">
        <v>2.6397603177778102</v>
      </c>
      <c r="O2954" s="1">
        <v>4.7124814967325801E-8</v>
      </c>
      <c r="P2954" s="2">
        <f t="shared" si="102"/>
        <v>0.71335660804356116</v>
      </c>
    </row>
    <row r="2955" spans="13:16" x14ac:dyDescent="0.25">
      <c r="M2955">
        <v>3.0830260842868</v>
      </c>
      <c r="N2955">
        <v>3.0834762745248501</v>
      </c>
      <c r="O2955" s="1">
        <v>5.53660665172637E-8</v>
      </c>
      <c r="P2955" s="2">
        <f t="shared" si="102"/>
        <v>3.6605679829604245</v>
      </c>
    </row>
    <row r="2956" spans="13:16" x14ac:dyDescent="0.25">
      <c r="M2956">
        <v>1.0014095873254001</v>
      </c>
      <c r="N2956">
        <v>1.0013902825324501</v>
      </c>
      <c r="O2956" s="1">
        <v>6.1640572899953902E-9</v>
      </c>
      <c r="P2956" s="2">
        <f t="shared" si="102"/>
        <v>6.0459371694438505E-2</v>
      </c>
    </row>
    <row r="2957" spans="13:16" x14ac:dyDescent="0.25">
      <c r="M2957">
        <v>6.4723317541881498</v>
      </c>
      <c r="N2957">
        <v>6.4729988084719698</v>
      </c>
      <c r="O2957" s="1">
        <v>1.62128956259113E-7</v>
      </c>
      <c r="P2957" s="2">
        <f t="shared" si="102"/>
        <v>2.7444907302776009</v>
      </c>
    </row>
    <row r="2958" spans="13:16" x14ac:dyDescent="0.25">
      <c r="M2958">
        <v>2.6394698766523499</v>
      </c>
      <c r="N2958">
        <v>2.6398582754468398</v>
      </c>
      <c r="O2958" s="1">
        <v>3.0333990373238599E-8</v>
      </c>
      <c r="P2958" s="2">
        <f t="shared" si="102"/>
        <v>4.9730886607756677</v>
      </c>
    </row>
    <row r="2959" spans="13:16" x14ac:dyDescent="0.25">
      <c r="M2959">
        <v>3.08311144446145</v>
      </c>
      <c r="N2959">
        <v>3.0835386566792198</v>
      </c>
      <c r="O2959" s="1">
        <v>4.2174850763067197E-8</v>
      </c>
      <c r="P2959" s="2">
        <f t="shared" si="102"/>
        <v>4.3274670973247318</v>
      </c>
    </row>
    <row r="2960" spans="13:16" x14ac:dyDescent="0.25">
      <c r="M2960">
        <v>1.0013795780860999</v>
      </c>
      <c r="N2960">
        <v>1.00134035912542</v>
      </c>
      <c r="O2960" s="1">
        <v>5.6543377391970599E-9</v>
      </c>
      <c r="P2960" s="2">
        <f t="shared" si="102"/>
        <v>0.27202599981805736</v>
      </c>
    </row>
    <row r="2961" spans="13:16" x14ac:dyDescent="0.25">
      <c r="M2961">
        <v>6.4726092782544997</v>
      </c>
      <c r="N2961">
        <v>6.4730095313442098</v>
      </c>
      <c r="O2961" s="1">
        <v>9.8865981048661994E-8</v>
      </c>
      <c r="P2961" s="2">
        <f t="shared" si="102"/>
        <v>1.6204010127970792</v>
      </c>
    </row>
    <row r="2962" spans="13:16" x14ac:dyDescent="0.25">
      <c r="M2962">
        <v>2.6396411203082</v>
      </c>
      <c r="N2962">
        <v>2.6398612376061599</v>
      </c>
      <c r="O2962" s="1">
        <v>2.3552373206935001E-8</v>
      </c>
      <c r="P2962" s="2">
        <f t="shared" si="102"/>
        <v>2.0571865278909649</v>
      </c>
    </row>
    <row r="2963" spans="13:16" x14ac:dyDescent="0.25">
      <c r="M2963">
        <v>3.0831800567708498</v>
      </c>
      <c r="N2963">
        <v>3.08354054304785</v>
      </c>
      <c r="O2963" s="1">
        <v>3.1088830121519502E-8</v>
      </c>
      <c r="P2963" s="2">
        <f t="shared" si="102"/>
        <v>4.1799693136561462</v>
      </c>
    </row>
    <row r="2964" spans="13:16" x14ac:dyDescent="0.25">
      <c r="M2964">
        <v>1.0012846931216</v>
      </c>
      <c r="N2964">
        <v>1.00133884955028</v>
      </c>
      <c r="O2964" s="1">
        <v>8.2774126009705205E-9</v>
      </c>
      <c r="P2964" s="2">
        <f t="shared" si="102"/>
        <v>0.35432796560472163</v>
      </c>
    </row>
    <row r="2965" spans="13:16" x14ac:dyDescent="0.25">
      <c r="M2965">
        <v>6.4734255139090502</v>
      </c>
      <c r="N2965">
        <v>6.4736068459015197</v>
      </c>
      <c r="O2965" s="1">
        <v>1.3172195508612201E-7</v>
      </c>
      <c r="P2965" s="2">
        <f t="shared" si="102"/>
        <v>0.24962650661737668</v>
      </c>
    </row>
    <row r="2966" spans="13:16" x14ac:dyDescent="0.25">
      <c r="M2966">
        <v>2.6399561531631002</v>
      </c>
      <c r="N2966">
        <v>2.6400262413510802</v>
      </c>
      <c r="O2966" s="1">
        <v>2.9410440536697401E-8</v>
      </c>
      <c r="P2966" s="2">
        <f t="shared" si="102"/>
        <v>0.16702755908047431</v>
      </c>
    </row>
    <row r="2967" spans="13:16" x14ac:dyDescent="0.25">
      <c r="M2967">
        <v>3.0835227838020001</v>
      </c>
      <c r="N2967">
        <v>3.0836456195648401</v>
      </c>
      <c r="O2967" s="1">
        <v>3.3147343253319403E-8</v>
      </c>
      <c r="P2967" s="2">
        <f t="shared" si="102"/>
        <v>0.4551986117612617</v>
      </c>
    </row>
    <row r="2968" spans="13:16" x14ac:dyDescent="0.25">
      <c r="M2968">
        <v>1.0012351211102499</v>
      </c>
      <c r="N2968">
        <v>1.00125476663862</v>
      </c>
      <c r="O2968" s="1">
        <v>8.5234547415351198E-9</v>
      </c>
      <c r="P2968" s="2">
        <f t="shared" si="102"/>
        <v>4.5280557783568966E-2</v>
      </c>
    </row>
    <row r="2969" spans="13:16" x14ac:dyDescent="0.25">
      <c r="M2969">
        <v>6.4734933285327001</v>
      </c>
      <c r="N2969">
        <v>6.4735418966796399</v>
      </c>
      <c r="O2969" s="1">
        <v>1.5517346533598999E-7</v>
      </c>
      <c r="P2969" s="2">
        <f t="shared" si="102"/>
        <v>1.5201470767279944E-2</v>
      </c>
    </row>
    <row r="2970" spans="13:16" x14ac:dyDescent="0.25">
      <c r="M2970">
        <v>2.64014498007875</v>
      </c>
      <c r="N2970">
        <v>2.6400082998451699</v>
      </c>
      <c r="O2970" s="1">
        <v>2.2856914585845001E-8</v>
      </c>
      <c r="P2970" s="2">
        <f t="shared" si="102"/>
        <v>0.81732318600274623</v>
      </c>
    </row>
    <row r="2971" spans="13:16" x14ac:dyDescent="0.25">
      <c r="M2971">
        <v>3.08362125888365</v>
      </c>
      <c r="N2971">
        <v>3.08363419432676</v>
      </c>
      <c r="O2971" s="1">
        <v>2.62762059713724E-8</v>
      </c>
      <c r="P2971" s="2">
        <f t="shared" si="102"/>
        <v>6.3679546671979084E-3</v>
      </c>
    </row>
    <row r="2972" spans="13:16" x14ac:dyDescent="0.25">
      <c r="M2972">
        <v>1.0011874673247501</v>
      </c>
      <c r="N2972">
        <v>1.00126390870742</v>
      </c>
      <c r="O2972" s="1">
        <v>5.1933921444258903E-9</v>
      </c>
      <c r="P2972" s="2">
        <f t="shared" si="102"/>
        <v>1.1251384108867886</v>
      </c>
    </row>
    <row r="2973" spans="13:16" x14ac:dyDescent="0.25">
      <c r="M2973">
        <v>0.61826076433476895</v>
      </c>
      <c r="N2973">
        <v>0.61827295199502597</v>
      </c>
      <c r="O2973" s="1">
        <v>9.9228706164878502E-10</v>
      </c>
      <c r="P2973" s="2">
        <f t="shared" si="102"/>
        <v>0.14969364036002947</v>
      </c>
    </row>
    <row r="2974" spans="13:16" x14ac:dyDescent="0.25">
      <c r="M2974">
        <v>0.995851267048523</v>
      </c>
      <c r="N2974">
        <v>0.99587184461963596</v>
      </c>
      <c r="O2974" s="1">
        <v>2.2008665761121901E-9</v>
      </c>
      <c r="P2974" s="2">
        <f t="shared" si="102"/>
        <v>0.1923953216904094</v>
      </c>
    </row>
    <row r="2975" spans="13:16" x14ac:dyDescent="0.25">
      <c r="M2975">
        <v>0.618154614803199</v>
      </c>
      <c r="N2975">
        <v>0.61818018899873795</v>
      </c>
      <c r="O2975" s="1">
        <v>1.2432895400510701E-9</v>
      </c>
      <c r="P2975" s="2">
        <f t="shared" si="102"/>
        <v>0.5260556422258722</v>
      </c>
    </row>
    <row r="2976" spans="13:16" x14ac:dyDescent="0.25">
      <c r="M2976">
        <v>0.99592864069908904</v>
      </c>
      <c r="N2976">
        <v>0.99597251985058499</v>
      </c>
      <c r="O2976" s="1">
        <v>2.8470729297136199E-9</v>
      </c>
      <c r="P2976" s="2">
        <f t="shared" si="102"/>
        <v>0.67626646156841452</v>
      </c>
    </row>
    <row r="2977" spans="13:16" x14ac:dyDescent="0.25">
      <c r="M2977">
        <v>0.61822065965497397</v>
      </c>
      <c r="N2977">
        <v>0.61819236416563805</v>
      </c>
      <c r="O2977" s="1">
        <v>8.1810748960431802E-10</v>
      </c>
      <c r="P2977" s="2">
        <f t="shared" si="102"/>
        <v>0.97864244849561666</v>
      </c>
    </row>
    <row r="2978" spans="13:16" x14ac:dyDescent="0.25">
      <c r="M2978">
        <v>0.99601290450822699</v>
      </c>
      <c r="N2978">
        <v>0.995959304759368</v>
      </c>
      <c r="O2978" s="1">
        <v>2.03250780934673E-9</v>
      </c>
      <c r="P2978" s="2">
        <f t="shared" si="102"/>
        <v>1.4134917782530945</v>
      </c>
    </row>
    <row r="2979" spans="13:16" x14ac:dyDescent="0.25">
      <c r="M2979">
        <v>0.61826694294072104</v>
      </c>
      <c r="N2979">
        <v>0.61823567199844498</v>
      </c>
      <c r="O2979" s="1">
        <v>9.1658656375912696E-10</v>
      </c>
      <c r="P2979" s="2">
        <f t="shared" si="102"/>
        <v>1.0668624977682089</v>
      </c>
    </row>
    <row r="2980" spans="13:16" x14ac:dyDescent="0.25">
      <c r="M2980">
        <v>0.99595917420222502</v>
      </c>
      <c r="N2980">
        <v>0.99591230138086995</v>
      </c>
      <c r="O2980" s="1">
        <v>1.80311791225249E-9</v>
      </c>
      <c r="P2980" s="2">
        <f t="shared" si="102"/>
        <v>1.2184790394765448</v>
      </c>
    </row>
    <row r="2981" spans="13:16" x14ac:dyDescent="0.25">
      <c r="M2981">
        <v>0.61823598691229897</v>
      </c>
      <c r="N2981">
        <v>0.61821148934007697</v>
      </c>
      <c r="O2981" s="1">
        <v>9.8421261110141591E-10</v>
      </c>
      <c r="P2981" s="2">
        <f t="shared" si="102"/>
        <v>0.60975752393653637</v>
      </c>
    </row>
    <row r="2982" spans="13:16" x14ac:dyDescent="0.25">
      <c r="M2982">
        <v>0.99596470551159899</v>
      </c>
      <c r="N2982">
        <v>0.99593854691530104</v>
      </c>
      <c r="O2982" s="1">
        <v>1.12887822098365E-9</v>
      </c>
      <c r="P2982" s="2">
        <f t="shared" si="102"/>
        <v>0.60615232676123465</v>
      </c>
    </row>
    <row r="2983" spans="13:16" x14ac:dyDescent="0.25">
      <c r="M2983">
        <v>0.61817583393558395</v>
      </c>
      <c r="N2983">
        <v>0.61823624911421604</v>
      </c>
      <c r="O2983" s="1">
        <v>9.0057992784755001E-10</v>
      </c>
      <c r="P2983" s="2">
        <f t="shared" si="102"/>
        <v>4.0529371089482549</v>
      </c>
    </row>
    <row r="2984" spans="13:16" x14ac:dyDescent="0.25">
      <c r="M2984">
        <v>0.99584870242548196</v>
      </c>
      <c r="N2984">
        <v>0.99591167505584099</v>
      </c>
      <c r="O2984" s="1">
        <v>9.932764417624859E-10</v>
      </c>
      <c r="P2984" s="2">
        <f t="shared" si="102"/>
        <v>3.9923952764845558</v>
      </c>
    </row>
    <row r="2985" spans="13:16" x14ac:dyDescent="0.25">
      <c r="M2985">
        <v>0.61825359313472195</v>
      </c>
      <c r="N2985">
        <v>0.61820745096829499</v>
      </c>
      <c r="O2985" s="1">
        <v>5.1568041421150901E-10</v>
      </c>
      <c r="P2985" s="2">
        <f t="shared" si="102"/>
        <v>4.1287189970715312</v>
      </c>
    </row>
    <row r="2986" spans="13:16" x14ac:dyDescent="0.25">
      <c r="M2986">
        <v>0.99602020032170202</v>
      </c>
      <c r="N2986">
        <v>0.99594292994354605</v>
      </c>
      <c r="O2986" s="1">
        <v>1.20144239165943E-9</v>
      </c>
      <c r="P2986" s="2">
        <f t="shared" si="102"/>
        <v>4.9696193357383862</v>
      </c>
    </row>
    <row r="2987" spans="13:16" x14ac:dyDescent="0.25">
      <c r="M2987">
        <v>0.618270308793606</v>
      </c>
      <c r="N2987">
        <v>0.61826151224514203</v>
      </c>
      <c r="O2987" s="1">
        <v>1.06041002729114E-9</v>
      </c>
      <c r="P2987" s="2">
        <f t="shared" si="102"/>
        <v>7.2971079947925899E-2</v>
      </c>
    </row>
    <row r="2988" spans="13:16" x14ac:dyDescent="0.25">
      <c r="M2988">
        <v>0.99589403576084101</v>
      </c>
      <c r="N2988">
        <v>0.995884258758168</v>
      </c>
      <c r="O2988" s="1">
        <v>1.2962806554506299E-9</v>
      </c>
      <c r="P2988" s="2">
        <f t="shared" si="102"/>
        <v>7.3741578157665771E-2</v>
      </c>
    </row>
    <row r="2989" spans="13:16" x14ac:dyDescent="0.25">
      <c r="M2989">
        <v>0.61825089723517002</v>
      </c>
      <c r="N2989">
        <v>0.61824530181569204</v>
      </c>
      <c r="O2989" s="1">
        <v>1.1819172729960699E-9</v>
      </c>
      <c r="P2989" s="2">
        <f t="shared" si="102"/>
        <v>2.6489772042303857E-2</v>
      </c>
    </row>
    <row r="2990" spans="13:16" x14ac:dyDescent="0.25">
      <c r="M2990">
        <v>0.99590640810716002</v>
      </c>
      <c r="N2990">
        <v>0.99590185058059899</v>
      </c>
      <c r="O2990" s="1">
        <v>9.1613024209408501E-10</v>
      </c>
      <c r="P2990" s="2">
        <f t="shared" si="102"/>
        <v>2.267259326255211E-2</v>
      </c>
    </row>
    <row r="2991" spans="13:16" x14ac:dyDescent="0.25">
      <c r="M2991">
        <v>0.61817841782238503</v>
      </c>
      <c r="N2991">
        <v>0.61819809282312699</v>
      </c>
      <c r="O2991" s="1">
        <v>8.6573695181481897E-10</v>
      </c>
      <c r="P2991" s="2">
        <f t="shared" si="102"/>
        <v>0.44714003876651226</v>
      </c>
    </row>
    <row r="2992" spans="13:16" x14ac:dyDescent="0.25">
      <c r="M2992">
        <v>0.99592404562397796</v>
      </c>
      <c r="N2992">
        <v>0.99595308694756501</v>
      </c>
      <c r="O2992" s="1">
        <v>1.6076316152001899E-9</v>
      </c>
      <c r="P2992" s="2">
        <f t="shared" si="102"/>
        <v>0.52462172783465955</v>
      </c>
    </row>
    <row r="2993" spans="13:16" x14ac:dyDescent="0.25">
      <c r="M2993">
        <v>0.61824573869680499</v>
      </c>
      <c r="N2993">
        <v>0.61823229008346103</v>
      </c>
      <c r="O2993" s="1">
        <v>7.1882713553890305E-10</v>
      </c>
      <c r="P2993" s="2">
        <f t="shared" si="102"/>
        <v>0.25161153764694227</v>
      </c>
    </row>
    <row r="2994" spans="13:16" x14ac:dyDescent="0.25">
      <c r="M2994">
        <v>0.99593296503661399</v>
      </c>
      <c r="N2994">
        <v>0.99591597168318402</v>
      </c>
      <c r="O2994" s="1">
        <v>1.0506154759121801E-9</v>
      </c>
      <c r="P2994" s="2">
        <f t="shared" si="102"/>
        <v>0.27486179997990223</v>
      </c>
    </row>
    <row r="2995" spans="13:16" x14ac:dyDescent="0.25">
      <c r="M2995">
        <v>0.61826758244325997</v>
      </c>
      <c r="N2995">
        <v>0.618228101190749</v>
      </c>
      <c r="O2995" s="1">
        <v>5.4590672325506903E-10</v>
      </c>
      <c r="P2995" s="2">
        <f t="shared" si="102"/>
        <v>2.8553766301687755</v>
      </c>
    </row>
    <row r="2996" spans="13:16" x14ac:dyDescent="0.25">
      <c r="M2996">
        <v>0.99599224286111798</v>
      </c>
      <c r="N2996">
        <v>0.99592051782353697</v>
      </c>
      <c r="O2996" s="1">
        <v>1.43863892516413E-9</v>
      </c>
      <c r="P2996" s="2">
        <f t="shared" si="102"/>
        <v>3.5759362033189026</v>
      </c>
    </row>
    <row r="2997" spans="13:16" x14ac:dyDescent="0.25">
      <c r="M2997">
        <v>0.61821537034538099</v>
      </c>
      <c r="N2997">
        <v>0.61821781751777605</v>
      </c>
      <c r="O2997" s="1">
        <v>5.7091314903829699E-10</v>
      </c>
      <c r="P2997" s="2">
        <f t="shared" si="102"/>
        <v>1.0489603788645767E-2</v>
      </c>
    </row>
    <row r="2998" spans="13:16" x14ac:dyDescent="0.25">
      <c r="M2998">
        <v>0.99592715975567703</v>
      </c>
      <c r="N2998">
        <v>0.99593167875311395</v>
      </c>
      <c r="O2998" s="1">
        <v>1.62709937300443E-9</v>
      </c>
      <c r="P2998" s="2">
        <f t="shared" si="102"/>
        <v>1.2550762524835442E-2</v>
      </c>
    </row>
    <row r="2999" spans="13:16" x14ac:dyDescent="0.25">
      <c r="M2999">
        <v>0.61828385093421201</v>
      </c>
      <c r="N2999">
        <v>0.61827430305478703</v>
      </c>
      <c r="O2999" s="1">
        <v>7.5640609044515204E-10</v>
      </c>
      <c r="P2999" s="2">
        <f t="shared" si="102"/>
        <v>0.12051992000782134</v>
      </c>
    </row>
    <row r="3000" spans="13:16" x14ac:dyDescent="0.25">
      <c r="M3000">
        <v>0.99588643505447905</v>
      </c>
      <c r="N3000">
        <v>0.99587037850780302</v>
      </c>
      <c r="O3000" s="1">
        <v>1.8268713354699701E-9</v>
      </c>
      <c r="P3000" s="2">
        <f t="shared" si="102"/>
        <v>0.14112252250814561</v>
      </c>
    </row>
    <row r="3001" spans="13:16" x14ac:dyDescent="0.25">
      <c r="M3001">
        <v>0.61828272342299395</v>
      </c>
      <c r="N3001">
        <v>0.61826972953619097</v>
      </c>
      <c r="O3001" s="1">
        <v>6.9575502912095999E-10</v>
      </c>
      <c r="P3001" s="2">
        <f t="shared" si="102"/>
        <v>0.24267319269255636</v>
      </c>
    </row>
    <row r="3002" spans="13:16" x14ac:dyDescent="0.25">
      <c r="M3002">
        <v>0.99589564211639203</v>
      </c>
      <c r="N3002">
        <v>0.99587534151474699</v>
      </c>
      <c r="O3002" s="1">
        <v>1.4958587909225599E-9</v>
      </c>
      <c r="P3002" s="2">
        <f t="shared" si="102"/>
        <v>0.27550356333864978</v>
      </c>
    </row>
    <row r="3003" spans="13:16" x14ac:dyDescent="0.25">
      <c r="M3003">
        <v>0.61818946857555201</v>
      </c>
      <c r="N3003">
        <v>0.61821059019899105</v>
      </c>
      <c r="O3003" s="1">
        <v>4.5615906416025103E-10</v>
      </c>
      <c r="P3003" s="2">
        <f t="shared" si="102"/>
        <v>0.97799871087004542</v>
      </c>
    </row>
    <row r="3004" spans="13:16" x14ac:dyDescent="0.25">
      <c r="M3004">
        <v>0.995901493596551</v>
      </c>
      <c r="N3004">
        <v>0.99593952278979703</v>
      </c>
      <c r="O3004" s="1">
        <v>1.14273717346388E-9</v>
      </c>
      <c r="P3004" s="2">
        <f t="shared" si="102"/>
        <v>1.2655749480519081</v>
      </c>
    </row>
    <row r="3005" spans="13:16" x14ac:dyDescent="0.25">
      <c r="M3005">
        <v>0.61827713891773295</v>
      </c>
      <c r="N3005">
        <v>0.61827126246060504</v>
      </c>
      <c r="O3005" s="1">
        <v>7.1737370378296197E-10</v>
      </c>
      <c r="P3005" s="2">
        <f t="shared" si="102"/>
        <v>4.8137739359589045E-2</v>
      </c>
    </row>
    <row r="3006" spans="13:16" x14ac:dyDescent="0.25">
      <c r="M3006">
        <v>0.995882796932265</v>
      </c>
      <c r="N3006">
        <v>0.99587367803712801</v>
      </c>
      <c r="O3006" s="1">
        <v>1.4359640613726799E-9</v>
      </c>
      <c r="P3006" s="2">
        <f t="shared" si="102"/>
        <v>5.7908307565870544E-2</v>
      </c>
    </row>
    <row r="3007" spans="13:16" x14ac:dyDescent="0.25">
      <c r="M3007">
        <v>0.61816995475833203</v>
      </c>
      <c r="N3007">
        <v>0.61821072741393002</v>
      </c>
      <c r="O3007" s="1">
        <v>4.2966350987207198E-10</v>
      </c>
      <c r="P3007" s="2">
        <f t="shared" si="102"/>
        <v>3.8690961794894561</v>
      </c>
    </row>
    <row r="3008" spans="13:16" x14ac:dyDescent="0.25">
      <c r="M3008">
        <v>0.995859484231574</v>
      </c>
      <c r="N3008">
        <v>0.99593937386467402</v>
      </c>
      <c r="O3008" s="1">
        <v>1.3210321779780299E-9</v>
      </c>
      <c r="P3008" s="2">
        <f t="shared" si="102"/>
        <v>4.8313383907302514</v>
      </c>
    </row>
    <row r="3009" spans="13:16" x14ac:dyDescent="0.25">
      <c r="M3009">
        <v>0.61819847955719298</v>
      </c>
      <c r="N3009">
        <v>0.61823203434692298</v>
      </c>
      <c r="O3009" s="1">
        <v>7.35326189405549E-10</v>
      </c>
      <c r="P3009" s="2">
        <f t="shared" si="102"/>
        <v>1.5311897359923803</v>
      </c>
    </row>
    <row r="3010" spans="13:16" x14ac:dyDescent="0.25">
      <c r="M3010">
        <v>0.99586122327439497</v>
      </c>
      <c r="N3010">
        <v>0.995916249228608</v>
      </c>
      <c r="O3010" s="1">
        <v>1.5987747979610101E-9</v>
      </c>
      <c r="P3010" s="2">
        <f t="shared" si="102"/>
        <v>1.8938599988665339</v>
      </c>
    </row>
    <row r="3011" spans="13:16" x14ac:dyDescent="0.25">
      <c r="M3011">
        <v>0.61825237545409795</v>
      </c>
      <c r="N3011">
        <v>0.61822334176936999</v>
      </c>
      <c r="O3011" s="1">
        <v>7.6919636463229498E-10</v>
      </c>
      <c r="P3011" s="2">
        <f t="shared" ref="P3011:P3074" si="103">(M3011-N3011)^2/O3011</f>
        <v>1.0958903183130815</v>
      </c>
    </row>
    <row r="3012" spans="13:16" x14ac:dyDescent="0.25">
      <c r="M3012">
        <v>0.99597521898361796</v>
      </c>
      <c r="N3012">
        <v>0.99592568321237795</v>
      </c>
      <c r="O3012" s="1">
        <v>1.8119015759920301E-9</v>
      </c>
      <c r="P3012" s="2">
        <f t="shared" si="103"/>
        <v>1.3542637551925025</v>
      </c>
    </row>
    <row r="3013" spans="13:16" x14ac:dyDescent="0.25">
      <c r="M3013">
        <v>0.61824892097072104</v>
      </c>
      <c r="N3013">
        <v>0.61823842661867601</v>
      </c>
      <c r="O3013" s="1">
        <v>7.34316136289936E-10</v>
      </c>
      <c r="P3013" s="2">
        <f t="shared" si="103"/>
        <v>0.14997821701357653</v>
      </c>
    </row>
    <row r="3014" spans="13:16" x14ac:dyDescent="0.25">
      <c r="M3014">
        <v>0.99592414546215502</v>
      </c>
      <c r="N3014">
        <v>0.99590931188968601</v>
      </c>
      <c r="O3014" s="1">
        <v>1.33687190758887E-9</v>
      </c>
      <c r="P3014" s="2">
        <f t="shared" si="103"/>
        <v>0.16458934542964082</v>
      </c>
    </row>
    <row r="3015" spans="13:16" x14ac:dyDescent="0.25">
      <c r="M3015">
        <v>0.61820370896418797</v>
      </c>
      <c r="N3015">
        <v>0.61821995420491205</v>
      </c>
      <c r="O3015" s="1">
        <v>7.7570972739081203E-10</v>
      </c>
      <c r="P3015" s="2">
        <f t="shared" si="103"/>
        <v>0.3402146922546842</v>
      </c>
    </row>
    <row r="3016" spans="13:16" x14ac:dyDescent="0.25">
      <c r="M3016">
        <v>0.99591075631996695</v>
      </c>
      <c r="N3016">
        <v>0.99592935976867003</v>
      </c>
      <c r="O3016" s="1">
        <v>1.0045919911973399E-9</v>
      </c>
      <c r="P3016" s="2">
        <f t="shared" si="103"/>
        <v>0.34450633359684729</v>
      </c>
    </row>
    <row r="3017" spans="13:16" x14ac:dyDescent="0.25">
      <c r="M3017">
        <v>0.61824567311441103</v>
      </c>
      <c r="N3017">
        <v>0.61822910829177602</v>
      </c>
      <c r="O3017" s="1">
        <v>5.2214963252955399E-10</v>
      </c>
      <c r="P3017" s="2">
        <f t="shared" si="103"/>
        <v>0.52550711871637068</v>
      </c>
    </row>
    <row r="3018" spans="13:16" x14ac:dyDescent="0.25">
      <c r="M3018">
        <v>0.99594856299492396</v>
      </c>
      <c r="N3018">
        <v>0.99591942482769003</v>
      </c>
      <c r="O3018" s="1">
        <v>1.39034272660352E-9</v>
      </c>
      <c r="P3018" s="2">
        <f t="shared" si="103"/>
        <v>0.61066438764113784</v>
      </c>
    </row>
    <row r="3019" spans="13:16" x14ac:dyDescent="0.25">
      <c r="M3019">
        <v>0.61821089302810495</v>
      </c>
      <c r="N3019">
        <v>0.61822924297196102</v>
      </c>
      <c r="O3019" s="1">
        <v>4.0501009549317298E-10</v>
      </c>
      <c r="P3019" s="2">
        <f t="shared" si="103"/>
        <v>0.83138776852260221</v>
      </c>
    </row>
    <row r="3020" spans="13:16" x14ac:dyDescent="0.25">
      <c r="M3020">
        <v>0.99588733089963299</v>
      </c>
      <c r="N3020">
        <v>0.99591927866096897</v>
      </c>
      <c r="O3020" s="1">
        <v>1.08570573642041E-9</v>
      </c>
      <c r="P3020" s="2">
        <f t="shared" si="103"/>
        <v>0.94008847898813475</v>
      </c>
    </row>
    <row r="3021" spans="13:16" x14ac:dyDescent="0.25">
      <c r="M3021">
        <v>0.61820434775287003</v>
      </c>
      <c r="N3021">
        <v>0.61820405931634004</v>
      </c>
      <c r="O3021" s="1">
        <v>3.28981845958244E-10</v>
      </c>
      <c r="P3021" s="2">
        <f t="shared" si="103"/>
        <v>2.5288821513090104E-4</v>
      </c>
    </row>
    <row r="3022" spans="13:16" x14ac:dyDescent="0.25">
      <c r="M3022">
        <v>0.99594721758320004</v>
      </c>
      <c r="N3022">
        <v>0.99594661109442395</v>
      </c>
      <c r="O3022" s="1">
        <v>1.1627486910354801E-9</v>
      </c>
      <c r="P3022" s="2">
        <f t="shared" si="103"/>
        <v>3.1634405470255664E-4</v>
      </c>
    </row>
    <row r="3023" spans="13:16" x14ac:dyDescent="0.25">
      <c r="M3023">
        <v>0.61817422501712005</v>
      </c>
      <c r="N3023">
        <v>0.61817035950419497</v>
      </c>
      <c r="O3023" s="1">
        <v>3.3373768465144998E-10</v>
      </c>
      <c r="P3023" s="2">
        <f t="shared" si="103"/>
        <v>4.4772259355696467E-2</v>
      </c>
    </row>
    <row r="3024" spans="13:16" x14ac:dyDescent="0.25">
      <c r="M3024">
        <v>0.99599011005305604</v>
      </c>
      <c r="N3024">
        <v>0.99598318923504503</v>
      </c>
      <c r="O3024" s="1">
        <v>9.7465359316212992E-10</v>
      </c>
      <c r="P3024" s="2">
        <f t="shared" si="103"/>
        <v>4.9143328745316642E-2</v>
      </c>
    </row>
    <row r="3025" spans="13:16" x14ac:dyDescent="0.25">
      <c r="M3025">
        <v>0.61817324217692504</v>
      </c>
      <c r="N3025">
        <v>0.61818718813186302</v>
      </c>
      <c r="O3025" s="1">
        <v>4.2334445489546402E-10</v>
      </c>
      <c r="P3025" s="2">
        <f t="shared" si="103"/>
        <v>0.45941232224269174</v>
      </c>
    </row>
    <row r="3026" spans="13:16" x14ac:dyDescent="0.25">
      <c r="M3026">
        <v>0.99594477712688001</v>
      </c>
      <c r="N3026">
        <v>0.99596492284337002</v>
      </c>
      <c r="O3026" s="1">
        <v>8.4003891287634401E-10</v>
      </c>
      <c r="P3026" s="2">
        <f t="shared" si="103"/>
        <v>0.48313225336909832</v>
      </c>
    </row>
    <row r="3027" spans="13:16" x14ac:dyDescent="0.25">
      <c r="M3027">
        <v>0.618209118122656</v>
      </c>
      <c r="N3027">
        <v>0.618180497123063</v>
      </c>
      <c r="O3027" s="1">
        <v>5.9965760000569001E-10</v>
      </c>
      <c r="P3027" s="2">
        <f t="shared" si="103"/>
        <v>1.3660489214089142</v>
      </c>
    </row>
    <row r="3028" spans="13:16" x14ac:dyDescent="0.25">
      <c r="M3028">
        <v>0.99601497453647703</v>
      </c>
      <c r="N3028">
        <v>0.99597218540289301</v>
      </c>
      <c r="O3028" s="1">
        <v>1.22231631817117E-9</v>
      </c>
      <c r="P3028" s="2">
        <f t="shared" si="103"/>
        <v>1.497901914301969</v>
      </c>
    </row>
    <row r="3029" spans="13:16" x14ac:dyDescent="0.25">
      <c r="M3029">
        <v>0.61821350901096395</v>
      </c>
      <c r="N3029">
        <v>0.618201959114274</v>
      </c>
      <c r="O3029" s="1">
        <v>3.5139067543825298E-10</v>
      </c>
      <c r="P3029" s="2">
        <f t="shared" si="103"/>
        <v>0.37963475661955387</v>
      </c>
    </row>
    <row r="3030" spans="13:16" x14ac:dyDescent="0.25">
      <c r="M3030">
        <v>0.99596792698196801</v>
      </c>
      <c r="N3030">
        <v>0.99594889057895097</v>
      </c>
      <c r="O3030" s="1">
        <v>7.96999581221685E-10</v>
      </c>
      <c r="P3030" s="2">
        <f t="shared" si="103"/>
        <v>0.45468611071482845</v>
      </c>
    </row>
    <row r="3031" spans="13:16" x14ac:dyDescent="0.25">
      <c r="M3031">
        <v>0.61815805544684999</v>
      </c>
      <c r="N3031">
        <v>0.61817580158051499</v>
      </c>
      <c r="O3031" s="1">
        <v>3.01815329434536E-10</v>
      </c>
      <c r="P3031" s="2">
        <f t="shared" si="103"/>
        <v>1.0434369276284925</v>
      </c>
    </row>
    <row r="3032" spans="13:16" x14ac:dyDescent="0.25">
      <c r="M3032">
        <v>0.99594199544916895</v>
      </c>
      <c r="N3032">
        <v>0.99597728212058101</v>
      </c>
      <c r="O3032" s="1">
        <v>1.0477471269502699E-9</v>
      </c>
      <c r="P3032" s="2">
        <f t="shared" si="103"/>
        <v>1.1884061977502465</v>
      </c>
    </row>
    <row r="3033" spans="13:16" x14ac:dyDescent="0.25">
      <c r="M3033">
        <v>6.6301271012658001</v>
      </c>
      <c r="N3033">
        <v>6.6300745464305297</v>
      </c>
      <c r="O3033" s="1">
        <v>1.7370623773949801E-7</v>
      </c>
      <c r="P3033" s="2">
        <f t="shared" si="103"/>
        <v>1.5900469356973736E-2</v>
      </c>
    </row>
    <row r="3034" spans="13:16" x14ac:dyDescent="0.25">
      <c r="M3034">
        <v>2.7066821185085499</v>
      </c>
      <c r="N3034">
        <v>2.7064517656849398</v>
      </c>
      <c r="O3034" s="1">
        <v>3.3519654219285098E-8</v>
      </c>
      <c r="P3034" s="2">
        <f t="shared" si="103"/>
        <v>1.5830241862876331</v>
      </c>
    </row>
    <row r="3035" spans="13:16" x14ac:dyDescent="0.25">
      <c r="M3035">
        <v>3.16395302134995</v>
      </c>
      <c r="N3035">
        <v>3.1639128095819098</v>
      </c>
      <c r="O3035" s="1">
        <v>4.0439363550684497E-8</v>
      </c>
      <c r="P3035" s="2">
        <f t="shared" si="103"/>
        <v>3.9985453452960722E-2</v>
      </c>
    </row>
    <row r="3036" spans="13:16" x14ac:dyDescent="0.25">
      <c r="M3036">
        <v>1.0040372535472499</v>
      </c>
      <c r="N3036">
        <v>1.0039023369156601</v>
      </c>
      <c r="O3036" s="1">
        <v>7.30243273184419E-9</v>
      </c>
      <c r="P3036" s="2">
        <f t="shared" si="103"/>
        <v>2.4926621234272597</v>
      </c>
    </row>
    <row r="3037" spans="13:16" x14ac:dyDescent="0.25">
      <c r="M3037">
        <v>6.63292713761005</v>
      </c>
      <c r="N3037">
        <v>6.6333520859978998</v>
      </c>
      <c r="O3037" s="1">
        <v>1.4821907965349299E-7</v>
      </c>
      <c r="P3037" s="2">
        <f t="shared" si="103"/>
        <v>1.2183393174367112</v>
      </c>
    </row>
    <row r="3038" spans="13:16" x14ac:dyDescent="0.25">
      <c r="M3038">
        <v>2.7073844901050999</v>
      </c>
      <c r="N3038">
        <v>2.70734559692754</v>
      </c>
      <c r="O3038" s="1">
        <v>2.5454691672368E-8</v>
      </c>
      <c r="P3038" s="2">
        <f t="shared" si="103"/>
        <v>5.9426343880944713E-2</v>
      </c>
    </row>
    <row r="3039" spans="13:16" x14ac:dyDescent="0.25">
      <c r="M3039">
        <v>3.1641837057429001</v>
      </c>
      <c r="N3039">
        <v>3.1644860574437699</v>
      </c>
      <c r="O3039" s="1">
        <v>2.9339386923962401E-8</v>
      </c>
      <c r="P3039" s="2">
        <f t="shared" si="103"/>
        <v>3.115830308784989</v>
      </c>
    </row>
    <row r="3040" spans="13:16" x14ac:dyDescent="0.25">
      <c r="M3040">
        <v>1.0034048935544999</v>
      </c>
      <c r="N3040">
        <v>1.00344682225905</v>
      </c>
      <c r="O3040" s="1">
        <v>4.0488159363263104E-9</v>
      </c>
      <c r="P3040" s="2">
        <f t="shared" si="103"/>
        <v>0.43420503497758245</v>
      </c>
    </row>
    <row r="3041" spans="13:16" x14ac:dyDescent="0.25">
      <c r="M3041">
        <v>6.6392249975792996</v>
      </c>
      <c r="N3041">
        <v>6.6389244356654196</v>
      </c>
      <c r="O3041" s="1">
        <v>2.30710055678878E-7</v>
      </c>
      <c r="P3041" s="2">
        <f t="shared" si="103"/>
        <v>0.39156275095778154</v>
      </c>
    </row>
    <row r="3042" spans="13:16" x14ac:dyDescent="0.25">
      <c r="M3042">
        <v>2.7090110104914</v>
      </c>
      <c r="N3042">
        <v>2.7088649188881502</v>
      </c>
      <c r="O3042" s="1">
        <v>3.1886141469797898E-8</v>
      </c>
      <c r="P3042" s="2">
        <f t="shared" si="103"/>
        <v>0.66934271618685048</v>
      </c>
    </row>
    <row r="3043" spans="13:16" x14ac:dyDescent="0.25">
      <c r="M3043">
        <v>3.1655595475417502</v>
      </c>
      <c r="N3043">
        <v>3.1654602602499602</v>
      </c>
      <c r="O3043" s="1">
        <v>3.18443658055038E-8</v>
      </c>
      <c r="P3043" s="2">
        <f t="shared" si="103"/>
        <v>0.30956704778481514</v>
      </c>
    </row>
    <row r="3044" spans="13:16" x14ac:dyDescent="0.25">
      <c r="M3044">
        <v>1.0027373400049999</v>
      </c>
      <c r="N3044">
        <v>1.0026733635732901</v>
      </c>
      <c r="O3044" s="1">
        <v>3.85723840018577E-9</v>
      </c>
      <c r="P3044" s="2">
        <f t="shared" si="103"/>
        <v>1.0611176675335139</v>
      </c>
    </row>
    <row r="3045" spans="13:16" x14ac:dyDescent="0.25">
      <c r="M3045">
        <v>6.6419258906579497</v>
      </c>
      <c r="N3045">
        <v>6.6419709543315602</v>
      </c>
      <c r="O3045" s="1">
        <v>1.3894727202818699E-7</v>
      </c>
      <c r="P3045" s="2">
        <f t="shared" si="103"/>
        <v>1.4615146088351025E-2</v>
      </c>
    </row>
    <row r="3046" spans="13:16" x14ac:dyDescent="0.25">
      <c r="M3046">
        <v>2.7097055416235998</v>
      </c>
      <c r="N3046">
        <v>2.7096953846429002</v>
      </c>
      <c r="O3046" s="1">
        <v>1.5191724807459002E-8</v>
      </c>
      <c r="P3046" s="2">
        <f t="shared" si="103"/>
        <v>6.7908192282234783E-3</v>
      </c>
    </row>
    <row r="3047" spans="13:16" x14ac:dyDescent="0.25">
      <c r="M3047">
        <v>3.1659703001669999</v>
      </c>
      <c r="N3047">
        <v>3.1659926580640798</v>
      </c>
      <c r="O3047" s="1">
        <v>1.8382688898459199E-8</v>
      </c>
      <c r="P3047" s="2">
        <f t="shared" si="103"/>
        <v>2.7192733587469441E-2</v>
      </c>
    </row>
    <row r="3048" spans="13:16" x14ac:dyDescent="0.25">
      <c r="M3048">
        <v>1.00225133868225</v>
      </c>
      <c r="N3048">
        <v>1.0022510240582301</v>
      </c>
      <c r="O3048" s="1">
        <v>3.8267460065521996E-9</v>
      </c>
      <c r="P3048" s="2">
        <f t="shared" si="103"/>
        <v>2.5867479513613828E-5</v>
      </c>
    </row>
    <row r="3049" spans="13:16" x14ac:dyDescent="0.25">
      <c r="M3049">
        <v>6.6461782243014502</v>
      </c>
      <c r="N3049">
        <v>6.6466048591891997</v>
      </c>
      <c r="O3049" s="1">
        <v>1.1686953221009301E-7</v>
      </c>
      <c r="P3049" s="2">
        <f t="shared" si="103"/>
        <v>1.5574403696409067</v>
      </c>
    </row>
    <row r="3050" spans="13:16" x14ac:dyDescent="0.25">
      <c r="M3050">
        <v>2.7105276184248002</v>
      </c>
      <c r="N3050">
        <v>2.7109583216036302</v>
      </c>
      <c r="O3050" s="1">
        <v>1.8100646842583199E-8</v>
      </c>
      <c r="P3050" s="2">
        <f t="shared" si="103"/>
        <v>10.248541384600506</v>
      </c>
    </row>
    <row r="3051" spans="13:16" x14ac:dyDescent="0.25">
      <c r="M3051">
        <v>3.1665959689112499</v>
      </c>
      <c r="N3051">
        <v>3.1668021648521001</v>
      </c>
      <c r="O3051" s="1">
        <v>3.4521260431493597E-8</v>
      </c>
      <c r="P3051" s="2">
        <f t="shared" si="103"/>
        <v>1.23161105624888</v>
      </c>
    </row>
    <row r="3052" spans="13:16" x14ac:dyDescent="0.25">
      <c r="M3052">
        <v>1.0015671783229001</v>
      </c>
      <c r="N3052">
        <v>1.0016093368808101</v>
      </c>
      <c r="O3052" s="1">
        <v>4.1663369217294604E-9</v>
      </c>
      <c r="P3052" s="2">
        <f t="shared" si="103"/>
        <v>0.42659632152694776</v>
      </c>
    </row>
    <row r="3053" spans="13:16" x14ac:dyDescent="0.25">
      <c r="M3053">
        <v>6.6484896617402498</v>
      </c>
      <c r="N3053">
        <v>6.6495345134763797</v>
      </c>
      <c r="O3053" s="1">
        <v>1.0162715822724901E-7</v>
      </c>
      <c r="P3053" s="2">
        <f t="shared" si="103"/>
        <v>10.742356369470263</v>
      </c>
    </row>
    <row r="3054" spans="13:16" x14ac:dyDescent="0.25">
      <c r="M3054">
        <v>2.7113479977414001</v>
      </c>
      <c r="N3054">
        <v>2.7117566267357098</v>
      </c>
      <c r="O3054" s="1">
        <v>1.5785069697640698E-8</v>
      </c>
      <c r="P3054" s="2">
        <f t="shared" si="103"/>
        <v>10.578201945825043</v>
      </c>
    </row>
    <row r="3055" spans="13:16" x14ac:dyDescent="0.25">
      <c r="M3055">
        <v>3.1667884734251999</v>
      </c>
      <c r="N3055">
        <v>3.1673137680113901</v>
      </c>
      <c r="O3055" s="1">
        <v>1.81791076421866E-8</v>
      </c>
      <c r="P3055" s="2">
        <f t="shared" si="103"/>
        <v>15.17865495446077</v>
      </c>
    </row>
    <row r="3056" spans="13:16" x14ac:dyDescent="0.25">
      <c r="M3056">
        <v>1.0012267545840501</v>
      </c>
      <c r="N3056">
        <v>1.00120409106352</v>
      </c>
      <c r="O3056" s="1">
        <v>4.3195552562903203E-9</v>
      </c>
      <c r="P3056" s="2">
        <f t="shared" si="103"/>
        <v>0.11890927013091231</v>
      </c>
    </row>
    <row r="3057" spans="13:16" x14ac:dyDescent="0.25">
      <c r="M3057">
        <v>6.6547667121682998</v>
      </c>
      <c r="N3057">
        <v>6.6543219111012197</v>
      </c>
      <c r="O3057" s="1">
        <v>9.8016324756524797E-8</v>
      </c>
      <c r="P3057" s="2">
        <f t="shared" si="103"/>
        <v>2.0185207899507329</v>
      </c>
    </row>
    <row r="3058" spans="13:16" x14ac:dyDescent="0.25">
      <c r="M3058">
        <v>2.7130241472122001</v>
      </c>
      <c r="N3058">
        <v>2.7130608994873402</v>
      </c>
      <c r="O3058" s="1">
        <v>1.8572736794465999E-8</v>
      </c>
      <c r="P3058" s="2">
        <f t="shared" si="103"/>
        <v>7.2726477681874693E-2</v>
      </c>
    </row>
    <row r="3059" spans="13:16" x14ac:dyDescent="0.25">
      <c r="M3059">
        <v>3.1683438578662502</v>
      </c>
      <c r="N3059">
        <v>3.1681494801892698</v>
      </c>
      <c r="O3059" s="1">
        <v>1.19739641401288E-8</v>
      </c>
      <c r="P3059" s="2">
        <f t="shared" si="103"/>
        <v>3.1554029113606554</v>
      </c>
    </row>
    <row r="3060" spans="13:16" x14ac:dyDescent="0.25">
      <c r="M3060">
        <v>1.0005478972205</v>
      </c>
      <c r="N3060">
        <v>1.0005426086468501</v>
      </c>
      <c r="O3060" s="1">
        <v>4.2302186420941401E-9</v>
      </c>
      <c r="P3060" s="2">
        <f t="shared" si="103"/>
        <v>6.6117176478955614E-3</v>
      </c>
    </row>
    <row r="3061" spans="13:16" x14ac:dyDescent="0.25">
      <c r="M3061">
        <v>6.6569904080243498</v>
      </c>
      <c r="N3061">
        <v>6.65707507010573</v>
      </c>
      <c r="O3061" s="1">
        <v>1.21906368220848E-7</v>
      </c>
      <c r="P3061" s="2">
        <f t="shared" si="103"/>
        <v>5.8796502005801832E-2</v>
      </c>
    </row>
    <row r="3062" spans="13:16" x14ac:dyDescent="0.25">
      <c r="M3062">
        <v>2.7135493545559002</v>
      </c>
      <c r="N3062">
        <v>2.71381082571747</v>
      </c>
      <c r="O3062" s="1">
        <v>2.0599352864064501E-8</v>
      </c>
      <c r="P3062" s="2">
        <f t="shared" si="103"/>
        <v>3.318898840358254</v>
      </c>
    </row>
    <row r="3063" spans="13:16" x14ac:dyDescent="0.25">
      <c r="M3063">
        <v>3.1686814626173998</v>
      </c>
      <c r="N3063">
        <v>3.1686299129783202</v>
      </c>
      <c r="O3063" s="1">
        <v>2.2173789445918301E-8</v>
      </c>
      <c r="P3063" s="2">
        <f t="shared" si="103"/>
        <v>0.1198426320281881</v>
      </c>
    </row>
    <row r="3064" spans="13:16" x14ac:dyDescent="0.25">
      <c r="M3064">
        <v>1.0002258174779499</v>
      </c>
      <c r="N3064">
        <v>1.0001626135481201</v>
      </c>
      <c r="O3064" s="1">
        <v>4.75541402361036E-9</v>
      </c>
      <c r="P3064" s="2">
        <f t="shared" si="103"/>
        <v>0.84003973704522494</v>
      </c>
    </row>
    <row r="3065" spans="13:16" x14ac:dyDescent="0.25">
      <c r="M3065">
        <v>6.6586581938637002</v>
      </c>
      <c r="N3065">
        <v>6.6584850200593104</v>
      </c>
      <c r="O3065" s="1">
        <v>9.7032677913423706E-8</v>
      </c>
      <c r="P3065" s="2">
        <f t="shared" si="103"/>
        <v>0.3090625464709546</v>
      </c>
    </row>
    <row r="3066" spans="13:16" x14ac:dyDescent="0.25">
      <c r="M3066">
        <v>2.7142305825838</v>
      </c>
      <c r="N3066">
        <v>2.7141948386739698</v>
      </c>
      <c r="O3066" s="1">
        <v>1.4924050402568099E-8</v>
      </c>
      <c r="P3066" s="2">
        <f t="shared" si="103"/>
        <v>8.5608601920077285E-2</v>
      </c>
    </row>
    <row r="3067" spans="13:16" x14ac:dyDescent="0.25">
      <c r="M3067">
        <v>3.1688827240584501</v>
      </c>
      <c r="N3067">
        <v>3.1688759038656</v>
      </c>
      <c r="O3067" s="1">
        <v>2.2466156325762301E-8</v>
      </c>
      <c r="P3067" s="2">
        <f t="shared" si="103"/>
        <v>2.0704489827790885E-3</v>
      </c>
    </row>
    <row r="3068" spans="13:16" x14ac:dyDescent="0.25">
      <c r="M3068">
        <v>1.00015242443055</v>
      </c>
      <c r="N3068">
        <v>0.99996812686338599</v>
      </c>
      <c r="O3068" s="1">
        <v>4.13223496082431E-9</v>
      </c>
      <c r="P3068" s="2">
        <f t="shared" si="103"/>
        <v>8.2196664963569841</v>
      </c>
    </row>
    <row r="3069" spans="13:16" x14ac:dyDescent="0.25">
      <c r="M3069">
        <v>6.6597258765029999</v>
      </c>
      <c r="N3069">
        <v>6.6609726933408702</v>
      </c>
      <c r="O3069" s="1">
        <v>1.7233818323395499E-7</v>
      </c>
      <c r="P3069" s="2">
        <f t="shared" si="103"/>
        <v>9.020358680969542</v>
      </c>
    </row>
    <row r="3070" spans="13:16" x14ac:dyDescent="0.25">
      <c r="M3070">
        <v>2.7138360174829499</v>
      </c>
      <c r="N3070">
        <v>2.7148723137781001</v>
      </c>
      <c r="O3070" s="1">
        <v>2.7086904881102299E-8</v>
      </c>
      <c r="P3070" s="2">
        <f t="shared" si="103"/>
        <v>39.646833628870091</v>
      </c>
    </row>
    <row r="3071" spans="13:16" x14ac:dyDescent="0.25">
      <c r="M3071">
        <v>3.16878785610445</v>
      </c>
      <c r="N3071">
        <v>3.1693098423352</v>
      </c>
      <c r="O3071" s="1">
        <v>3.4750543734087802E-8</v>
      </c>
      <c r="P3071" s="2">
        <f t="shared" si="103"/>
        <v>7.8407298365598166</v>
      </c>
    </row>
    <row r="3072" spans="13:16" x14ac:dyDescent="0.25">
      <c r="M3072">
        <v>0.99959352345234997</v>
      </c>
      <c r="N3072">
        <v>0.99962517299837095</v>
      </c>
      <c r="O3072" s="1">
        <v>7.2165080180781404E-9</v>
      </c>
      <c r="P3072" s="2">
        <f t="shared" si="103"/>
        <v>0.1388058824052221</v>
      </c>
    </row>
    <row r="3073" spans="13:16" x14ac:dyDescent="0.25">
      <c r="M3073">
        <v>0.63543838818579501</v>
      </c>
      <c r="N3073">
        <v>0.63540910619831104</v>
      </c>
      <c r="O3073" s="1">
        <v>1.3864526469926101E-9</v>
      </c>
      <c r="P3073" s="2">
        <f t="shared" si="103"/>
        <v>0.61843784774877597</v>
      </c>
    </row>
    <row r="3074" spans="13:16" x14ac:dyDescent="0.25">
      <c r="M3074">
        <v>0.995373046769222</v>
      </c>
      <c r="N3074">
        <v>0.99532996011514197</v>
      </c>
      <c r="O3074" s="1">
        <v>2.4542516760536602E-9</v>
      </c>
      <c r="P3074" s="2">
        <f t="shared" si="103"/>
        <v>0.75642599246298892</v>
      </c>
    </row>
    <row r="3075" spans="13:16" x14ac:dyDescent="0.25">
      <c r="M3075">
        <v>0.63539465149157204</v>
      </c>
      <c r="N3075">
        <v>0.63537671781730098</v>
      </c>
      <c r="O3075" s="1">
        <v>1.1166198726842799E-9</v>
      </c>
      <c r="P3075" s="2">
        <f t="shared" ref="P3075:P3138" si="104">(M3075-N3075)^2/O3075</f>
        <v>0.28802700070803688</v>
      </c>
    </row>
    <row r="3076" spans="13:16" x14ac:dyDescent="0.25">
      <c r="M3076">
        <v>0.99538071178574095</v>
      </c>
      <c r="N3076">
        <v>0.99536414164801301</v>
      </c>
      <c r="O3076" s="1">
        <v>1.0258411323368501E-9</v>
      </c>
      <c r="P3076" s="2">
        <f t="shared" si="104"/>
        <v>0.26765300753463334</v>
      </c>
    </row>
    <row r="3077" spans="13:16" x14ac:dyDescent="0.25">
      <c r="M3077">
        <v>0.63542816733575702</v>
      </c>
      <c r="N3077">
        <v>0.63541105040849699</v>
      </c>
      <c r="O3077" s="1">
        <v>8.4836218404585995E-10</v>
      </c>
      <c r="P3077" s="2">
        <f t="shared" si="104"/>
        <v>0.34535862669867384</v>
      </c>
    </row>
    <row r="3078" spans="13:16" x14ac:dyDescent="0.25">
      <c r="M3078">
        <v>0.99535202755460395</v>
      </c>
      <c r="N3078">
        <v>0.99532790835839002</v>
      </c>
      <c r="O3078" s="1">
        <v>1.4728935028791799E-9</v>
      </c>
      <c r="P3078" s="2">
        <f t="shared" si="104"/>
        <v>0.39496109180233258</v>
      </c>
    </row>
    <row r="3079" spans="13:16" x14ac:dyDescent="0.25">
      <c r="M3079">
        <v>0.63544200974865295</v>
      </c>
      <c r="N3079">
        <v>0.63543312696045895</v>
      </c>
      <c r="O3079" s="1">
        <v>4.8675206235288204E-10</v>
      </c>
      <c r="P3079" s="2">
        <f t="shared" si="104"/>
        <v>0.16210291070574928</v>
      </c>
    </row>
    <row r="3080" spans="13:16" x14ac:dyDescent="0.25">
      <c r="M3080">
        <v>0.99552826715498099</v>
      </c>
      <c r="N3080">
        <v>0.99530461134968595</v>
      </c>
      <c r="O3080" s="1">
        <v>3.5090808333805598E-8</v>
      </c>
      <c r="P3080" s="2">
        <f t="shared" si="104"/>
        <v>1.425499200996859</v>
      </c>
    </row>
    <row r="3081" spans="13:16" x14ac:dyDescent="0.25">
      <c r="M3081">
        <v>0.63546869045784704</v>
      </c>
      <c r="N3081">
        <v>0.63539997706112905</v>
      </c>
      <c r="O3081" s="1">
        <v>9.3148592187327796E-10</v>
      </c>
      <c r="P3081" s="2">
        <f t="shared" si="104"/>
        <v>5.0688161545464387</v>
      </c>
    </row>
    <row r="3082" spans="13:16" x14ac:dyDescent="0.25">
      <c r="M3082">
        <v>0.99543396875883094</v>
      </c>
      <c r="N3082">
        <v>0.99533959438316699</v>
      </c>
      <c r="O3082" s="1">
        <v>1.6078726639159601E-9</v>
      </c>
      <c r="P3082" s="2">
        <f t="shared" si="104"/>
        <v>5.5393209809718913</v>
      </c>
    </row>
    <row r="3083" spans="13:16" x14ac:dyDescent="0.25">
      <c r="M3083">
        <v>0.63540585695498097</v>
      </c>
      <c r="N3083">
        <v>0.63539409936511904</v>
      </c>
      <c r="O3083" s="1">
        <v>6.5311214446804901E-10</v>
      </c>
      <c r="P3083" s="2">
        <f t="shared" si="104"/>
        <v>0.21166490400227864</v>
      </c>
    </row>
    <row r="3084" spans="13:16" x14ac:dyDescent="0.25">
      <c r="M3084">
        <v>0.99535891652392094</v>
      </c>
      <c r="N3084">
        <v>0.99534579742479301</v>
      </c>
      <c r="O3084" s="1">
        <v>7.8587050417140198E-10</v>
      </c>
      <c r="P3084" s="2">
        <f t="shared" si="104"/>
        <v>0.21900651699611257</v>
      </c>
    </row>
    <row r="3085" spans="13:16" x14ac:dyDescent="0.25">
      <c r="M3085">
        <v>0.63540088063603795</v>
      </c>
      <c r="N3085">
        <v>0.63536704226860796</v>
      </c>
      <c r="O3085" s="1">
        <v>7.0203037655839403E-10</v>
      </c>
      <c r="P3085" s="2">
        <f t="shared" si="104"/>
        <v>1.6310335685756916</v>
      </c>
    </row>
    <row r="3086" spans="13:16" x14ac:dyDescent="0.25">
      <c r="M3086">
        <v>0.99543254109258095</v>
      </c>
      <c r="N3086">
        <v>0.99537435343997305</v>
      </c>
      <c r="O3086" s="1">
        <v>1.6898659486872001E-9</v>
      </c>
      <c r="P3086" s="2">
        <f t="shared" si="104"/>
        <v>2.0035926036901972</v>
      </c>
    </row>
    <row r="3087" spans="13:16" x14ac:dyDescent="0.25">
      <c r="M3087">
        <v>0.63542974225477999</v>
      </c>
      <c r="N3087">
        <v>0.63537868928329799</v>
      </c>
      <c r="O3087" s="1">
        <v>1.8215850775990201E-9</v>
      </c>
      <c r="P3087" s="2">
        <f t="shared" si="104"/>
        <v>1.4308449982350109</v>
      </c>
    </row>
    <row r="3088" spans="13:16" x14ac:dyDescent="0.25">
      <c r="M3088">
        <v>0.99540869003982502</v>
      </c>
      <c r="N3088">
        <v>0.99536206095032498</v>
      </c>
      <c r="O3088" s="1">
        <v>1.63301319332856E-9</v>
      </c>
      <c r="P3088" s="2">
        <f t="shared" si="104"/>
        <v>1.3314479004121329</v>
      </c>
    </row>
    <row r="3089" spans="13:16" x14ac:dyDescent="0.25">
      <c r="M3089">
        <v>0.63545035986549203</v>
      </c>
      <c r="N3089">
        <v>0.63539161619253204</v>
      </c>
      <c r="O3089" s="1">
        <v>5.7544965503290103E-10</v>
      </c>
      <c r="P3089" s="2">
        <f t="shared" si="104"/>
        <v>5.9967350447596433</v>
      </c>
    </row>
    <row r="3090" spans="13:16" x14ac:dyDescent="0.25">
      <c r="M3090">
        <v>0.99546419180389001</v>
      </c>
      <c r="N3090">
        <v>0.99534841807623797</v>
      </c>
      <c r="O3090" s="1">
        <v>1.4273336840276699E-9</v>
      </c>
      <c r="P3090" s="2">
        <f t="shared" si="104"/>
        <v>9.3906254468999357</v>
      </c>
    </row>
    <row r="3091" spans="13:16" x14ac:dyDescent="0.25">
      <c r="M3091">
        <v>0.635383898785021</v>
      </c>
      <c r="N3091">
        <v>0.63537884136814904</v>
      </c>
      <c r="O3091" s="1">
        <v>7.7599409506974298E-10</v>
      </c>
      <c r="P3091" s="2">
        <f t="shared" si="104"/>
        <v>3.2960902124455259E-2</v>
      </c>
    </row>
    <row r="3092" spans="13:16" x14ac:dyDescent="0.25">
      <c r="M3092">
        <v>0.995371119499325</v>
      </c>
      <c r="N3092">
        <v>0.99536190043946104</v>
      </c>
      <c r="O3092" s="1">
        <v>2.0798551731407201E-9</v>
      </c>
      <c r="P3092" s="2">
        <f t="shared" si="104"/>
        <v>4.086393412036779E-2</v>
      </c>
    </row>
    <row r="3093" spans="13:16" x14ac:dyDescent="0.25">
      <c r="M3093">
        <v>0.63543205469369601</v>
      </c>
      <c r="N3093">
        <v>0.63534830357626404</v>
      </c>
      <c r="O3093" s="1">
        <v>1.0492045542343401E-9</v>
      </c>
      <c r="P3093" s="2">
        <f t="shared" si="104"/>
        <v>6.6853023490952523</v>
      </c>
    </row>
    <row r="3094" spans="13:16" x14ac:dyDescent="0.25">
      <c r="M3094">
        <v>0.99553251973468304</v>
      </c>
      <c r="N3094">
        <v>0.99539413141800304</v>
      </c>
      <c r="O3094" s="1">
        <v>2.3339457390604E-9</v>
      </c>
      <c r="P3094" s="2">
        <f t="shared" si="104"/>
        <v>8.2055575984535309</v>
      </c>
    </row>
    <row r="3095" spans="13:16" x14ac:dyDescent="0.25">
      <c r="M3095">
        <v>0.63534211638846305</v>
      </c>
      <c r="N3095">
        <v>0.63534227574596103</v>
      </c>
      <c r="O3095" s="1">
        <v>6.5988534437849798E-10</v>
      </c>
      <c r="P3095" s="2">
        <f t="shared" si="104"/>
        <v>3.8483673530963672E-5</v>
      </c>
    </row>
    <row r="3096" spans="13:16" x14ac:dyDescent="0.25">
      <c r="M3096">
        <v>0.99540028587802898</v>
      </c>
      <c r="N3096">
        <v>0.99540049377147999</v>
      </c>
      <c r="O3096" s="1">
        <v>1.0418441307031099E-9</v>
      </c>
      <c r="P3096" s="2">
        <f t="shared" si="104"/>
        <v>4.1483832081052371E-5</v>
      </c>
    </row>
    <row r="3097" spans="13:16" x14ac:dyDescent="0.25">
      <c r="M3097">
        <v>0.63527812851002297</v>
      </c>
      <c r="N3097">
        <v>0.63526561862078901</v>
      </c>
      <c r="O3097" s="1">
        <v>1.16171255545845E-9</v>
      </c>
      <c r="P3097" s="2">
        <f t="shared" si="104"/>
        <v>0.13471260847666613</v>
      </c>
    </row>
    <row r="3098" spans="13:16" x14ac:dyDescent="0.25">
      <c r="M3098">
        <v>0.99549864927805098</v>
      </c>
      <c r="N3098">
        <v>0.99548141390784795</v>
      </c>
      <c r="O3098" s="1">
        <v>1.90313345595118E-9</v>
      </c>
      <c r="P3098" s="2">
        <f t="shared" si="104"/>
        <v>0.15608888862044817</v>
      </c>
    </row>
    <row r="3099" spans="13:16" x14ac:dyDescent="0.25">
      <c r="M3099">
        <v>0.63532409716787797</v>
      </c>
      <c r="N3099">
        <v>0.63530700381584204</v>
      </c>
      <c r="O3099" s="1">
        <v>1.52113961860144E-9</v>
      </c>
      <c r="P3099" s="2">
        <f t="shared" si="104"/>
        <v>0.19208143700356992</v>
      </c>
    </row>
    <row r="3100" spans="13:16" x14ac:dyDescent="0.25">
      <c r="M3100">
        <v>0.99545711004950099</v>
      </c>
      <c r="N3100">
        <v>0.99543772519378404</v>
      </c>
      <c r="O3100" s="1">
        <v>1.8441116905259299E-9</v>
      </c>
      <c r="P3100" s="2">
        <f t="shared" si="104"/>
        <v>0.20376891112268486</v>
      </c>
    </row>
    <row r="3101" spans="13:16" x14ac:dyDescent="0.25">
      <c r="M3101">
        <v>0.63531535856466403</v>
      </c>
      <c r="N3101">
        <v>0.635322734796407</v>
      </c>
      <c r="O3101" s="1">
        <v>1.5458154026031601E-9</v>
      </c>
      <c r="P3101" s="2">
        <f t="shared" si="104"/>
        <v>3.5197472242965579E-2</v>
      </c>
    </row>
    <row r="3102" spans="13:16" x14ac:dyDescent="0.25">
      <c r="M3102">
        <v>0.99541154932133302</v>
      </c>
      <c r="N3102">
        <v>0.99542111986898296</v>
      </c>
      <c r="O3102" s="1">
        <v>2.3345432159040601E-9</v>
      </c>
      <c r="P3102" s="2">
        <f t="shared" si="104"/>
        <v>3.9234819769355028E-2</v>
      </c>
    </row>
    <row r="3103" spans="13:16" x14ac:dyDescent="0.25">
      <c r="M3103">
        <v>0.63533464956181096</v>
      </c>
      <c r="N3103">
        <v>0.63531996573991401</v>
      </c>
      <c r="O3103" s="1">
        <v>1.49207710080374E-9</v>
      </c>
      <c r="P3103" s="2">
        <f t="shared" si="104"/>
        <v>0.14450635653167074</v>
      </c>
    </row>
    <row r="3104" spans="13:16" x14ac:dyDescent="0.25">
      <c r="M3104">
        <v>0.99544518700046303</v>
      </c>
      <c r="N3104">
        <v>0.99542404278260699</v>
      </c>
      <c r="O3104" s="1">
        <v>2.8219123604919901E-9</v>
      </c>
      <c r="P3104" s="2">
        <f t="shared" si="104"/>
        <v>0.15843084108597635</v>
      </c>
    </row>
    <row r="3105" spans="13:16" x14ac:dyDescent="0.25">
      <c r="M3105">
        <v>0.63533909004852096</v>
      </c>
      <c r="N3105">
        <v>0.63529235184020505</v>
      </c>
      <c r="O3105" s="1">
        <v>1.0258418510306199E-9</v>
      </c>
      <c r="P3105" s="2">
        <f t="shared" si="104"/>
        <v>2.1294316608225996</v>
      </c>
    </row>
    <row r="3106" spans="13:16" x14ac:dyDescent="0.25">
      <c r="M3106">
        <v>0.99555093171443598</v>
      </c>
      <c r="N3106">
        <v>0.99545319216044303</v>
      </c>
      <c r="O3106" s="1">
        <v>3.2256240276152799E-9</v>
      </c>
      <c r="P3106" s="2">
        <f t="shared" si="104"/>
        <v>2.9616038115276049</v>
      </c>
    </row>
    <row r="3107" spans="13:16" x14ac:dyDescent="0.25">
      <c r="M3107">
        <v>0.63549114733362499</v>
      </c>
      <c r="N3107">
        <v>0.63542023022514305</v>
      </c>
      <c r="O3107" s="1">
        <v>1.7460738687052299E-9</v>
      </c>
      <c r="P3107" s="2">
        <f t="shared" si="104"/>
        <v>2.8803112889891134</v>
      </c>
    </row>
    <row r="3108" spans="13:16" x14ac:dyDescent="0.25">
      <c r="M3108">
        <v>0.99539691959058696</v>
      </c>
      <c r="N3108">
        <v>0.99531822088993205</v>
      </c>
      <c r="O3108" s="1">
        <v>2.1092825960586998E-9</v>
      </c>
      <c r="P3108" s="2">
        <f t="shared" si="104"/>
        <v>2.9362995249399715</v>
      </c>
    </row>
    <row r="3109" spans="13:16" x14ac:dyDescent="0.25">
      <c r="M3109">
        <v>0.63525489581347505</v>
      </c>
      <c r="N3109">
        <v>0.63531756678205598</v>
      </c>
      <c r="O3109" s="1">
        <v>1.0341871383258301E-9</v>
      </c>
      <c r="P3109" s="2">
        <f t="shared" si="104"/>
        <v>3.7978139132820985</v>
      </c>
    </row>
    <row r="3110" spans="13:16" x14ac:dyDescent="0.25">
      <c r="M3110">
        <v>0.99531465879006997</v>
      </c>
      <c r="N3110">
        <v>0.99542657505103505</v>
      </c>
      <c r="O3110" s="1">
        <v>2.6413987092538602E-9</v>
      </c>
      <c r="P3110" s="2">
        <f t="shared" si="104"/>
        <v>4.7419003517043228</v>
      </c>
    </row>
    <row r="3111" spans="13:16" x14ac:dyDescent="0.25">
      <c r="M3111">
        <v>0.63537699979003603</v>
      </c>
      <c r="N3111">
        <v>0.63533748876831297</v>
      </c>
      <c r="O3111" s="1">
        <v>1.59794960877411E-9</v>
      </c>
      <c r="P3111" s="2">
        <f t="shared" si="104"/>
        <v>0.97695248274928093</v>
      </c>
    </row>
    <row r="3112" spans="13:16" x14ac:dyDescent="0.25">
      <c r="M3112">
        <v>0.99546495011429503</v>
      </c>
      <c r="N3112">
        <v>0.99540554648136204</v>
      </c>
      <c r="O3112" s="1">
        <v>2.8867925215533101E-9</v>
      </c>
      <c r="P3112" s="2">
        <f t="shared" si="104"/>
        <v>1.2223918342907159</v>
      </c>
    </row>
    <row r="3113" spans="13:16" x14ac:dyDescent="0.25">
      <c r="M3113">
        <v>0.63538924023753696</v>
      </c>
      <c r="N3113">
        <v>0.63537357902580605</v>
      </c>
      <c r="O3113" s="1">
        <v>2.60949949076516E-9</v>
      </c>
      <c r="P3113" s="2">
        <f t="shared" si="104"/>
        <v>9.3992565910981068E-2</v>
      </c>
    </row>
    <row r="3114" spans="13:16" x14ac:dyDescent="0.25">
      <c r="M3114">
        <v>0.99538371625655697</v>
      </c>
      <c r="N3114">
        <v>0.99536745437071295</v>
      </c>
      <c r="O3114" s="1">
        <v>2.8313722467595698E-9</v>
      </c>
      <c r="P3114" s="2">
        <f t="shared" si="104"/>
        <v>9.3399563235392086E-2</v>
      </c>
    </row>
    <row r="3115" spans="13:16" x14ac:dyDescent="0.25">
      <c r="M3115">
        <v>0.63540952569041798</v>
      </c>
      <c r="N3115">
        <v>0.63543722926119395</v>
      </c>
      <c r="O3115" s="1">
        <v>2.5170251203889202E-9</v>
      </c>
      <c r="P3115" s="2">
        <f t="shared" si="104"/>
        <v>0.30491862298962874</v>
      </c>
    </row>
    <row r="3116" spans="13:16" x14ac:dyDescent="0.25">
      <c r="M3116">
        <v>0.99527093873709405</v>
      </c>
      <c r="N3116">
        <v>0.99530028241095103</v>
      </c>
      <c r="O3116" s="1">
        <v>2.8168360868244099E-9</v>
      </c>
      <c r="P3116" s="2">
        <f t="shared" si="104"/>
        <v>0.3056802628497397</v>
      </c>
    </row>
    <row r="3117" spans="13:16" x14ac:dyDescent="0.25">
      <c r="M3117">
        <v>0.63548395654926204</v>
      </c>
      <c r="N3117">
        <v>0.63549298160273904</v>
      </c>
      <c r="O3117" s="1">
        <v>7.8942028660945698E-10</v>
      </c>
      <c r="P3117" s="2">
        <f t="shared" si="104"/>
        <v>0.10317899304624978</v>
      </c>
    </row>
    <row r="3118" spans="13:16" x14ac:dyDescent="0.25">
      <c r="M3118">
        <v>0.99519730019102204</v>
      </c>
      <c r="N3118">
        <v>0.99524145458158897</v>
      </c>
      <c r="O3118" s="1">
        <v>3.46046901053066E-9</v>
      </c>
      <c r="P3118" s="2">
        <f t="shared" si="104"/>
        <v>0.56339478851107494</v>
      </c>
    </row>
    <row r="3119" spans="13:16" x14ac:dyDescent="0.25">
      <c r="M3119">
        <v>0.63537293742376999</v>
      </c>
      <c r="N3119">
        <v>0.63546729618623998</v>
      </c>
      <c r="O3119" s="1">
        <v>1.16799636808623E-9</v>
      </c>
      <c r="P3119" s="2">
        <f t="shared" si="104"/>
        <v>7.6229484081847456</v>
      </c>
    </row>
    <row r="3120" spans="13:16" x14ac:dyDescent="0.25">
      <c r="M3120">
        <v>0.99509028373741604</v>
      </c>
      <c r="N3120">
        <v>0.99526855581944995</v>
      </c>
      <c r="O3120" s="1">
        <v>2.9789576654339998E-9</v>
      </c>
      <c r="P3120" s="2">
        <f t="shared" si="104"/>
        <v>10.668474950642388</v>
      </c>
    </row>
    <row r="3121" spans="13:16" x14ac:dyDescent="0.25">
      <c r="M3121">
        <v>0.635573730585687</v>
      </c>
      <c r="N3121">
        <v>0.63557290966495905</v>
      </c>
      <c r="O3121" s="1">
        <v>2.5808165865638501E-9</v>
      </c>
      <c r="P3121" s="2">
        <f t="shared" si="104"/>
        <v>2.6112310541081564E-4</v>
      </c>
    </row>
    <row r="3122" spans="13:16" x14ac:dyDescent="0.25">
      <c r="M3122">
        <v>0.99515826828702203</v>
      </c>
      <c r="N3122">
        <v>0.99515713248403004</v>
      </c>
      <c r="O3122" s="1">
        <v>4.7509905406073403E-9</v>
      </c>
      <c r="P3122" s="2">
        <f t="shared" si="104"/>
        <v>2.7153252055356174E-4</v>
      </c>
    </row>
    <row r="3123" spans="13:16" x14ac:dyDescent="0.25">
      <c r="M3123">
        <v>5.9366196514684004</v>
      </c>
      <c r="N3123">
        <v>5.9367295844070398</v>
      </c>
      <c r="O3123" s="1">
        <v>6.3696889930831803E-7</v>
      </c>
      <c r="P3123" s="2">
        <f t="shared" si="104"/>
        <v>1.8973062909367018E-2</v>
      </c>
    </row>
    <row r="3124" spans="13:16" x14ac:dyDescent="0.25">
      <c r="M3124">
        <v>2.4228990554944998</v>
      </c>
      <c r="N3124">
        <v>2.4231842154816601</v>
      </c>
      <c r="O3124" s="1">
        <v>1.27118472771435E-7</v>
      </c>
      <c r="P3124" s="2">
        <f t="shared" si="104"/>
        <v>0.63968844578128214</v>
      </c>
    </row>
    <row r="3125" spans="13:16" x14ac:dyDescent="0.25">
      <c r="M3125">
        <v>2.8318345294032001</v>
      </c>
      <c r="N3125">
        <v>2.8318790514566001</v>
      </c>
      <c r="O3125" s="1">
        <v>1.4435873944513401E-7</v>
      </c>
      <c r="P3125" s="2">
        <f t="shared" si="104"/>
        <v>1.3731162010497058E-2</v>
      </c>
    </row>
    <row r="3126" spans="13:16" x14ac:dyDescent="0.25">
      <c r="M3126">
        <v>5.9388486322593499</v>
      </c>
      <c r="N3126">
        <v>5.9369155388046799</v>
      </c>
      <c r="O3126" s="1">
        <v>4.5957878540909503E-7</v>
      </c>
      <c r="P3126" s="2">
        <f t="shared" si="104"/>
        <v>8.1310330744738266</v>
      </c>
    </row>
    <row r="3127" spans="13:16" x14ac:dyDescent="0.25">
      <c r="M3127">
        <v>2.4239858398915999</v>
      </c>
      <c r="N3127">
        <v>2.4232335503367102</v>
      </c>
      <c r="O3127" s="1">
        <v>9.9707961820134304E-8</v>
      </c>
      <c r="P3127" s="2">
        <f t="shared" si="104"/>
        <v>5.6759717485456758</v>
      </c>
    </row>
    <row r="3128" spans="13:16" x14ac:dyDescent="0.25">
      <c r="M3128">
        <v>2.8328567208375501</v>
      </c>
      <c r="N3128">
        <v>2.8319133894175201</v>
      </c>
      <c r="O3128" s="1">
        <v>8.3667694352058505E-8</v>
      </c>
      <c r="P3128" s="2">
        <f t="shared" si="104"/>
        <v>10.63581559055986</v>
      </c>
    </row>
    <row r="3129" spans="13:16" x14ac:dyDescent="0.25">
      <c r="M3129">
        <v>5.9367995918174996</v>
      </c>
      <c r="N3129">
        <v>5.9368986700802999</v>
      </c>
      <c r="O3129" s="1">
        <v>1.3046511454493199E-7</v>
      </c>
      <c r="P3129" s="2">
        <f t="shared" si="104"/>
        <v>7.5242352668512369E-2</v>
      </c>
    </row>
    <row r="3130" spans="13:16" x14ac:dyDescent="0.25">
      <c r="M3130">
        <v>2.4233151217912998</v>
      </c>
      <c r="N3130">
        <v>2.4232290749818102</v>
      </c>
      <c r="O3130" s="1">
        <v>3.1188825916024902E-8</v>
      </c>
      <c r="P3130" s="2">
        <f t="shared" si="104"/>
        <v>0.23739442591661011</v>
      </c>
    </row>
    <row r="3131" spans="13:16" x14ac:dyDescent="0.25">
      <c r="M3131">
        <v>2.8318484652589002</v>
      </c>
      <c r="N3131">
        <v>2.8319102745003701</v>
      </c>
      <c r="O3131" s="1">
        <v>2.8191652855185501E-8</v>
      </c>
      <c r="P3131" s="2">
        <f t="shared" si="104"/>
        <v>0.13551466282277899</v>
      </c>
    </row>
    <row r="3132" spans="13:16" x14ac:dyDescent="0.25">
      <c r="M3132">
        <v>5.9366421798356503</v>
      </c>
      <c r="N3132">
        <v>5.9372260654535998</v>
      </c>
      <c r="O3132" s="1">
        <v>1.5065768485135101E-7</v>
      </c>
      <c r="P3132" s="2">
        <f t="shared" si="104"/>
        <v>2.2628942903546747</v>
      </c>
    </row>
    <row r="3133" spans="13:16" x14ac:dyDescent="0.25">
      <c r="M3133">
        <v>2.4231225376358001</v>
      </c>
      <c r="N3133">
        <v>2.42331593377701</v>
      </c>
      <c r="O3133" s="1">
        <v>3.1331593152912798E-8</v>
      </c>
      <c r="P3133" s="2">
        <f t="shared" si="104"/>
        <v>1.1937493012997273</v>
      </c>
    </row>
    <row r="3134" spans="13:16" x14ac:dyDescent="0.25">
      <c r="M3134">
        <v>2.8315411275371498</v>
      </c>
      <c r="N3134">
        <v>2.8319707291676202</v>
      </c>
      <c r="O3134" s="1">
        <v>4.9009138408980399E-8</v>
      </c>
      <c r="P3134" s="2">
        <f t="shared" si="104"/>
        <v>3.765778524050936</v>
      </c>
    </row>
    <row r="3135" spans="13:16" x14ac:dyDescent="0.25">
      <c r="M3135">
        <v>5.9375528806822997</v>
      </c>
      <c r="N3135">
        <v>5.9380828495652</v>
      </c>
      <c r="O3135" s="1">
        <v>2.9021222109629702E-7</v>
      </c>
      <c r="P3135" s="2">
        <f t="shared" si="104"/>
        <v>0.96779872254054666</v>
      </c>
    </row>
    <row r="3136" spans="13:16" x14ac:dyDescent="0.25">
      <c r="M3136">
        <v>2.4232048200834502</v>
      </c>
      <c r="N3136">
        <v>2.4235432327687998</v>
      </c>
      <c r="O3136" s="1">
        <v>3.9322705949689803E-8</v>
      </c>
      <c r="P3136" s="2">
        <f t="shared" si="104"/>
        <v>2.9123922893827374</v>
      </c>
    </row>
    <row r="3137" spans="13:16" x14ac:dyDescent="0.25">
      <c r="M3137">
        <v>2.8316871793620502</v>
      </c>
      <c r="N3137">
        <v>2.83212892759382</v>
      </c>
      <c r="O3137" s="1">
        <v>8.9188179131765999E-8</v>
      </c>
      <c r="P3137" s="2">
        <f t="shared" si="104"/>
        <v>2.1879749331291434</v>
      </c>
    </row>
    <row r="3138" spans="13:16" x14ac:dyDescent="0.25">
      <c r="M3138">
        <v>5.9381238874129503</v>
      </c>
      <c r="N3138">
        <v>5.9383353744316398</v>
      </c>
      <c r="O3138" s="1">
        <v>1.76608133577796E-7</v>
      </c>
      <c r="P3138" s="2">
        <f t="shared" si="104"/>
        <v>0.25325424241854738</v>
      </c>
    </row>
    <row r="3139" spans="13:16" x14ac:dyDescent="0.25">
      <c r="M3139">
        <v>2.42345648124375</v>
      </c>
      <c r="N3139">
        <v>2.4236102237064401</v>
      </c>
      <c r="O3139" s="1">
        <v>4.1847934880240898E-8</v>
      </c>
      <c r="P3139" s="2">
        <f t="shared" ref="P3139:P3202" si="105">(M3139-N3139)^2/O3139</f>
        <v>0.5648246419243621</v>
      </c>
    </row>
    <row r="3140" spans="13:16" x14ac:dyDescent="0.25">
      <c r="M3140">
        <v>2.83202919692385</v>
      </c>
      <c r="N3140">
        <v>2.8321755516487301</v>
      </c>
      <c r="O3140" s="1">
        <v>4.2204374271092503E-8</v>
      </c>
      <c r="P3140" s="2">
        <f t="shared" si="105"/>
        <v>0.50752335189590891</v>
      </c>
    </row>
    <row r="3141" spans="13:16" x14ac:dyDescent="0.25">
      <c r="M3141">
        <v>5.9402543564682997</v>
      </c>
      <c r="N3141">
        <v>5.9394978306075004</v>
      </c>
      <c r="O3141" s="1">
        <v>2.8489896558657198E-7</v>
      </c>
      <c r="P3141" s="2">
        <f t="shared" si="105"/>
        <v>2.0088924397454555</v>
      </c>
    </row>
    <row r="3142" spans="13:16" x14ac:dyDescent="0.25">
      <c r="M3142">
        <v>2.4243053852120502</v>
      </c>
      <c r="N3142">
        <v>2.4239185924751898</v>
      </c>
      <c r="O3142" s="1">
        <v>5.2327516867689402E-8</v>
      </c>
      <c r="P3142" s="2">
        <f t="shared" si="105"/>
        <v>2.8590812299812769</v>
      </c>
    </row>
    <row r="3143" spans="13:16" x14ac:dyDescent="0.25">
      <c r="M3143">
        <v>2.8327841247055998</v>
      </c>
      <c r="N3143">
        <v>2.8323901620521799</v>
      </c>
      <c r="O3143" s="1">
        <v>5.8096230719767703E-8</v>
      </c>
      <c r="P3143" s="2">
        <f t="shared" si="105"/>
        <v>2.6715428930035747</v>
      </c>
    </row>
    <row r="3144" spans="13:16" x14ac:dyDescent="0.25">
      <c r="M3144">
        <v>5.9397845164702998</v>
      </c>
      <c r="N3144">
        <v>5.9398996520536302</v>
      </c>
      <c r="O3144" s="1">
        <v>2.2944601429116101E-7</v>
      </c>
      <c r="P3144" s="2">
        <f t="shared" si="105"/>
        <v>5.7774821627610155E-2</v>
      </c>
    </row>
    <row r="3145" spans="13:16" x14ac:dyDescent="0.25">
      <c r="M3145">
        <v>2.4238244674975999</v>
      </c>
      <c r="N3145">
        <v>2.4240251801264501</v>
      </c>
      <c r="O3145" s="1">
        <v>3.7925308819264298E-8</v>
      </c>
      <c r="P3145" s="2">
        <f t="shared" si="105"/>
        <v>1.0622341817152721</v>
      </c>
    </row>
    <row r="3146" spans="13:16" x14ac:dyDescent="0.25">
      <c r="M3146">
        <v>2.8325889067804502</v>
      </c>
      <c r="N3146">
        <v>2.8324643395606701</v>
      </c>
      <c r="O3146" s="1">
        <v>8.3203105188968198E-8</v>
      </c>
      <c r="P3146" s="2">
        <f t="shared" si="105"/>
        <v>0.18649535024550987</v>
      </c>
    </row>
    <row r="3147" spans="13:16" x14ac:dyDescent="0.25">
      <c r="M3147">
        <v>5.9387792867897504</v>
      </c>
      <c r="N3147">
        <v>5.9394164047058604</v>
      </c>
      <c r="O3147" s="1">
        <v>3.7112239031231899E-7</v>
      </c>
      <c r="P3147" s="2">
        <f t="shared" si="105"/>
        <v>1.0937611139191274</v>
      </c>
    </row>
    <row r="3148" spans="13:16" x14ac:dyDescent="0.25">
      <c r="M3148">
        <v>2.4233897961162998</v>
      </c>
      <c r="N3148">
        <v>2.4238969930327801</v>
      </c>
      <c r="O3148" s="1">
        <v>6.5791700955702994E-8</v>
      </c>
      <c r="P3148" s="2">
        <f t="shared" si="105"/>
        <v>3.9100480508977187</v>
      </c>
    </row>
    <row r="3149" spans="13:16" x14ac:dyDescent="0.25">
      <c r="M3149">
        <v>2.8320122043514502</v>
      </c>
      <c r="N3149">
        <v>2.8323751301987001</v>
      </c>
      <c r="O3149" s="1">
        <v>6.4410242855335402E-8</v>
      </c>
      <c r="P3149" s="2">
        <f t="shared" si="105"/>
        <v>2.0449413752083694</v>
      </c>
    </row>
    <row r="3150" spans="13:16" x14ac:dyDescent="0.25">
      <c r="M3150">
        <v>5.9373006625388003</v>
      </c>
      <c r="N3150">
        <v>5.9368540281791997</v>
      </c>
      <c r="O3150" s="1">
        <v>2.2111647949496301E-7</v>
      </c>
      <c r="P3150" s="2">
        <f t="shared" si="105"/>
        <v>0.90215913183602403</v>
      </c>
    </row>
    <row r="3151" spans="13:16" x14ac:dyDescent="0.25">
      <c r="M3151">
        <v>2.4232917837113499</v>
      </c>
      <c r="N3151">
        <v>2.4232172312461202</v>
      </c>
      <c r="O3151" s="1">
        <v>4.51659319372813E-8</v>
      </c>
      <c r="P3151" s="2">
        <f t="shared" si="105"/>
        <v>0.12305890376717499</v>
      </c>
    </row>
    <row r="3152" spans="13:16" x14ac:dyDescent="0.25">
      <c r="M3152">
        <v>2.8322501560951499</v>
      </c>
      <c r="N3152">
        <v>2.8319020310634699</v>
      </c>
      <c r="O3152" s="1">
        <v>4.7497685295540299E-8</v>
      </c>
      <c r="P3152" s="2">
        <f t="shared" si="105"/>
        <v>2.5515146038815431</v>
      </c>
    </row>
    <row r="3153" spans="13:16" x14ac:dyDescent="0.25">
      <c r="M3153">
        <v>5.9358446342577</v>
      </c>
      <c r="N3153">
        <v>5.9356345983693899</v>
      </c>
      <c r="O3153" s="1">
        <v>2.9082862294056401E-7</v>
      </c>
      <c r="P3153" s="2">
        <f t="shared" si="105"/>
        <v>0.15168752625578874</v>
      </c>
    </row>
    <row r="3154" spans="13:16" x14ac:dyDescent="0.25">
      <c r="M3154">
        <v>2.4230247913378999</v>
      </c>
      <c r="N3154">
        <v>2.4228936979242</v>
      </c>
      <c r="O3154" s="1">
        <v>5.9975411101992403E-8</v>
      </c>
      <c r="P3154" s="2">
        <f t="shared" si="105"/>
        <v>0.28654214785275134</v>
      </c>
    </row>
    <row r="3155" spans="13:16" x14ac:dyDescent="0.25">
      <c r="M3155">
        <v>2.8317548855580501</v>
      </c>
      <c r="N3155">
        <v>2.8316768401911898</v>
      </c>
      <c r="O3155" s="1">
        <v>7.3310918166498296E-8</v>
      </c>
      <c r="P3155" s="2">
        <f t="shared" si="105"/>
        <v>8.3085568162218293E-2</v>
      </c>
    </row>
    <row r="3156" spans="13:16" x14ac:dyDescent="0.25">
      <c r="M3156">
        <v>5.9364203341930004</v>
      </c>
      <c r="N3156">
        <v>5.9362109171430504</v>
      </c>
      <c r="O3156" s="1">
        <v>2.4678317619858002E-7</v>
      </c>
      <c r="P3156" s="2">
        <f t="shared" si="105"/>
        <v>0.17770863267634376</v>
      </c>
    </row>
    <row r="3157" spans="13:16" x14ac:dyDescent="0.25">
      <c r="M3157">
        <v>2.4234793422703498</v>
      </c>
      <c r="N3157">
        <v>2.4230466069813001</v>
      </c>
      <c r="O3157" s="1">
        <v>5.2568369091381302E-8</v>
      </c>
      <c r="P3157" s="2">
        <f t="shared" si="105"/>
        <v>3.5622149521768747</v>
      </c>
    </row>
    <row r="3158" spans="13:16" x14ac:dyDescent="0.25">
      <c r="M3158">
        <v>2.8320237109789002</v>
      </c>
      <c r="N3158">
        <v>2.8317832719307598</v>
      </c>
      <c r="O3158" s="1">
        <v>6.4328254406390394E-8</v>
      </c>
      <c r="P3158" s="2">
        <f t="shared" si="105"/>
        <v>0.89868653213250493</v>
      </c>
    </row>
    <row r="3159" spans="13:16" x14ac:dyDescent="0.25">
      <c r="M3159">
        <v>0.56917253559690095</v>
      </c>
      <c r="N3159">
        <v>0.56908867754957704</v>
      </c>
      <c r="O3159" s="1">
        <v>5.8703317651471896E-9</v>
      </c>
      <c r="P3159" s="2">
        <f t="shared" si="105"/>
        <v>1.197917320913737</v>
      </c>
    </row>
    <row r="3160" spans="13:16" x14ac:dyDescent="0.25">
      <c r="M3160">
        <v>0.99552331136560501</v>
      </c>
      <c r="N3160">
        <v>0.99542849629859198</v>
      </c>
      <c r="O3160" s="1">
        <v>7.7809444243017202E-9</v>
      </c>
      <c r="P3160" s="2">
        <f t="shared" si="105"/>
        <v>1.1553734922727639</v>
      </c>
    </row>
    <row r="3161" spans="13:16" x14ac:dyDescent="0.25">
      <c r="M3161">
        <v>0.56904282926982197</v>
      </c>
      <c r="N3161">
        <v>0.56901566666594405</v>
      </c>
      <c r="O3161" s="1">
        <v>3.2345811123207598E-9</v>
      </c>
      <c r="P3161" s="2">
        <f t="shared" si="105"/>
        <v>0.22809972104835372</v>
      </c>
    </row>
    <row r="3162" spans="13:16" x14ac:dyDescent="0.25">
      <c r="M3162">
        <v>0.99555639234434901</v>
      </c>
      <c r="N3162">
        <v>0.99551454305142795</v>
      </c>
      <c r="O3162" s="1">
        <v>6.2041800527416802E-9</v>
      </c>
      <c r="P3162" s="2">
        <f t="shared" si="105"/>
        <v>0.28228763561087428</v>
      </c>
    </row>
    <row r="3163" spans="13:16" x14ac:dyDescent="0.25">
      <c r="M3163">
        <v>0.56898558219978401</v>
      </c>
      <c r="N3163">
        <v>0.56900119017775896</v>
      </c>
      <c r="O3163" s="1">
        <v>2.7236445942806902E-9</v>
      </c>
      <c r="P3163" s="2">
        <f t="shared" si="105"/>
        <v>8.9442277813386428E-2</v>
      </c>
    </row>
    <row r="3164" spans="13:16" x14ac:dyDescent="0.25">
      <c r="M3164">
        <v>0.99550754093613603</v>
      </c>
      <c r="N3164">
        <v>0.99553160646741801</v>
      </c>
      <c r="O3164" s="1">
        <v>5.1033482172271203E-9</v>
      </c>
      <c r="P3164" s="2">
        <f t="shared" si="105"/>
        <v>0.11348427958119151</v>
      </c>
    </row>
    <row r="3165" spans="13:16" x14ac:dyDescent="0.25">
      <c r="M3165">
        <v>0.56922346888333097</v>
      </c>
      <c r="N3165">
        <v>0.56924123074030297</v>
      </c>
      <c r="O3165" s="1">
        <v>1.5225390043346099E-9</v>
      </c>
      <c r="P3165" s="2">
        <f t="shared" si="105"/>
        <v>0.20720885454859173</v>
      </c>
    </row>
    <row r="3166" spans="13:16" x14ac:dyDescent="0.25">
      <c r="M3166">
        <v>0.99519449108035196</v>
      </c>
      <c r="N3166">
        <v>0.99524876482583802</v>
      </c>
      <c r="O3166" s="1">
        <v>6.2844073012889502E-9</v>
      </c>
      <c r="P3166" s="2">
        <f t="shared" si="105"/>
        <v>0.46872191884840975</v>
      </c>
    </row>
    <row r="3167" spans="13:16" x14ac:dyDescent="0.25">
      <c r="M3167">
        <v>5.9348836557037998</v>
      </c>
      <c r="N3167">
        <v>5.93520802144507</v>
      </c>
      <c r="O3167" s="1">
        <v>9.6020987774615796E-7</v>
      </c>
      <c r="P3167" s="2">
        <f t="shared" si="105"/>
        <v>0.10957305954474654</v>
      </c>
    </row>
    <row r="3168" spans="13:16" x14ac:dyDescent="0.25">
      <c r="M3168">
        <v>2.4229226134794999</v>
      </c>
      <c r="N3168">
        <v>2.4227750485294002</v>
      </c>
      <c r="O3168" s="1">
        <v>2.06592623807682E-7</v>
      </c>
      <c r="P3168" s="2">
        <f t="shared" si="105"/>
        <v>0.1054026716762199</v>
      </c>
    </row>
    <row r="3169" spans="13:16" x14ac:dyDescent="0.25">
      <c r="M3169">
        <v>2.8311583216175999</v>
      </c>
      <c r="N3169">
        <v>2.8314454889464402</v>
      </c>
      <c r="O3169" s="1">
        <v>2.9008700583935498E-7</v>
      </c>
      <c r="P3169" s="2">
        <f t="shared" si="105"/>
        <v>0.28427703789986658</v>
      </c>
    </row>
    <row r="3170" spans="13:16" x14ac:dyDescent="0.25">
      <c r="M3170">
        <v>5.9373755569384503</v>
      </c>
      <c r="N3170">
        <v>5.9375073867665797</v>
      </c>
      <c r="O3170" s="1">
        <v>7.9143129684979002E-7</v>
      </c>
      <c r="P3170" s="2">
        <f t="shared" si="105"/>
        <v>2.1959080533976539E-2</v>
      </c>
    </row>
    <row r="3171" spans="13:16" x14ac:dyDescent="0.25">
      <c r="M3171">
        <v>2.42332509725225</v>
      </c>
      <c r="N3171">
        <v>2.4233839761756601</v>
      </c>
      <c r="O3171" s="1">
        <v>1.3961497553299401E-7</v>
      </c>
      <c r="P3171" s="2">
        <f t="shared" si="105"/>
        <v>2.4830628725218254E-2</v>
      </c>
    </row>
    <row r="3172" spans="13:16" x14ac:dyDescent="0.25">
      <c r="M3172">
        <v>2.8317918869601</v>
      </c>
      <c r="N3172">
        <v>2.8318792510228299</v>
      </c>
      <c r="O3172" s="1">
        <v>2.3577700395563601E-7</v>
      </c>
      <c r="P3172" s="2">
        <f t="shared" si="105"/>
        <v>3.2371602525375902E-2</v>
      </c>
    </row>
    <row r="3173" spans="13:16" x14ac:dyDescent="0.25">
      <c r="M3173">
        <v>5.9370130066725499</v>
      </c>
      <c r="N3173">
        <v>5.9371532202874304</v>
      </c>
      <c r="O3173" s="1">
        <v>5.36763070806962E-7</v>
      </c>
      <c r="P3173" s="2">
        <f t="shared" si="105"/>
        <v>3.6626695961581732E-2</v>
      </c>
    </row>
    <row r="3174" spans="13:16" x14ac:dyDescent="0.25">
      <c r="M3174">
        <v>2.4230481006372999</v>
      </c>
      <c r="N3174">
        <v>2.4232901897076702</v>
      </c>
      <c r="O3174" s="1">
        <v>7.5023870776765598E-8</v>
      </c>
      <c r="P3174" s="2">
        <f t="shared" si="105"/>
        <v>0.78117960838258793</v>
      </c>
    </row>
    <row r="3175" spans="13:16" x14ac:dyDescent="0.25">
      <c r="M3175">
        <v>2.8316292386513502</v>
      </c>
      <c r="N3175">
        <v>2.8318124461651699</v>
      </c>
      <c r="O3175" s="1">
        <v>1.6418977511175101E-7</v>
      </c>
      <c r="P3175" s="2">
        <f t="shared" si="105"/>
        <v>0.20442803516333841</v>
      </c>
    </row>
    <row r="3176" spans="13:16" x14ac:dyDescent="0.25">
      <c r="M3176">
        <v>5.9378390900861504</v>
      </c>
      <c r="N3176">
        <v>5.9379412605370199</v>
      </c>
      <c r="O3176" s="1">
        <v>8.3804096391735998E-7</v>
      </c>
      <c r="P3176" s="2">
        <f t="shared" si="105"/>
        <v>1.2456194243864224E-2</v>
      </c>
    </row>
    <row r="3177" spans="13:16" x14ac:dyDescent="0.25">
      <c r="M3177">
        <v>2.4231812275359501</v>
      </c>
      <c r="N3177">
        <v>2.42349886717333</v>
      </c>
      <c r="O3177" s="1">
        <v>1.2883253462485301E-7</v>
      </c>
      <c r="P3177" s="2">
        <f t="shared" si="105"/>
        <v>0.78314797988411344</v>
      </c>
    </row>
    <row r="3178" spans="13:16" x14ac:dyDescent="0.25">
      <c r="M3178">
        <v>2.8320127045755998</v>
      </c>
      <c r="N3178">
        <v>2.8319610874315102</v>
      </c>
      <c r="O3178" s="1">
        <v>1.4416048969297601E-7</v>
      </c>
      <c r="P3178" s="2">
        <f t="shared" si="105"/>
        <v>1.8481690577246572E-2</v>
      </c>
    </row>
    <row r="3179" spans="13:16" x14ac:dyDescent="0.25">
      <c r="M3179">
        <v>5.9356049493603003</v>
      </c>
      <c r="N3179">
        <v>5.9372170985852701</v>
      </c>
      <c r="O3179" s="1">
        <v>4.8308325017969295E-7</v>
      </c>
      <c r="P3179" s="2">
        <f t="shared" si="105"/>
        <v>5.380077083203016</v>
      </c>
    </row>
    <row r="3180" spans="13:16" x14ac:dyDescent="0.25">
      <c r="M3180">
        <v>2.4228148001616998</v>
      </c>
      <c r="N3180">
        <v>2.4233071054005002</v>
      </c>
      <c r="O3180" s="1">
        <v>1.07881540094448E-7</v>
      </c>
      <c r="P3180" s="2">
        <f t="shared" si="105"/>
        <v>2.2465794234873599</v>
      </c>
    </row>
    <row r="3181" spans="13:16" x14ac:dyDescent="0.25">
      <c r="M3181">
        <v>2.83069462716335</v>
      </c>
      <c r="N3181">
        <v>2.83182449542424</v>
      </c>
      <c r="O3181" s="1">
        <v>1.220188868113E-7</v>
      </c>
      <c r="P3181" s="2">
        <f t="shared" si="105"/>
        <v>10.462333498754651</v>
      </c>
    </row>
    <row r="3182" spans="13:16" x14ac:dyDescent="0.25">
      <c r="M3182">
        <v>5.9403236521215002</v>
      </c>
      <c r="N3182">
        <v>5.9393027394530202</v>
      </c>
      <c r="O3182" s="1">
        <v>6.0206937565133096E-7</v>
      </c>
      <c r="P3182" s="2">
        <f t="shared" si="105"/>
        <v>1.7311338507049228</v>
      </c>
    </row>
    <row r="3183" spans="13:16" x14ac:dyDescent="0.25">
      <c r="M3183">
        <v>2.4244134143243001</v>
      </c>
      <c r="N3183">
        <v>2.4238593714890602</v>
      </c>
      <c r="O3183" s="1">
        <v>9.7796186852554501E-8</v>
      </c>
      <c r="P3183" s="2">
        <f t="shared" si="105"/>
        <v>3.1388080983519555</v>
      </c>
    </row>
    <row r="3184" spans="13:16" x14ac:dyDescent="0.25">
      <c r="M3184">
        <v>2.83288907816525</v>
      </c>
      <c r="N3184">
        <v>2.8322178634137201</v>
      </c>
      <c r="O3184" s="1">
        <v>8.0883976514735203E-8</v>
      </c>
      <c r="P3184" s="2">
        <f t="shared" si="105"/>
        <v>5.5700679180798849</v>
      </c>
    </row>
    <row r="3185" spans="13:16" x14ac:dyDescent="0.25">
      <c r="M3185">
        <v>5.9363662162376496</v>
      </c>
      <c r="N3185">
        <v>5.9380073246970104</v>
      </c>
      <c r="O3185" s="1">
        <v>1.2112620920174E-6</v>
      </c>
      <c r="P3185" s="2">
        <f t="shared" si="105"/>
        <v>2.2234964613645203</v>
      </c>
    </row>
    <row r="3186" spans="13:16" x14ac:dyDescent="0.25">
      <c r="M3186">
        <v>2.4228631324231502</v>
      </c>
      <c r="N3186">
        <v>2.4235163608905199</v>
      </c>
      <c r="O3186" s="1">
        <v>2.46772185515548E-7</v>
      </c>
      <c r="P3186" s="2">
        <f t="shared" si="105"/>
        <v>1.729155292322391</v>
      </c>
    </row>
    <row r="3187" spans="13:16" x14ac:dyDescent="0.25">
      <c r="M3187">
        <v>2.8308811904884501</v>
      </c>
      <c r="N3187">
        <v>2.8319735480050099</v>
      </c>
      <c r="O3187" s="1">
        <v>2.5354210134947201E-7</v>
      </c>
      <c r="P3187" s="2">
        <f t="shared" si="105"/>
        <v>4.7062990234506943</v>
      </c>
    </row>
    <row r="3188" spans="13:16" x14ac:dyDescent="0.25">
      <c r="M3188">
        <v>5.9382158127784503</v>
      </c>
      <c r="N3188">
        <v>5.9371676592051399</v>
      </c>
      <c r="O3188" s="1">
        <v>5.3711220745941302E-7</v>
      </c>
      <c r="P3188" s="2">
        <f t="shared" si="105"/>
        <v>2.0454309136633881</v>
      </c>
    </row>
    <row r="3189" spans="13:16" x14ac:dyDescent="0.25">
      <c r="M3189">
        <v>2.4239183575659</v>
      </c>
      <c r="N3189">
        <v>2.4232940133013199</v>
      </c>
      <c r="O3189" s="1">
        <v>1.03931563130928E-7</v>
      </c>
      <c r="P3189" s="2">
        <f t="shared" si="105"/>
        <v>3.7506003852078158</v>
      </c>
    </row>
    <row r="3190" spans="13:16" x14ac:dyDescent="0.25">
      <c r="M3190">
        <v>2.8324438676035499</v>
      </c>
      <c r="N3190">
        <v>2.8318151697615099</v>
      </c>
      <c r="O3190" s="1">
        <v>1.2536968465496299E-7</v>
      </c>
      <c r="P3190" s="2">
        <f t="shared" si="105"/>
        <v>3.1527635861378989</v>
      </c>
    </row>
    <row r="3191" spans="13:16" x14ac:dyDescent="0.25">
      <c r="M3191">
        <v>5.9382942635744502</v>
      </c>
      <c r="N3191">
        <v>5.9383320202741103</v>
      </c>
      <c r="O3191" s="1">
        <v>5.1396767498176499E-7</v>
      </c>
      <c r="P3191" s="2">
        <f t="shared" si="105"/>
        <v>2.7736537502560674E-3</v>
      </c>
    </row>
    <row r="3192" spans="13:16" x14ac:dyDescent="0.25">
      <c r="M3192">
        <v>2.4236832099268502</v>
      </c>
      <c r="N3192">
        <v>2.4236023389300598</v>
      </c>
      <c r="O3192" s="1">
        <v>9.2833519319179403E-8</v>
      </c>
      <c r="P3192" s="2">
        <f t="shared" si="105"/>
        <v>7.0449964299802104E-2</v>
      </c>
    </row>
    <row r="3193" spans="13:16" x14ac:dyDescent="0.25">
      <c r="M3193">
        <v>2.8320122082812502</v>
      </c>
      <c r="N3193">
        <v>2.8320347886630501</v>
      </c>
      <c r="O3193" s="1">
        <v>1.39143462725836E-7</v>
      </c>
      <c r="P3193" s="2">
        <f t="shared" si="105"/>
        <v>3.6643736776535828E-3</v>
      </c>
    </row>
    <row r="3194" spans="13:16" x14ac:dyDescent="0.25">
      <c r="M3194">
        <v>5.9371421094179997</v>
      </c>
      <c r="N3194">
        <v>5.9379326155127803</v>
      </c>
      <c r="O3194" s="1">
        <v>6.7900701949887999E-7</v>
      </c>
      <c r="P3194" s="2">
        <f t="shared" si="105"/>
        <v>0.9203143236228355</v>
      </c>
    </row>
    <row r="3195" spans="13:16" x14ac:dyDescent="0.25">
      <c r="M3195">
        <v>2.422646552342</v>
      </c>
      <c r="N3195">
        <v>2.4234965779753299</v>
      </c>
      <c r="O3195" s="1">
        <v>1.15063772098604E-7</v>
      </c>
      <c r="P3195" s="2">
        <f t="shared" si="105"/>
        <v>6.2795053920077306</v>
      </c>
    </row>
    <row r="3196" spans="13:16" x14ac:dyDescent="0.25">
      <c r="M3196">
        <v>2.8317962971071</v>
      </c>
      <c r="N3196">
        <v>2.8319594568594999</v>
      </c>
      <c r="O3196" s="1">
        <v>1.53115728740378E-7</v>
      </c>
      <c r="P3196" s="2">
        <f t="shared" si="105"/>
        <v>0.17386263986197964</v>
      </c>
    </row>
    <row r="3197" spans="13:16" x14ac:dyDescent="0.25">
      <c r="M3197">
        <v>5.9379757645145501</v>
      </c>
      <c r="N3197">
        <v>5.9378550379805297</v>
      </c>
      <c r="O3197" s="1">
        <v>2.7889311527131E-7</v>
      </c>
      <c r="P3197" s="2">
        <f t="shared" si="105"/>
        <v>5.225979136272306E-2</v>
      </c>
    </row>
    <row r="3198" spans="13:16" x14ac:dyDescent="0.25">
      <c r="M3198">
        <v>2.4232024534335501</v>
      </c>
      <c r="N3198">
        <v>2.4234760354320199</v>
      </c>
      <c r="O3198" s="1">
        <v>5.5871372856492602E-8</v>
      </c>
      <c r="P3198" s="2">
        <f t="shared" si="105"/>
        <v>1.3396325534901925</v>
      </c>
    </row>
    <row r="3199" spans="13:16" x14ac:dyDescent="0.25">
      <c r="M3199">
        <v>2.8321430288940999</v>
      </c>
      <c r="N3199">
        <v>2.8319448245919898</v>
      </c>
      <c r="O3199" s="1">
        <v>1.07169517660939E-7</v>
      </c>
      <c r="P3199" s="2">
        <f t="shared" si="105"/>
        <v>0.36656827643114476</v>
      </c>
    </row>
    <row r="3200" spans="13:16" x14ac:dyDescent="0.25">
      <c r="M3200">
        <v>5.9377459980417502</v>
      </c>
      <c r="N3200">
        <v>5.9354463552051504</v>
      </c>
      <c r="O3200" s="1">
        <v>6.6333002835997296E-7</v>
      </c>
      <c r="P3200" s="2">
        <f t="shared" si="105"/>
        <v>7.9724374742987232</v>
      </c>
    </row>
    <row r="3201" spans="13:16" x14ac:dyDescent="0.25">
      <c r="M3201">
        <v>2.4239061124485501</v>
      </c>
      <c r="N3201">
        <v>2.42283816893169</v>
      </c>
      <c r="O3201" s="1">
        <v>1.3823336606325099E-7</v>
      </c>
      <c r="P3201" s="2">
        <f t="shared" si="105"/>
        <v>8.2505648794063049</v>
      </c>
    </row>
    <row r="3202" spans="13:16" x14ac:dyDescent="0.25">
      <c r="M3202">
        <v>2.8332322285228502</v>
      </c>
      <c r="N3202">
        <v>2.83149045396154</v>
      </c>
      <c r="O3202" s="1">
        <v>1.7056600143904801E-7</v>
      </c>
      <c r="P3202" s="2">
        <f t="shared" si="105"/>
        <v>17.786537743932776</v>
      </c>
    </row>
    <row r="3203" spans="13:16" x14ac:dyDescent="0.25">
      <c r="M3203">
        <v>0.56921800737563699</v>
      </c>
      <c r="N3203">
        <v>0.56909156591179499</v>
      </c>
      <c r="O3203" s="1">
        <v>3.3813467078187298E-9</v>
      </c>
      <c r="P3203" s="2">
        <f t="shared" ref="P3203:P3266" si="106">(M3203-N3203)^2/O3203</f>
        <v>4.7281291035726092</v>
      </c>
    </row>
    <row r="3204" spans="13:16" x14ac:dyDescent="0.25">
      <c r="M3204">
        <v>0.99554611384978497</v>
      </c>
      <c r="N3204">
        <v>0.99540990662717999</v>
      </c>
      <c r="O3204" s="1">
        <v>4.2074252726534197E-9</v>
      </c>
      <c r="P3204" s="2">
        <f t="shared" si="106"/>
        <v>4.409444324620174</v>
      </c>
    </row>
    <row r="3205" spans="13:16" x14ac:dyDescent="0.25">
      <c r="M3205">
        <v>0.56902477618188796</v>
      </c>
      <c r="N3205">
        <v>0.56900283435769095</v>
      </c>
      <c r="O3205" s="1">
        <v>3.1758350698584502E-9</v>
      </c>
      <c r="P3205" s="2">
        <f t="shared" si="106"/>
        <v>0.15159592312018769</v>
      </c>
    </row>
    <row r="3206" spans="13:16" x14ac:dyDescent="0.25">
      <c r="M3206">
        <v>0.99553894384740405</v>
      </c>
      <c r="N3206">
        <v>0.99551448086199801</v>
      </c>
      <c r="O3206" s="1">
        <v>4.10762278366603E-9</v>
      </c>
      <c r="P3206" s="2">
        <f t="shared" si="106"/>
        <v>0.14568953540614493</v>
      </c>
    </row>
    <row r="3207" spans="13:16" x14ac:dyDescent="0.25">
      <c r="M3207">
        <v>0.56908864504645795</v>
      </c>
      <c r="N3207">
        <v>0.56903997045980104</v>
      </c>
      <c r="O3207" s="1">
        <v>1.1254383307357399E-9</v>
      </c>
      <c r="P3207" s="2">
        <f t="shared" si="106"/>
        <v>2.1051490086291862</v>
      </c>
    </row>
    <row r="3208" spans="13:16" x14ac:dyDescent="0.25">
      <c r="M3208">
        <v>0.99556050732580303</v>
      </c>
      <c r="N3208">
        <v>0.99547071092949702</v>
      </c>
      <c r="O3208" s="1">
        <v>2.72704617910697E-9</v>
      </c>
      <c r="P3208" s="2">
        <f t="shared" si="106"/>
        <v>2.9568229725351158</v>
      </c>
    </row>
    <row r="3209" spans="13:16" x14ac:dyDescent="0.25">
      <c r="M3209">
        <v>0.56918094022908305</v>
      </c>
      <c r="N3209">
        <v>0.56917475435515397</v>
      </c>
      <c r="O3209" s="1">
        <v>1.10354753957242E-9</v>
      </c>
      <c r="P3209" s="2">
        <f t="shared" si="106"/>
        <v>3.4674569870721129E-2</v>
      </c>
    </row>
    <row r="3210" spans="13:16" x14ac:dyDescent="0.25">
      <c r="M3210">
        <v>0.99532457329883395</v>
      </c>
      <c r="N3210">
        <v>0.99531188998717801</v>
      </c>
      <c r="O3210" s="1">
        <v>3.5381064038491398E-9</v>
      </c>
      <c r="P3210" s="2">
        <f t="shared" si="106"/>
        <v>4.5466805177653634E-2</v>
      </c>
    </row>
    <row r="3211" spans="13:16" x14ac:dyDescent="0.25">
      <c r="M3211">
        <v>0.56909624413585103</v>
      </c>
      <c r="N3211">
        <v>0.56910691757220799</v>
      </c>
      <c r="O3211" s="1">
        <v>9.9879706134074607E-10</v>
      </c>
      <c r="P3211" s="2">
        <f t="shared" si="106"/>
        <v>0.11405945018831314</v>
      </c>
    </row>
    <row r="3212" spans="13:16" x14ac:dyDescent="0.25">
      <c r="M3212">
        <v>0.99537433222777005</v>
      </c>
      <c r="N3212">
        <v>0.99539181675545096</v>
      </c>
      <c r="O3212" s="1">
        <v>2.3926520026455199E-9</v>
      </c>
      <c r="P3212" s="2">
        <f t="shared" si="106"/>
        <v>0.12776981687538602</v>
      </c>
    </row>
    <row r="3213" spans="13:16" x14ac:dyDescent="0.25">
      <c r="M3213">
        <v>0.569010555254441</v>
      </c>
      <c r="N3213">
        <v>0.56901084989061002</v>
      </c>
      <c r="O3213" s="1">
        <v>8.3544140803355598E-10</v>
      </c>
      <c r="P3213" s="2">
        <f t="shared" si="106"/>
        <v>1.0390970720259493E-4</v>
      </c>
    </row>
    <row r="3214" spans="13:16" x14ac:dyDescent="0.25">
      <c r="M3214">
        <v>0.99550459143543102</v>
      </c>
      <c r="N3214">
        <v>0.99550503306482396</v>
      </c>
      <c r="O3214" s="1">
        <v>1.7323066430288301E-9</v>
      </c>
      <c r="P3214" s="2">
        <f t="shared" si="106"/>
        <v>1.1258775777213406E-4</v>
      </c>
    </row>
    <row r="3215" spans="13:16" x14ac:dyDescent="0.25">
      <c r="M3215">
        <v>0.56896187979410795</v>
      </c>
      <c r="N3215">
        <v>0.56898085985321101</v>
      </c>
      <c r="O3215" s="1">
        <v>6.7493722678487502E-10</v>
      </c>
      <c r="P3215" s="2">
        <f t="shared" si="106"/>
        <v>0.53374244190323694</v>
      </c>
    </row>
    <row r="3216" spans="13:16" x14ac:dyDescent="0.25">
      <c r="M3216">
        <v>0.99551722203547199</v>
      </c>
      <c r="N3216">
        <v>0.99554038304727999</v>
      </c>
      <c r="O3216" s="1">
        <v>9.8957275027032797E-10</v>
      </c>
      <c r="P3216" s="2">
        <f t="shared" si="106"/>
        <v>0.54208492283507281</v>
      </c>
    </row>
    <row r="3217" spans="13:16" x14ac:dyDescent="0.25">
      <c r="M3217">
        <v>0.56900888668120897</v>
      </c>
      <c r="N3217">
        <v>0.56903189791500097</v>
      </c>
      <c r="O3217" s="1">
        <v>7.4180682768344904E-10</v>
      </c>
      <c r="P3217" s="2">
        <f t="shared" si="106"/>
        <v>0.71382044606386474</v>
      </c>
    </row>
    <row r="3218" spans="13:16" x14ac:dyDescent="0.25">
      <c r="M3218">
        <v>0.99543699333162206</v>
      </c>
      <c r="N3218">
        <v>0.99548022511161305</v>
      </c>
      <c r="O3218" s="1">
        <v>2.0972612614172099E-9</v>
      </c>
      <c r="P3218" s="2">
        <f t="shared" si="106"/>
        <v>0.89115592586051029</v>
      </c>
    </row>
    <row r="3219" spans="13:16" x14ac:dyDescent="0.25">
      <c r="M3219">
        <v>0.56908227837731296</v>
      </c>
      <c r="N3219">
        <v>0.56913414903604198</v>
      </c>
      <c r="O3219" s="1">
        <v>9.3506924132464195E-10</v>
      </c>
      <c r="P3219" s="2">
        <f t="shared" si="106"/>
        <v>2.8773967938154787</v>
      </c>
    </row>
    <row r="3220" spans="13:16" x14ac:dyDescent="0.25">
      <c r="M3220">
        <v>0.99527609439124798</v>
      </c>
      <c r="N3220">
        <v>0.99535973013877899</v>
      </c>
      <c r="O3220" s="1">
        <v>2.2086977114624098E-9</v>
      </c>
      <c r="P3220" s="2">
        <f t="shared" si="106"/>
        <v>3.1669966554359514</v>
      </c>
    </row>
    <row r="3221" spans="13:16" x14ac:dyDescent="0.25">
      <c r="M3221">
        <v>8.7874254394765998</v>
      </c>
      <c r="N3221">
        <v>8.7876752570956196</v>
      </c>
      <c r="O3221" s="1">
        <v>2.9746718703140898E-7</v>
      </c>
      <c r="P3221" s="2">
        <f t="shared" si="106"/>
        <v>0.20980076288587426</v>
      </c>
    </row>
    <row r="3222" spans="13:16" x14ac:dyDescent="0.25">
      <c r="M3222">
        <v>3.5868962091475498</v>
      </c>
      <c r="N3222">
        <v>3.58696727130038</v>
      </c>
      <c r="O3222" s="1">
        <v>5.9709730930192203E-8</v>
      </c>
      <c r="P3222" s="2">
        <f t="shared" si="106"/>
        <v>8.4572974725998534E-2</v>
      </c>
    </row>
    <row r="3223" spans="13:16" x14ac:dyDescent="0.25">
      <c r="M3223">
        <v>4.1916772896563002</v>
      </c>
      <c r="N3223">
        <v>4.1919471622880504</v>
      </c>
      <c r="O3223" s="1">
        <v>8.9407731950531803E-8</v>
      </c>
      <c r="P3223" s="2">
        <f t="shared" si="106"/>
        <v>0.81459663251621395</v>
      </c>
    </row>
    <row r="3224" spans="13:16" x14ac:dyDescent="0.25">
      <c r="M3224">
        <v>8.7903737324862004</v>
      </c>
      <c r="N3224">
        <v>8.7891782262925702</v>
      </c>
      <c r="O3224" s="1">
        <v>5.7501991526340197E-7</v>
      </c>
      <c r="P3224" s="2">
        <f t="shared" si="106"/>
        <v>2.4855401022996326</v>
      </c>
    </row>
    <row r="3225" spans="13:16" x14ac:dyDescent="0.25">
      <c r="M3225">
        <v>3.5875174595902002</v>
      </c>
      <c r="N3225">
        <v>3.58736379136867</v>
      </c>
      <c r="O3225" s="1">
        <v>1.10646629995516E-7</v>
      </c>
      <c r="P3225" s="2">
        <f t="shared" si="106"/>
        <v>0.21341745617742777</v>
      </c>
    </row>
    <row r="3226" spans="13:16" x14ac:dyDescent="0.25">
      <c r="M3226">
        <v>4.1927992497946498</v>
      </c>
      <c r="N3226">
        <v>4.1922228471688801</v>
      </c>
      <c r="O3226" s="1">
        <v>1.4714658809777299E-7</v>
      </c>
      <c r="P3226" s="2">
        <f t="shared" si="106"/>
        <v>2.2578844082575453</v>
      </c>
    </row>
    <row r="3227" spans="13:16" x14ac:dyDescent="0.25">
      <c r="M3227">
        <v>8.7893769183936996</v>
      </c>
      <c r="N3227">
        <v>8.7904405015737606</v>
      </c>
      <c r="O3227" s="1">
        <v>7.3699162758888696E-7</v>
      </c>
      <c r="P3227" s="2">
        <f t="shared" si="106"/>
        <v>1.5349009928503161</v>
      </c>
    </row>
    <row r="3228" spans="13:16" x14ac:dyDescent="0.25">
      <c r="M3228">
        <v>3.58732598620335</v>
      </c>
      <c r="N3228">
        <v>3.5876967919637401</v>
      </c>
      <c r="O3228" s="1">
        <v>1.3703806916303399E-7</v>
      </c>
      <c r="P3228" s="2">
        <f t="shared" si="106"/>
        <v>1.0033482869271297</v>
      </c>
    </row>
    <row r="3229" spans="13:16" x14ac:dyDescent="0.25">
      <c r="M3229">
        <v>4.1918998028249002</v>
      </c>
      <c r="N3229">
        <v>4.1924543599110802</v>
      </c>
      <c r="O3229" s="1">
        <v>1.62296903130203E-7</v>
      </c>
      <c r="P3229" s="2">
        <f t="shared" si="106"/>
        <v>1.8948825017674751</v>
      </c>
    </row>
    <row r="3230" spans="13:16" x14ac:dyDescent="0.25">
      <c r="M3230">
        <v>8.7901797904245509</v>
      </c>
      <c r="N3230">
        <v>8.7899336798400398</v>
      </c>
      <c r="O3230" s="1">
        <v>4.0850916306561602E-7</v>
      </c>
      <c r="P3230" s="2">
        <f t="shared" si="106"/>
        <v>0.14827187560209668</v>
      </c>
    </row>
    <row r="3231" spans="13:16" x14ac:dyDescent="0.25">
      <c r="M3231">
        <v>3.5876799810427999</v>
      </c>
      <c r="N3231">
        <v>3.5875630894531798</v>
      </c>
      <c r="O3231" s="1">
        <v>8.4884229611564397E-8</v>
      </c>
      <c r="P3231" s="2">
        <f t="shared" si="106"/>
        <v>0.16096798882959218</v>
      </c>
    </row>
    <row r="3232" spans="13:16" x14ac:dyDescent="0.25">
      <c r="M3232">
        <v>4.1925289046103504</v>
      </c>
      <c r="N3232">
        <v>4.19236140666401</v>
      </c>
      <c r="O3232" s="1">
        <v>1.3403574447222099E-7</v>
      </c>
      <c r="P3232" s="2">
        <f t="shared" si="106"/>
        <v>0.20931403140801641</v>
      </c>
    </row>
    <row r="3233" spans="13:16" x14ac:dyDescent="0.25">
      <c r="M3233">
        <v>8.7924277460199995</v>
      </c>
      <c r="N3233">
        <v>8.7916659677933193</v>
      </c>
      <c r="O3233" s="1">
        <v>3.1175653920202702E-7</v>
      </c>
      <c r="P3233" s="2">
        <f t="shared" si="106"/>
        <v>1.8614078412899218</v>
      </c>
    </row>
    <row r="3234" spans="13:16" x14ac:dyDescent="0.25">
      <c r="M3234">
        <v>3.5883957335306</v>
      </c>
      <c r="N3234">
        <v>3.58802006579011</v>
      </c>
      <c r="O3234" s="1">
        <v>7.0375385778824402E-8</v>
      </c>
      <c r="P3234" s="2">
        <f t="shared" si="106"/>
        <v>2.0053353837151704</v>
      </c>
    </row>
    <row r="3235" spans="13:16" x14ac:dyDescent="0.25">
      <c r="M3235">
        <v>4.19318960533045</v>
      </c>
      <c r="N3235">
        <v>4.1926791019638801</v>
      </c>
      <c r="O3235" s="1">
        <v>8.0345797219467006E-8</v>
      </c>
      <c r="P3235" s="2">
        <f t="shared" si="106"/>
        <v>3.2436505243382108</v>
      </c>
    </row>
    <row r="3236" spans="13:16" x14ac:dyDescent="0.25">
      <c r="M3236">
        <v>8.7917541942103501</v>
      </c>
      <c r="N3236">
        <v>8.7922770991600903</v>
      </c>
      <c r="O3236" s="1">
        <v>5.7692397271649899E-7</v>
      </c>
      <c r="P3236" s="2">
        <f t="shared" si="106"/>
        <v>0.47394388063872184</v>
      </c>
    </row>
    <row r="3237" spans="13:16" x14ac:dyDescent="0.25">
      <c r="M3237">
        <v>3.5877386082432001</v>
      </c>
      <c r="N3237">
        <v>3.5881812742139498</v>
      </c>
      <c r="O3237" s="1">
        <v>1.08279095301934E-7</v>
      </c>
      <c r="P3237" s="2">
        <f t="shared" si="106"/>
        <v>1.8097044596962435</v>
      </c>
    </row>
    <row r="3238" spans="13:16" x14ac:dyDescent="0.25">
      <c r="M3238">
        <v>4.1925006958389002</v>
      </c>
      <c r="N3238">
        <v>4.1927911720367899</v>
      </c>
      <c r="O3238" s="1">
        <v>1.68941700791687E-7</v>
      </c>
      <c r="P3238" s="2">
        <f t="shared" si="106"/>
        <v>0.4994410565600354</v>
      </c>
    </row>
    <row r="3239" spans="13:16" x14ac:dyDescent="0.25">
      <c r="M3239">
        <v>8.7929174066407505</v>
      </c>
      <c r="N3239">
        <v>8.7929554135875705</v>
      </c>
      <c r="O3239" s="1">
        <v>4.9428268041273399E-7</v>
      </c>
      <c r="P3239" s="2">
        <f t="shared" si="106"/>
        <v>2.9224734424669516E-3</v>
      </c>
    </row>
    <row r="3240" spans="13:16" x14ac:dyDescent="0.25">
      <c r="M3240">
        <v>3.5884048321745001</v>
      </c>
      <c r="N3240">
        <v>3.5883602000064601</v>
      </c>
      <c r="O3240" s="1">
        <v>8.5433637429327599E-8</v>
      </c>
      <c r="P3240" s="2">
        <f t="shared" si="106"/>
        <v>2.3316699181923046E-2</v>
      </c>
    </row>
    <row r="3241" spans="13:16" x14ac:dyDescent="0.25">
      <c r="M3241">
        <v>4.1929062668319004</v>
      </c>
      <c r="N3241">
        <v>4.1929155566139897</v>
      </c>
      <c r="O3241" s="1">
        <v>1.73537817940326E-7</v>
      </c>
      <c r="P3241" s="2">
        <f t="shared" si="106"/>
        <v>4.9729823903566113E-4</v>
      </c>
    </row>
    <row r="3242" spans="13:16" x14ac:dyDescent="0.25">
      <c r="M3242">
        <v>8.7932880796224495</v>
      </c>
      <c r="N3242">
        <v>8.7934221048901904</v>
      </c>
      <c r="O3242" s="1">
        <v>5.2066870363417603E-7</v>
      </c>
      <c r="P3242" s="2">
        <f t="shared" si="106"/>
        <v>3.4499427885014242E-2</v>
      </c>
    </row>
    <row r="3243" spans="13:16" x14ac:dyDescent="0.25">
      <c r="M3243">
        <v>3.5882947191849999</v>
      </c>
      <c r="N3243">
        <v>3.5884833010125998</v>
      </c>
      <c r="O3243" s="1">
        <v>8.0014811239117502E-8</v>
      </c>
      <c r="P3243" s="2">
        <f t="shared" si="106"/>
        <v>0.44445653436163762</v>
      </c>
    </row>
    <row r="3244" spans="13:16" x14ac:dyDescent="0.25">
      <c r="M3244">
        <v>4.1929190622282002</v>
      </c>
      <c r="N3244">
        <v>4.1930011317866196</v>
      </c>
      <c r="O3244" s="1">
        <v>1.03718354081266E-7</v>
      </c>
      <c r="P3244" s="2">
        <f t="shared" si="106"/>
        <v>6.4939445663352441E-2</v>
      </c>
    </row>
    <row r="3245" spans="13:16" x14ac:dyDescent="0.25">
      <c r="M3245">
        <v>8.7944892495966993</v>
      </c>
      <c r="N3245">
        <v>8.7945500540303208</v>
      </c>
      <c r="O3245" s="1">
        <v>8.8971716205473001E-7</v>
      </c>
      <c r="P3245" s="2">
        <f t="shared" si="106"/>
        <v>4.1554544586798825E-3</v>
      </c>
    </row>
    <row r="3246" spans="13:16" x14ac:dyDescent="0.25">
      <c r="M3246">
        <v>3.5889426965868498</v>
      </c>
      <c r="N3246">
        <v>3.5887808150676501</v>
      </c>
      <c r="O3246" s="1">
        <v>1.3775535912963801E-7</v>
      </c>
      <c r="P3246" s="2">
        <f t="shared" si="106"/>
        <v>0.19023308003390133</v>
      </c>
    </row>
    <row r="3247" spans="13:16" x14ac:dyDescent="0.25">
      <c r="M3247">
        <v>4.1931226194254503</v>
      </c>
      <c r="N3247">
        <v>4.1932079474174504</v>
      </c>
      <c r="O3247" s="1">
        <v>2.6677838640474499E-7</v>
      </c>
      <c r="P3247" s="2">
        <f t="shared" si="106"/>
        <v>2.7291814441541083E-2</v>
      </c>
    </row>
    <row r="3248" spans="13:16" x14ac:dyDescent="0.25">
      <c r="M3248">
        <v>8.7942680108002502</v>
      </c>
      <c r="N3248">
        <v>8.7948175446216794</v>
      </c>
      <c r="O3248" s="1">
        <v>7.0975860992595403E-7</v>
      </c>
      <c r="P3248" s="2">
        <f t="shared" si="106"/>
        <v>0.42547905255573809</v>
      </c>
    </row>
    <row r="3249" spans="13:16" x14ac:dyDescent="0.25">
      <c r="M3249">
        <v>3.5886963247058001</v>
      </c>
      <c r="N3249">
        <v>3.5888513678743998</v>
      </c>
      <c r="O3249" s="1">
        <v>1.12927534790267E-7</v>
      </c>
      <c r="P3249" s="2">
        <f t="shared" si="106"/>
        <v>0.21286557059873293</v>
      </c>
    </row>
    <row r="3250" spans="13:16" x14ac:dyDescent="0.25">
      <c r="M3250">
        <v>4.1929172318985497</v>
      </c>
      <c r="N3250">
        <v>4.1932569908824204</v>
      </c>
      <c r="O3250" s="1">
        <v>1.17199699656852E-7</v>
      </c>
      <c r="P3250" s="2">
        <f t="shared" si="106"/>
        <v>0.98495275550070382</v>
      </c>
    </row>
    <row r="3251" spans="13:16" x14ac:dyDescent="0.25">
      <c r="M3251">
        <v>8.7939099612397502</v>
      </c>
      <c r="N3251">
        <v>8.7939732977331602</v>
      </c>
      <c r="O3251" s="1">
        <v>2.5242499635004197E-7</v>
      </c>
      <c r="P3251" s="2">
        <f t="shared" si="106"/>
        <v>1.5891894445769061E-2</v>
      </c>
    </row>
    <row r="3252" spans="13:16" x14ac:dyDescent="0.25">
      <c r="M3252">
        <v>3.5885538867114501</v>
      </c>
      <c r="N3252">
        <v>3.5886286883476499</v>
      </c>
      <c r="O3252" s="1">
        <v>5.37445900103839E-8</v>
      </c>
      <c r="P3252" s="2">
        <f t="shared" si="106"/>
        <v>0.10410880010587296</v>
      </c>
    </row>
    <row r="3253" spans="13:16" x14ac:dyDescent="0.25">
      <c r="M3253">
        <v>4.1930843853659496</v>
      </c>
      <c r="N3253">
        <v>4.1931021980423404</v>
      </c>
      <c r="O3253" s="1">
        <v>7.1702636311709494E-8</v>
      </c>
      <c r="P3253" s="2">
        <f t="shared" si="106"/>
        <v>4.4251014540581139E-3</v>
      </c>
    </row>
    <row r="3254" spans="13:16" x14ac:dyDescent="0.25">
      <c r="M3254">
        <v>8.7942311069776995</v>
      </c>
      <c r="N3254">
        <v>8.7941819407028703</v>
      </c>
      <c r="O3254" s="1">
        <v>6.1892530052563095E-7</v>
      </c>
      <c r="P3254" s="2">
        <f t="shared" si="106"/>
        <v>3.9056774355934487E-3</v>
      </c>
    </row>
    <row r="3255" spans="13:16" x14ac:dyDescent="0.25">
      <c r="M3255">
        <v>3.58857478863235</v>
      </c>
      <c r="N3255">
        <v>3.5886837209597102</v>
      </c>
      <c r="O3255" s="1">
        <v>1.14032642439446E-7</v>
      </c>
      <c r="P3255" s="2">
        <f t="shared" si="106"/>
        <v>0.10406013304840454</v>
      </c>
    </row>
    <row r="3256" spans="13:16" x14ac:dyDescent="0.25">
      <c r="M3256">
        <v>4.1931226683297496</v>
      </c>
      <c r="N3256">
        <v>4.1931404536244399</v>
      </c>
      <c r="O3256" s="1">
        <v>1.68968969882325E-7</v>
      </c>
      <c r="P3256" s="2">
        <f t="shared" si="106"/>
        <v>1.8720402180460718E-3</v>
      </c>
    </row>
    <row r="3257" spans="13:16" x14ac:dyDescent="0.25">
      <c r="M3257">
        <v>0.83994436770070702</v>
      </c>
      <c r="N3257">
        <v>0.83990695934144899</v>
      </c>
      <c r="O3257" s="1">
        <v>2.7861558862964501E-9</v>
      </c>
      <c r="P3257" s="2">
        <f t="shared" si="106"/>
        <v>0.50226383572453503</v>
      </c>
    </row>
    <row r="3258" spans="13:16" x14ac:dyDescent="0.25">
      <c r="M3258">
        <v>0.995425425461123</v>
      </c>
      <c r="N3258">
        <v>0.99540023591930704</v>
      </c>
      <c r="O3258" s="1">
        <v>1.5691449898995401E-9</v>
      </c>
      <c r="P3258" s="2">
        <f t="shared" si="106"/>
        <v>0.40436863449993943</v>
      </c>
    </row>
    <row r="3259" spans="13:16" x14ac:dyDescent="0.25">
      <c r="M3259">
        <v>0.84059700311956498</v>
      </c>
      <c r="N3259">
        <v>0.84056295207668197</v>
      </c>
      <c r="O3259" s="1">
        <v>3.6264933941206399E-9</v>
      </c>
      <c r="P3259" s="2">
        <f t="shared" si="106"/>
        <v>0.31972304797255213</v>
      </c>
    </row>
    <row r="3260" spans="13:16" x14ac:dyDescent="0.25">
      <c r="M3260">
        <v>0.99489768710525806</v>
      </c>
      <c r="N3260">
        <v>0.99487681393076699</v>
      </c>
      <c r="O3260" s="1">
        <v>1.6948902347617801E-9</v>
      </c>
      <c r="P3260" s="2">
        <f t="shared" si="106"/>
        <v>0.25706054846418214</v>
      </c>
    </row>
    <row r="3261" spans="13:16" x14ac:dyDescent="0.25">
      <c r="M3261">
        <v>0.84045317654084295</v>
      </c>
      <c r="N3261">
        <v>0.84042057302732398</v>
      </c>
      <c r="O3261" s="1">
        <v>1.1976698557982199E-9</v>
      </c>
      <c r="P3261" s="2">
        <f t="shared" si="106"/>
        <v>0.88754767320512473</v>
      </c>
    </row>
    <row r="3262" spans="13:16" x14ac:dyDescent="0.25">
      <c r="M3262">
        <v>0.99505361196215902</v>
      </c>
      <c r="N3262">
        <v>0.99499036124006701</v>
      </c>
      <c r="O3262" s="1">
        <v>1.9853279376183499E-9</v>
      </c>
      <c r="P3262" s="2">
        <f t="shared" si="106"/>
        <v>2.0151098311547564</v>
      </c>
    </row>
    <row r="3263" spans="13:16" x14ac:dyDescent="0.25">
      <c r="M3263">
        <v>0.84042123726330697</v>
      </c>
      <c r="N3263">
        <v>0.84041418934232204</v>
      </c>
      <c r="O3263" s="1">
        <v>9.3247898796894291E-10</v>
      </c>
      <c r="P3263" s="2">
        <f t="shared" si="106"/>
        <v>5.3270037020472748E-2</v>
      </c>
    </row>
    <row r="3264" spans="13:16" x14ac:dyDescent="0.25">
      <c r="M3264">
        <v>0.99500537815812395</v>
      </c>
      <c r="N3264">
        <v>0.99499545298377101</v>
      </c>
      <c r="O3264" s="1">
        <v>1.2319515186345701E-9</v>
      </c>
      <c r="P3264" s="2">
        <f t="shared" si="106"/>
        <v>7.9961820287777263E-2</v>
      </c>
    </row>
    <row r="3265" spans="13:16" x14ac:dyDescent="0.25">
      <c r="M3265">
        <v>0.84057331177176897</v>
      </c>
      <c r="N3265">
        <v>0.84053745831313098</v>
      </c>
      <c r="O3265" s="1">
        <v>1.20932567617539E-9</v>
      </c>
      <c r="P3265" s="2">
        <f t="shared" si="106"/>
        <v>1.062964693159878</v>
      </c>
    </row>
    <row r="3266" spans="13:16" x14ac:dyDescent="0.25">
      <c r="M3266">
        <v>0.994962716804762</v>
      </c>
      <c r="N3266">
        <v>0.99489714284429698</v>
      </c>
      <c r="O3266" s="1">
        <v>2.3206852423737098E-9</v>
      </c>
      <c r="P3266" s="2">
        <f t="shared" si="106"/>
        <v>1.8528769919140942</v>
      </c>
    </row>
    <row r="3267" spans="13:16" x14ac:dyDescent="0.25">
      <c r="M3267">
        <v>0.84063456261826597</v>
      </c>
      <c r="N3267">
        <v>0.84065865936480599</v>
      </c>
      <c r="O3267" s="1">
        <v>1.33273345468305E-9</v>
      </c>
      <c r="P3267" s="2">
        <f t="shared" ref="P3267:P3330" si="107">(M3267-N3267)^2/O3267</f>
        <v>0.4356859143693666</v>
      </c>
    </row>
    <row r="3268" spans="13:16" x14ac:dyDescent="0.25">
      <c r="M3268">
        <v>0.994779622939436</v>
      </c>
      <c r="N3268">
        <v>0.994800505447201</v>
      </c>
      <c r="O3268" s="1">
        <v>9.7497516971819494E-10</v>
      </c>
      <c r="P3268" s="2">
        <f t="shared" si="107"/>
        <v>0.4472720373803829</v>
      </c>
    </row>
    <row r="3269" spans="13:16" x14ac:dyDescent="0.25">
      <c r="M3269">
        <v>0.84045882338877798</v>
      </c>
      <c r="N3269">
        <v>0.84048221527393396</v>
      </c>
      <c r="O3269" s="1">
        <v>1.44737204729927E-9</v>
      </c>
      <c r="P3269" s="2">
        <f t="shared" si="107"/>
        <v>0.37805089035119538</v>
      </c>
    </row>
    <row r="3270" spans="13:16" x14ac:dyDescent="0.25">
      <c r="M3270">
        <v>0.99492018839589302</v>
      </c>
      <c r="N3270">
        <v>0.99494119758899402</v>
      </c>
      <c r="O3270" s="1">
        <v>1.1183742705814599E-9</v>
      </c>
      <c r="P3270" s="2">
        <f t="shared" si="107"/>
        <v>0.39466769431797721</v>
      </c>
    </row>
    <row r="3271" spans="13:16" x14ac:dyDescent="0.25">
      <c r="M3271">
        <v>0.84022750504654897</v>
      </c>
      <c r="N3271">
        <v>0.84025395861809005</v>
      </c>
      <c r="O3271" s="1">
        <v>9.4443418811005698E-10</v>
      </c>
      <c r="P3271" s="2">
        <f t="shared" si="107"/>
        <v>0.74096369666488227</v>
      </c>
    </row>
    <row r="3272" spans="13:16" x14ac:dyDescent="0.25">
      <c r="M3272">
        <v>0.99509661141752204</v>
      </c>
      <c r="N3272">
        <v>0.99512327714189497</v>
      </c>
      <c r="O3272" s="1">
        <v>9.0891992084074302E-10</v>
      </c>
      <c r="P3272" s="2">
        <f t="shared" si="107"/>
        <v>0.78231408513463307</v>
      </c>
    </row>
    <row r="3273" spans="13:16" x14ac:dyDescent="0.25">
      <c r="M3273">
        <v>0.84028742246469701</v>
      </c>
      <c r="N3273">
        <v>0.840325178825166</v>
      </c>
      <c r="O3273" s="1">
        <v>8.3487096402542603E-10</v>
      </c>
      <c r="P3273" s="2">
        <f t="shared" si="107"/>
        <v>1.707500700456432</v>
      </c>
    </row>
    <row r="3274" spans="13:16" x14ac:dyDescent="0.25">
      <c r="M3274">
        <v>0.99500203415159005</v>
      </c>
      <c r="N3274">
        <v>0.99506645614188405</v>
      </c>
      <c r="O3274" s="1">
        <v>1.59356214133932E-9</v>
      </c>
      <c r="P3274" s="2">
        <f t="shared" si="107"/>
        <v>2.6043495423099619</v>
      </c>
    </row>
    <row r="3275" spans="13:16" x14ac:dyDescent="0.25">
      <c r="M3275">
        <v>0.84027450941940096</v>
      </c>
      <c r="N3275">
        <v>0.84031859199785597</v>
      </c>
      <c r="O3275" s="1">
        <v>1.49119094578871E-9</v>
      </c>
      <c r="P3275" s="2">
        <f t="shared" si="107"/>
        <v>1.3031689393835619</v>
      </c>
    </row>
    <row r="3276" spans="13:16" x14ac:dyDescent="0.25">
      <c r="M3276">
        <v>0.99500085649924097</v>
      </c>
      <c r="N3276">
        <v>0.99507171091492297</v>
      </c>
      <c r="O3276" s="1">
        <v>2.97143345468587E-9</v>
      </c>
      <c r="P3276" s="2">
        <f t="shared" si="107"/>
        <v>1.6895374903046869</v>
      </c>
    </row>
    <row r="3277" spans="13:16" x14ac:dyDescent="0.25">
      <c r="M3277">
        <v>6.3918787570118996</v>
      </c>
      <c r="N3277">
        <v>6.3917489934537404</v>
      </c>
      <c r="O3277" s="1">
        <v>2.5253619852137301E-7</v>
      </c>
      <c r="P3277" s="2">
        <f t="shared" si="107"/>
        <v>6.6677890633997594E-2</v>
      </c>
    </row>
    <row r="3278" spans="13:16" x14ac:dyDescent="0.25">
      <c r="M3278">
        <v>2.6062350595386001</v>
      </c>
      <c r="N3278">
        <v>2.6060204229928798</v>
      </c>
      <c r="O3278" s="1">
        <v>4.2678364785469299E-8</v>
      </c>
      <c r="P3278" s="2">
        <f t="shared" si="107"/>
        <v>1.0794426400897228</v>
      </c>
    </row>
    <row r="3279" spans="13:16" x14ac:dyDescent="0.25">
      <c r="M3279">
        <v>3.0435274838039001</v>
      </c>
      <c r="N3279">
        <v>3.0434690097727302</v>
      </c>
      <c r="O3279" s="1">
        <v>7.8702838793500896E-8</v>
      </c>
      <c r="P3279" s="2">
        <f t="shared" si="107"/>
        <v>4.3444586925762231E-2</v>
      </c>
    </row>
    <row r="3280" spans="13:16" x14ac:dyDescent="0.25">
      <c r="M3280">
        <v>6.3919406635030001</v>
      </c>
      <c r="N3280">
        <v>6.3916788586603204</v>
      </c>
      <c r="O3280" s="1">
        <v>3.2939587339122798E-7</v>
      </c>
      <c r="P3280" s="2">
        <f t="shared" si="107"/>
        <v>0.2080832857584837</v>
      </c>
    </row>
    <row r="3281" spans="13:16" x14ac:dyDescent="0.25">
      <c r="M3281">
        <v>2.6057874544817001</v>
      </c>
      <c r="N3281">
        <v>2.6060006711833599</v>
      </c>
      <c r="O3281" s="1">
        <v>6.4848888554833597E-8</v>
      </c>
      <c r="P3281" s="2">
        <f t="shared" si="107"/>
        <v>0.7010353281262639</v>
      </c>
    </row>
    <row r="3282" spans="13:16" x14ac:dyDescent="0.25">
      <c r="M3282">
        <v>3.0435330540857999</v>
      </c>
      <c r="N3282">
        <v>3.0434568999895899</v>
      </c>
      <c r="O3282" s="1">
        <v>1.09345771871816E-7</v>
      </c>
      <c r="P3282" s="2">
        <f t="shared" si="107"/>
        <v>5.3037682850301485E-2</v>
      </c>
    </row>
    <row r="3283" spans="13:16" x14ac:dyDescent="0.25">
      <c r="M3283">
        <v>6.3943713525144004</v>
      </c>
      <c r="N3283">
        <v>6.3931991163272501</v>
      </c>
      <c r="O3283" s="1">
        <v>7.5684266667213301E-7</v>
      </c>
      <c r="P3283" s="2">
        <f t="shared" si="107"/>
        <v>1.8156186734379727</v>
      </c>
    </row>
    <row r="3284" spans="13:16" x14ac:dyDescent="0.25">
      <c r="M3284">
        <v>2.6067466658346499</v>
      </c>
      <c r="N3284">
        <v>2.6064288008614001</v>
      </c>
      <c r="O3284" s="1">
        <v>1.04182025396292E-7</v>
      </c>
      <c r="P3284" s="2">
        <f t="shared" si="107"/>
        <v>0.96982316128691592</v>
      </c>
    </row>
    <row r="3285" spans="13:16" x14ac:dyDescent="0.25">
      <c r="M3285">
        <v>3.0443248081276</v>
      </c>
      <c r="N3285">
        <v>3.0437193754151401</v>
      </c>
      <c r="O3285" s="1">
        <v>1.7010252290070801E-7</v>
      </c>
      <c r="P3285" s="2">
        <f t="shared" si="107"/>
        <v>2.1548696813299397</v>
      </c>
    </row>
    <row r="3286" spans="13:16" x14ac:dyDescent="0.25">
      <c r="M3286">
        <v>6.3946479762349497</v>
      </c>
      <c r="N3286">
        <v>6.3940661619139298</v>
      </c>
      <c r="O3286" s="1">
        <v>4.4492048489259098E-7</v>
      </c>
      <c r="P3286" s="2">
        <f t="shared" si="107"/>
        <v>0.76082786843486594</v>
      </c>
    </row>
    <row r="3287" spans="13:16" x14ac:dyDescent="0.25">
      <c r="M3287">
        <v>2.6070137253693</v>
      </c>
      <c r="N3287">
        <v>2.6066729611257502</v>
      </c>
      <c r="O3287" s="1">
        <v>8.7376566667036794E-8</v>
      </c>
      <c r="P3287" s="2">
        <f t="shared" si="107"/>
        <v>1.3289635209008961</v>
      </c>
    </row>
    <row r="3288" spans="13:16" x14ac:dyDescent="0.25">
      <c r="M3288">
        <v>3.0442339552907498</v>
      </c>
      <c r="N3288">
        <v>3.04386905469805</v>
      </c>
      <c r="O3288" s="1">
        <v>1.1302083942723E-7</v>
      </c>
      <c r="P3288" s="2">
        <f t="shared" si="107"/>
        <v>1.1781229304917911</v>
      </c>
    </row>
    <row r="3289" spans="13:16" x14ac:dyDescent="0.25">
      <c r="M3289">
        <v>6.3941630979830499</v>
      </c>
      <c r="N3289">
        <v>6.3948064553822697</v>
      </c>
      <c r="O3289" s="1">
        <v>5.9551912338449798E-7</v>
      </c>
      <c r="P3289" s="2">
        <f t="shared" si="107"/>
        <v>0.6950385417993139</v>
      </c>
    </row>
    <row r="3290" spans="13:16" x14ac:dyDescent="0.25">
      <c r="M3290">
        <v>2.6064974854803999</v>
      </c>
      <c r="N3290">
        <v>2.6068814198571801</v>
      </c>
      <c r="O3290" s="1">
        <v>1.1215492060190801E-7</v>
      </c>
      <c r="P3290" s="2">
        <f t="shared" si="107"/>
        <v>1.3143035087761221</v>
      </c>
    </row>
    <row r="3291" spans="13:16" x14ac:dyDescent="0.25">
      <c r="M3291">
        <v>3.0436032065488501</v>
      </c>
      <c r="N3291">
        <v>3.04399684234903</v>
      </c>
      <c r="O3291" s="1">
        <v>1.34167191032896E-7</v>
      </c>
      <c r="P3291" s="2">
        <f t="shared" si="107"/>
        <v>1.1548959323840868</v>
      </c>
    </row>
    <row r="3292" spans="13:16" x14ac:dyDescent="0.25">
      <c r="M3292">
        <v>6.3933519270639501</v>
      </c>
      <c r="N3292">
        <v>6.3937772553151504</v>
      </c>
      <c r="O3292" s="1">
        <v>4.5286956988572401E-7</v>
      </c>
      <c r="P3292" s="2">
        <f t="shared" si="107"/>
        <v>0.39946186120385435</v>
      </c>
    </row>
    <row r="3293" spans="13:16" x14ac:dyDescent="0.25">
      <c r="M3293">
        <v>2.60652774781575</v>
      </c>
      <c r="N3293">
        <v>2.6065916060893901</v>
      </c>
      <c r="O3293" s="1">
        <v>7.8994924950964594E-8</v>
      </c>
      <c r="P3293" s="2">
        <f t="shared" si="107"/>
        <v>5.1622039198378877E-2</v>
      </c>
    </row>
    <row r="3294" spans="13:16" x14ac:dyDescent="0.25">
      <c r="M3294">
        <v>3.0435629760677001</v>
      </c>
      <c r="N3294">
        <v>3.0438191817881899</v>
      </c>
      <c r="O3294" s="1">
        <v>1.04728676210785E-7</v>
      </c>
      <c r="P3294" s="2">
        <f t="shared" si="107"/>
        <v>0.62677552688221372</v>
      </c>
    </row>
    <row r="3295" spans="13:16" x14ac:dyDescent="0.25">
      <c r="M3295">
        <v>6.3933021755885502</v>
      </c>
      <c r="N3295">
        <v>6.3943838769229799</v>
      </c>
      <c r="O3295" s="1">
        <v>5.3571391539956999E-7</v>
      </c>
      <c r="P3295" s="2">
        <f t="shared" si="107"/>
        <v>2.1841466933603675</v>
      </c>
    </row>
    <row r="3296" spans="13:16" x14ac:dyDescent="0.25">
      <c r="M3296">
        <v>2.6064205351548</v>
      </c>
      <c r="N3296">
        <v>2.6067624271920802</v>
      </c>
      <c r="O3296" s="1">
        <v>8.7674816189005294E-8</v>
      </c>
      <c r="P3296" s="2">
        <f t="shared" si="107"/>
        <v>1.3332239545688003</v>
      </c>
    </row>
    <row r="3297" spans="13:16" x14ac:dyDescent="0.25">
      <c r="M3297">
        <v>3.0433533368255001</v>
      </c>
      <c r="N3297">
        <v>3.0439238990422099</v>
      </c>
      <c r="O3297" s="1">
        <v>1.30169746479878E-7</v>
      </c>
      <c r="P3297" s="2">
        <f t="shared" si="107"/>
        <v>2.5008978809614502</v>
      </c>
    </row>
    <row r="3298" spans="13:16" x14ac:dyDescent="0.25">
      <c r="M3298">
        <v>6.3942418541258004</v>
      </c>
      <c r="N3298">
        <v>6.3940905424570298</v>
      </c>
      <c r="O3298" s="1">
        <v>5.07030658338374E-7</v>
      </c>
      <c r="P3298" s="2">
        <f t="shared" si="107"/>
        <v>4.5155496476622932E-2</v>
      </c>
    </row>
    <row r="3299" spans="13:16" x14ac:dyDescent="0.25">
      <c r="M3299">
        <v>2.60661258224235</v>
      </c>
      <c r="N3299">
        <v>2.6066798265450699</v>
      </c>
      <c r="O3299" s="1">
        <v>1.04267091525308E-7</v>
      </c>
      <c r="P3299" s="2">
        <f t="shared" si="107"/>
        <v>4.3367434366231569E-2</v>
      </c>
    </row>
    <row r="3300" spans="13:16" x14ac:dyDescent="0.25">
      <c r="M3300">
        <v>3.0439807455881498</v>
      </c>
      <c r="N3300">
        <v>3.0438732633580399</v>
      </c>
      <c r="O3300" s="1">
        <v>1.18189386526065E-7</v>
      </c>
      <c r="P3300" s="2">
        <f t="shared" si="107"/>
        <v>9.7745069409043372E-2</v>
      </c>
    </row>
    <row r="3301" spans="13:16" x14ac:dyDescent="0.25">
      <c r="M3301">
        <v>6.3931806863207497</v>
      </c>
      <c r="N3301">
        <v>6.3936231274907396</v>
      </c>
      <c r="O3301" s="1">
        <v>3.0491170163311501E-7</v>
      </c>
      <c r="P3301" s="2">
        <f t="shared" si="107"/>
        <v>0.64200287445050697</v>
      </c>
    </row>
    <row r="3302" spans="13:16" x14ac:dyDescent="0.25">
      <c r="M3302">
        <v>2.6063657237703501</v>
      </c>
      <c r="N3302">
        <v>2.6065482037954899</v>
      </c>
      <c r="O3302" s="1">
        <v>5.8126298848302401E-8</v>
      </c>
      <c r="P3302" s="2">
        <f t="shared" si="107"/>
        <v>0.57287252473983064</v>
      </c>
    </row>
    <row r="3303" spans="13:16" x14ac:dyDescent="0.25">
      <c r="M3303">
        <v>3.0435231695849501</v>
      </c>
      <c r="N3303">
        <v>3.0437925746671599</v>
      </c>
      <c r="O3303" s="1">
        <v>8.3531168202580896E-8</v>
      </c>
      <c r="P3303" s="2">
        <f t="shared" si="107"/>
        <v>0.86888642745276168</v>
      </c>
    </row>
    <row r="3304" spans="13:16" x14ac:dyDescent="0.25">
      <c r="M3304">
        <v>6.3941035611457</v>
      </c>
      <c r="N3304">
        <v>6.3939127094892099</v>
      </c>
      <c r="O3304" s="1">
        <v>2.8708606801464799E-7</v>
      </c>
      <c r="P3304" s="2">
        <f t="shared" si="107"/>
        <v>0.12687607948696708</v>
      </c>
    </row>
    <row r="3305" spans="13:16" x14ac:dyDescent="0.25">
      <c r="M3305">
        <v>2.6067090892795499</v>
      </c>
      <c r="N3305">
        <v>2.6066297496285098</v>
      </c>
      <c r="O3305" s="1">
        <v>8.2338042438060902E-8</v>
      </c>
      <c r="P3305" s="2">
        <f t="shared" si="107"/>
        <v>7.6450447943350763E-2</v>
      </c>
    </row>
    <row r="3306" spans="13:16" x14ac:dyDescent="0.25">
      <c r="M3306">
        <v>3.0439935269523999</v>
      </c>
      <c r="N3306">
        <v>3.0438425649352401</v>
      </c>
      <c r="O3306" s="1">
        <v>8.3029152850097E-8</v>
      </c>
      <c r="P3306" s="2">
        <f t="shared" si="107"/>
        <v>0.27447625132466813</v>
      </c>
    </row>
    <row r="3307" spans="13:16" x14ac:dyDescent="0.25">
      <c r="M3307">
        <v>6.3932022601977998</v>
      </c>
      <c r="N3307">
        <v>6.39325099993418</v>
      </c>
      <c r="O3307" s="1">
        <v>1.9226515200227799E-7</v>
      </c>
      <c r="P3307" s="2">
        <f t="shared" si="107"/>
        <v>1.2355655081910728E-2</v>
      </c>
    </row>
    <row r="3308" spans="13:16" x14ac:dyDescent="0.25">
      <c r="M3308">
        <v>2.6066595321044002</v>
      </c>
      <c r="N3308">
        <v>2.6064434115867599</v>
      </c>
      <c r="O3308" s="1">
        <v>4.7700619472208797E-8</v>
      </c>
      <c r="P3308" s="2">
        <f t="shared" si="107"/>
        <v>0.97919227594783487</v>
      </c>
    </row>
    <row r="3309" spans="13:16" x14ac:dyDescent="0.25">
      <c r="M3309">
        <v>3.0436073189777</v>
      </c>
      <c r="N3309">
        <v>3.0437283325181501</v>
      </c>
      <c r="O3309" s="1">
        <v>3.6668995187879502E-8</v>
      </c>
      <c r="P3309" s="2">
        <f t="shared" si="107"/>
        <v>0.39936401031016749</v>
      </c>
    </row>
    <row r="3310" spans="13:16" x14ac:dyDescent="0.25">
      <c r="M3310">
        <v>6.3939641514223</v>
      </c>
      <c r="N3310">
        <v>6.3934060089937699</v>
      </c>
      <c r="O3310" s="1">
        <v>4.5915392997680802E-7</v>
      </c>
      <c r="P3310" s="2">
        <f t="shared" si="107"/>
        <v>0.67847175029353879</v>
      </c>
    </row>
    <row r="3311" spans="13:16" x14ac:dyDescent="0.25">
      <c r="M3311">
        <v>2.6069183786555499</v>
      </c>
      <c r="N3311">
        <v>2.6064870628207002</v>
      </c>
      <c r="O3311" s="1">
        <v>1.14660173691891E-7</v>
      </c>
      <c r="P3311" s="2">
        <f t="shared" si="107"/>
        <v>1.6224757333088755</v>
      </c>
    </row>
    <row r="3312" spans="13:16" x14ac:dyDescent="0.25">
      <c r="M3312">
        <v>3.0440447702691502</v>
      </c>
      <c r="N3312">
        <v>3.0437550927585599</v>
      </c>
      <c r="O3312" s="1">
        <v>1.114040875157E-7</v>
      </c>
      <c r="P3312" s="2">
        <f t="shared" si="107"/>
        <v>0.75323142995050618</v>
      </c>
    </row>
    <row r="3313" spans="13:16" x14ac:dyDescent="0.25">
      <c r="M3313">
        <v>0.61019771536910095</v>
      </c>
      <c r="N3313">
        <v>0.61017168894391505</v>
      </c>
      <c r="O3313" s="1">
        <v>1.45676327645987E-9</v>
      </c>
      <c r="P3313" s="2">
        <f t="shared" si="107"/>
        <v>0.46498619158172338</v>
      </c>
    </row>
    <row r="3314" spans="13:16" x14ac:dyDescent="0.25">
      <c r="M3314">
        <v>0.99586304857366503</v>
      </c>
      <c r="N3314">
        <v>0.99582972166116301</v>
      </c>
      <c r="O3314" s="1">
        <v>2.2426670330213101E-9</v>
      </c>
      <c r="P3314" s="2">
        <f t="shared" si="107"/>
        <v>0.49525100274065004</v>
      </c>
    </row>
    <row r="3315" spans="13:16" x14ac:dyDescent="0.25">
      <c r="M3315">
        <v>0.61012696421927004</v>
      </c>
      <c r="N3315">
        <v>0.61015156355393496</v>
      </c>
      <c r="O3315" s="1">
        <v>1.1984081638647899E-9</v>
      </c>
      <c r="P3315" s="2">
        <f t="shared" si="107"/>
        <v>0.50494254311926867</v>
      </c>
    </row>
    <row r="3316" spans="13:16" x14ac:dyDescent="0.25">
      <c r="M3316">
        <v>0.99582183352199805</v>
      </c>
      <c r="N3316">
        <v>0.99585185054200298</v>
      </c>
      <c r="O3316" s="1">
        <v>1.7037378392093599E-9</v>
      </c>
      <c r="P3316" s="2">
        <f t="shared" si="107"/>
        <v>0.52884984370296351</v>
      </c>
    </row>
    <row r="3317" spans="13:16" x14ac:dyDescent="0.25">
      <c r="M3317">
        <v>0.61025850080694299</v>
      </c>
      <c r="N3317">
        <v>0.61022244959757999</v>
      </c>
      <c r="O3317" s="1">
        <v>1.5213540447209501E-9</v>
      </c>
      <c r="P3317" s="2">
        <f t="shared" si="107"/>
        <v>0.85429798609031238</v>
      </c>
    </row>
    <row r="3318" spans="13:16" x14ac:dyDescent="0.25">
      <c r="M3318">
        <v>0.99581649562427899</v>
      </c>
      <c r="N3318">
        <v>0.99577391318938302</v>
      </c>
      <c r="O3318" s="1">
        <v>2.0758489033555501E-9</v>
      </c>
      <c r="P3318" s="2">
        <f t="shared" si="107"/>
        <v>0.8735046942665613</v>
      </c>
    </row>
    <row r="3319" spans="13:16" x14ac:dyDescent="0.25">
      <c r="M3319">
        <v>0.61025243986320998</v>
      </c>
      <c r="N3319">
        <v>0.61021563360341602</v>
      </c>
      <c r="O3319" s="1">
        <v>1.71314498174891E-9</v>
      </c>
      <c r="P3319" s="2">
        <f t="shared" si="107"/>
        <v>0.79076830884320248</v>
      </c>
    </row>
    <row r="3320" spans="13:16" x14ac:dyDescent="0.25">
      <c r="M3320">
        <v>0.99581883988338404</v>
      </c>
      <c r="N3320">
        <v>0.99578140653838099</v>
      </c>
      <c r="O3320" s="1">
        <v>1.83807303166126E-9</v>
      </c>
      <c r="P3320" s="2">
        <f t="shared" si="107"/>
        <v>0.76235018629888274</v>
      </c>
    </row>
    <row r="3321" spans="13:16" x14ac:dyDescent="0.25">
      <c r="M3321">
        <v>0.61007599296632098</v>
      </c>
      <c r="N3321">
        <v>0.61013868344328603</v>
      </c>
      <c r="O3321" s="1">
        <v>1.4217165653310001E-9</v>
      </c>
      <c r="P3321" s="2">
        <f t="shared" si="107"/>
        <v>2.7643315115985074</v>
      </c>
    </row>
    <row r="3322" spans="13:16" x14ac:dyDescent="0.25">
      <c r="M3322">
        <v>0.99573624362830004</v>
      </c>
      <c r="N3322">
        <v>0.99586601351409199</v>
      </c>
      <c r="O3322" s="1">
        <v>5.0610950421754499E-9</v>
      </c>
      <c r="P3322" s="2">
        <f t="shared" si="107"/>
        <v>3.3273872784682976</v>
      </c>
    </row>
    <row r="3323" spans="13:16" x14ac:dyDescent="0.25">
      <c r="M3323">
        <v>8.1538462917368992</v>
      </c>
      <c r="N3323">
        <v>8.1537379348096</v>
      </c>
      <c r="O3323" s="1">
        <v>9.9127309085690095E-8</v>
      </c>
      <c r="P3323" s="2">
        <f t="shared" si="107"/>
        <v>0.11844590357627319</v>
      </c>
    </row>
    <row r="3324" spans="13:16" x14ac:dyDescent="0.25">
      <c r="M3324">
        <v>3.32824782220565</v>
      </c>
      <c r="N3324">
        <v>3.3282376304365502</v>
      </c>
      <c r="O3324" s="1">
        <v>2.0680359193465401E-8</v>
      </c>
      <c r="P3324" s="2">
        <f t="shared" si="107"/>
        <v>5.0227443542655006E-3</v>
      </c>
    </row>
    <row r="3325" spans="13:16" x14ac:dyDescent="0.25">
      <c r="M3325">
        <v>3.89053953823815</v>
      </c>
      <c r="N3325">
        <v>3.8904310390310699</v>
      </c>
      <c r="O3325" s="1">
        <v>3.2239196710538999E-8</v>
      </c>
      <c r="P3325" s="2">
        <f t="shared" si="107"/>
        <v>0.36514799182838736</v>
      </c>
    </row>
    <row r="3326" spans="13:16" x14ac:dyDescent="0.25">
      <c r="M3326">
        <v>8.1550894482126992</v>
      </c>
      <c r="N3326">
        <v>8.1550250837172396</v>
      </c>
      <c r="O3326" s="1">
        <v>1.7712992511721101E-7</v>
      </c>
      <c r="P3326" s="2">
        <f t="shared" si="107"/>
        <v>2.33884154415737E-2</v>
      </c>
    </row>
    <row r="3327" spans="13:16" x14ac:dyDescent="0.25">
      <c r="M3327">
        <v>3.3287047527174498</v>
      </c>
      <c r="N3327">
        <v>3.3285837350088201</v>
      </c>
      <c r="O3327" s="1">
        <v>4.2804505500501898E-8</v>
      </c>
      <c r="P3327" s="2">
        <f t="shared" si="107"/>
        <v>0.34214355780407346</v>
      </c>
    </row>
    <row r="3328" spans="13:16" x14ac:dyDescent="0.25">
      <c r="M3328">
        <v>3.89065581042445</v>
      </c>
      <c r="N3328">
        <v>3.8906536662770201</v>
      </c>
      <c r="O3328" s="1">
        <v>4.7713442886632499E-8</v>
      </c>
      <c r="P3328" s="2">
        <f t="shared" si="107"/>
        <v>9.6353730158619023E-5</v>
      </c>
    </row>
    <row r="3329" spans="13:16" x14ac:dyDescent="0.25">
      <c r="M3329">
        <v>8.1569617491842497</v>
      </c>
      <c r="N3329">
        <v>8.1571910499937204</v>
      </c>
      <c r="O3329" s="1">
        <v>1.4565074815653499E-7</v>
      </c>
      <c r="P3329" s="2">
        <f t="shared" si="107"/>
        <v>0.36099273013970729</v>
      </c>
    </row>
    <row r="3330" spans="13:16" x14ac:dyDescent="0.25">
      <c r="M3330">
        <v>3.3291378380554</v>
      </c>
      <c r="N3330">
        <v>3.3291661048287202</v>
      </c>
      <c r="O3330" s="1">
        <v>3.00019811540847E-8</v>
      </c>
      <c r="P3330" s="2">
        <f t="shared" si="107"/>
        <v>2.6631923733111847E-2</v>
      </c>
    </row>
    <row r="3331" spans="13:16" x14ac:dyDescent="0.25">
      <c r="M3331">
        <v>3.8908936655759998</v>
      </c>
      <c r="N3331">
        <v>3.8910282445642199</v>
      </c>
      <c r="O3331" s="1">
        <v>3.6564064079574798E-8</v>
      </c>
      <c r="P3331" s="2">
        <f t="shared" ref="P3331:P3394" si="108">(M3331-N3331)^2/O3331</f>
        <v>0.49533618667041712</v>
      </c>
    </row>
    <row r="3332" spans="13:16" x14ac:dyDescent="0.25">
      <c r="M3332">
        <v>8.1585841269392496</v>
      </c>
      <c r="N3332">
        <v>8.15861771754839</v>
      </c>
      <c r="O3332" s="1">
        <v>1.63298890678911E-7</v>
      </c>
      <c r="P3332" s="2">
        <f t="shared" si="108"/>
        <v>6.9095939215160088E-3</v>
      </c>
    </row>
    <row r="3333" spans="13:16" x14ac:dyDescent="0.25">
      <c r="M3333">
        <v>3.3296202114950999</v>
      </c>
      <c r="N3333">
        <v>3.3295496683695398</v>
      </c>
      <c r="O3333" s="1">
        <v>3.0423114804226698E-8</v>
      </c>
      <c r="P3333" s="2">
        <f t="shared" si="108"/>
        <v>0.16357077819974414</v>
      </c>
    </row>
    <row r="3334" spans="13:16" x14ac:dyDescent="0.25">
      <c r="M3334">
        <v>3.8910913614606</v>
      </c>
      <c r="N3334">
        <v>3.8912749352342502</v>
      </c>
      <c r="O3334" s="1">
        <v>4.5896526479948401E-8</v>
      </c>
      <c r="P3334" s="2">
        <f t="shared" si="108"/>
        <v>0.73424576883600745</v>
      </c>
    </row>
    <row r="3335" spans="13:16" x14ac:dyDescent="0.25">
      <c r="M3335">
        <v>8.1618146614947999</v>
      </c>
      <c r="N3335">
        <v>8.1608231573637404</v>
      </c>
      <c r="O3335" s="1">
        <v>2.5552476369834999E-7</v>
      </c>
      <c r="P3335" s="2">
        <f t="shared" si="108"/>
        <v>3.8473000725231028</v>
      </c>
    </row>
    <row r="3336" spans="13:16" x14ac:dyDescent="0.25">
      <c r="M3336">
        <v>3.3306853573385999</v>
      </c>
      <c r="N3336">
        <v>3.3301425619651202</v>
      </c>
      <c r="O3336" s="1">
        <v>4.7437621213998499E-8</v>
      </c>
      <c r="P3336" s="2">
        <f t="shared" si="108"/>
        <v>6.2108261318997107</v>
      </c>
    </row>
    <row r="3337" spans="13:16" x14ac:dyDescent="0.25">
      <c r="M3337">
        <v>3.8921098591302998</v>
      </c>
      <c r="N3337">
        <v>3.8916562323559898</v>
      </c>
      <c r="O3337" s="1">
        <v>5.8906851543017802E-8</v>
      </c>
      <c r="P3337" s="2">
        <f t="shared" si="108"/>
        <v>3.4932651292806605</v>
      </c>
    </row>
    <row r="3338" spans="13:16" x14ac:dyDescent="0.25">
      <c r="M3338">
        <v>8.1627977568024992</v>
      </c>
      <c r="N3338">
        <v>8.1625089080244901</v>
      </c>
      <c r="O3338" s="1">
        <v>1.2195410184760001E-7</v>
      </c>
      <c r="P3338" s="2">
        <f t="shared" si="108"/>
        <v>0.68413948603046393</v>
      </c>
    </row>
    <row r="3339" spans="13:16" x14ac:dyDescent="0.25">
      <c r="M3339">
        <v>3.3308338709863499</v>
      </c>
      <c r="N3339">
        <v>3.3305957094308098</v>
      </c>
      <c r="O3339" s="1">
        <v>3.9502384921821399E-8</v>
      </c>
      <c r="P3339" s="2">
        <f t="shared" si="108"/>
        <v>1.435886128128627</v>
      </c>
    </row>
    <row r="3340" spans="13:16" x14ac:dyDescent="0.25">
      <c r="M3340">
        <v>3.8921077634530001</v>
      </c>
      <c r="N3340">
        <v>3.8919476364501202</v>
      </c>
      <c r="O3340" s="1">
        <v>3.04999464709131E-8</v>
      </c>
      <c r="P3340" s="2">
        <f t="shared" si="108"/>
        <v>0.84067875580573059</v>
      </c>
    </row>
    <row r="3341" spans="13:16" x14ac:dyDescent="0.25">
      <c r="M3341">
        <v>8.1642408038714507</v>
      </c>
      <c r="N3341">
        <v>8.1638235879836891</v>
      </c>
      <c r="O3341" s="1">
        <v>1.5438708955281499E-7</v>
      </c>
      <c r="P3341" s="2">
        <f t="shared" si="108"/>
        <v>1.127484801383708</v>
      </c>
    </row>
    <row r="3342" spans="13:16" x14ac:dyDescent="0.25">
      <c r="M3342">
        <v>3.3311242165841501</v>
      </c>
      <c r="N3342">
        <v>3.3309490870348402</v>
      </c>
      <c r="O3342" s="1">
        <v>2.90671335465444E-8</v>
      </c>
      <c r="P3342" s="2">
        <f t="shared" si="108"/>
        <v>1.0551559544874276</v>
      </c>
    </row>
    <row r="3343" spans="13:16" x14ac:dyDescent="0.25">
      <c r="M3343">
        <v>3.89240681666295</v>
      </c>
      <c r="N3343">
        <v>3.8921748694847098</v>
      </c>
      <c r="O3343" s="1">
        <v>3.0925533904071797E-8</v>
      </c>
      <c r="P3343" s="2">
        <f t="shared" si="108"/>
        <v>1.7396463925392971</v>
      </c>
    </row>
    <row r="3344" spans="13:16" x14ac:dyDescent="0.25">
      <c r="M3344">
        <v>8.1657486655859994</v>
      </c>
      <c r="N3344">
        <v>8.1658088130955804</v>
      </c>
      <c r="O3344" s="1">
        <v>1.67768352556592E-7</v>
      </c>
      <c r="P3344" s="2">
        <f t="shared" si="108"/>
        <v>2.1563798259086671E-2</v>
      </c>
    </row>
    <row r="3345" spans="13:16" x14ac:dyDescent="0.25">
      <c r="M3345">
        <v>3.3314976814379502</v>
      </c>
      <c r="N3345">
        <v>3.33148266610903</v>
      </c>
      <c r="O3345" s="1">
        <v>2.4191610895429701E-8</v>
      </c>
      <c r="P3345" s="2">
        <f t="shared" si="108"/>
        <v>9.3197639279711825E-3</v>
      </c>
    </row>
    <row r="3346" spans="13:16" x14ac:dyDescent="0.25">
      <c r="M3346">
        <v>3.8924584395130499</v>
      </c>
      <c r="N3346">
        <v>3.8925179572520601</v>
      </c>
      <c r="O3346" s="1">
        <v>4.6617213128818999E-8</v>
      </c>
      <c r="P3346" s="2">
        <f t="shared" si="108"/>
        <v>7.5988267404368065E-2</v>
      </c>
    </row>
    <row r="3347" spans="13:16" x14ac:dyDescent="0.25">
      <c r="M3347">
        <v>8.1675612320619493</v>
      </c>
      <c r="N3347">
        <v>8.1677917916610703</v>
      </c>
      <c r="O3347" s="1">
        <v>1.2145701920997901E-7</v>
      </c>
      <c r="P3347" s="2">
        <f t="shared" si="108"/>
        <v>0.43766699605012227</v>
      </c>
    </row>
    <row r="3348" spans="13:16" x14ac:dyDescent="0.25">
      <c r="M3348">
        <v>3.3317581438531501</v>
      </c>
      <c r="N3348">
        <v>3.3320155971796002</v>
      </c>
      <c r="O3348" s="1">
        <v>2.2292945399913499E-8</v>
      </c>
      <c r="P3348" s="2">
        <f t="shared" si="108"/>
        <v>2.9732372331779424</v>
      </c>
    </row>
    <row r="3349" spans="13:16" x14ac:dyDescent="0.25">
      <c r="M3349">
        <v>3.8927499526482001</v>
      </c>
      <c r="N3349">
        <v>3.89286060369224</v>
      </c>
      <c r="O3349" s="1">
        <v>3.2848876424972198E-8</v>
      </c>
      <c r="P3349" s="2">
        <f t="shared" si="108"/>
        <v>0.37272670726112872</v>
      </c>
    </row>
    <row r="3350" spans="13:16" x14ac:dyDescent="0.25">
      <c r="M3350">
        <v>8.1688136408874499</v>
      </c>
      <c r="N3350">
        <v>8.1690053678996293</v>
      </c>
      <c r="O3350" s="1">
        <v>1.4285760081481901E-7</v>
      </c>
      <c r="P3350" s="2">
        <f t="shared" si="108"/>
        <v>0.25731390552252842</v>
      </c>
    </row>
    <row r="3351" spans="13:16" x14ac:dyDescent="0.25">
      <c r="M3351">
        <v>3.3324649498718002</v>
      </c>
      <c r="N3351">
        <v>3.3323417274313498</v>
      </c>
      <c r="O3351" s="1">
        <v>2.28867092607117E-8</v>
      </c>
      <c r="P3351" s="2">
        <f t="shared" si="108"/>
        <v>0.66343176109689828</v>
      </c>
    </row>
    <row r="3352" spans="13:16" x14ac:dyDescent="0.25">
      <c r="M3352">
        <v>3.8929178610519002</v>
      </c>
      <c r="N3352">
        <v>3.89307027600801</v>
      </c>
      <c r="O3352" s="1">
        <v>2.8578482245179901E-8</v>
      </c>
      <c r="P3352" s="2">
        <f t="shared" si="108"/>
        <v>0.8128604817663061</v>
      </c>
    </row>
    <row r="3353" spans="13:16" x14ac:dyDescent="0.25">
      <c r="M3353">
        <v>8.1698801038879996</v>
      </c>
      <c r="N3353">
        <v>8.1702916096639502</v>
      </c>
      <c r="O3353" s="1">
        <v>1.7127612441083999E-7</v>
      </c>
      <c r="P3353" s="2">
        <f t="shared" si="108"/>
        <v>0.98867839416152226</v>
      </c>
    </row>
    <row r="3354" spans="13:16" x14ac:dyDescent="0.25">
      <c r="M3354">
        <v>3.3325371703784499</v>
      </c>
      <c r="N3354">
        <v>3.33268736739719</v>
      </c>
      <c r="O3354" s="1">
        <v>3.1914209794678801E-8</v>
      </c>
      <c r="P3354" s="2">
        <f t="shared" si="108"/>
        <v>0.70686833807084948</v>
      </c>
    </row>
    <row r="3355" spans="13:16" x14ac:dyDescent="0.25">
      <c r="M3355">
        <v>3.8930346053856999</v>
      </c>
      <c r="N3355">
        <v>3.8932924812366898</v>
      </c>
      <c r="O3355" s="1">
        <v>4.4548020886288599E-8</v>
      </c>
      <c r="P3355" s="2">
        <f t="shared" si="108"/>
        <v>1.4927701208885193</v>
      </c>
    </row>
    <row r="3356" spans="13:16" x14ac:dyDescent="0.25">
      <c r="M3356">
        <v>8.1714527856764008</v>
      </c>
      <c r="N3356">
        <v>8.1716933016338107</v>
      </c>
      <c r="O3356" s="1">
        <v>1.8763425211023399E-7</v>
      </c>
      <c r="P3356" s="2">
        <f t="shared" si="108"/>
        <v>0.3083015234064404</v>
      </c>
    </row>
    <row r="3357" spans="13:16" x14ac:dyDescent="0.25">
      <c r="M3357">
        <v>3.33300085892885</v>
      </c>
      <c r="N3357">
        <v>3.3330640100974001</v>
      </c>
      <c r="O3357" s="1">
        <v>2.9812171770258199E-8</v>
      </c>
      <c r="P3357" s="2">
        <f t="shared" si="108"/>
        <v>0.13377321585188959</v>
      </c>
    </row>
    <row r="3358" spans="13:16" x14ac:dyDescent="0.25">
      <c r="M3358">
        <v>3.8933959612306501</v>
      </c>
      <c r="N3358">
        <v>3.8935346057225702</v>
      </c>
      <c r="O3358" s="1">
        <v>4.2251850136141301E-8</v>
      </c>
      <c r="P3358" s="2">
        <f t="shared" si="108"/>
        <v>0.45494564327538822</v>
      </c>
    </row>
    <row r="3359" spans="13:16" x14ac:dyDescent="0.25">
      <c r="M3359">
        <v>8.1745065492018494</v>
      </c>
      <c r="N3359">
        <v>8.17373680203589</v>
      </c>
      <c r="O3359" s="1">
        <v>1.67134443386851E-7</v>
      </c>
      <c r="P3359" s="2">
        <f t="shared" si="108"/>
        <v>3.5451142654719705</v>
      </c>
    </row>
    <row r="3360" spans="13:16" x14ac:dyDescent="0.25">
      <c r="M3360">
        <v>3.3340120369614001</v>
      </c>
      <c r="N3360">
        <v>3.3336130709222598</v>
      </c>
      <c r="O3360" s="1">
        <v>3.4962227039507802E-8</v>
      </c>
      <c r="P3360" s="2">
        <f t="shared" si="108"/>
        <v>4.552739166400273</v>
      </c>
    </row>
    <row r="3361" spans="13:16" x14ac:dyDescent="0.25">
      <c r="M3361">
        <v>3.8943931697160501</v>
      </c>
      <c r="N3361">
        <v>3.8938875470334899</v>
      </c>
      <c r="O3361" s="1">
        <v>4.7799132379938798E-8</v>
      </c>
      <c r="P3361" s="2">
        <f t="shared" si="108"/>
        <v>5.3485133388452111</v>
      </c>
    </row>
    <row r="3362" spans="13:16" x14ac:dyDescent="0.25">
      <c r="M3362">
        <v>8.1744702900635993</v>
      </c>
      <c r="N3362">
        <v>8.1749845339349907</v>
      </c>
      <c r="O3362" s="1">
        <v>1.6861546441111101E-7</v>
      </c>
      <c r="P3362" s="2">
        <f t="shared" si="108"/>
        <v>1.5683422643778484</v>
      </c>
    </row>
    <row r="3363" spans="13:16" x14ac:dyDescent="0.25">
      <c r="M3363">
        <v>3.3334963386768002</v>
      </c>
      <c r="N3363">
        <v>3.3339482965184399</v>
      </c>
      <c r="O3363" s="1">
        <v>3.7881896817484998E-8</v>
      </c>
      <c r="P3363" s="2">
        <f t="shared" si="108"/>
        <v>5.3921769441436425</v>
      </c>
    </row>
    <row r="3364" spans="13:16" x14ac:dyDescent="0.25">
      <c r="M3364">
        <v>3.8938408908912501</v>
      </c>
      <c r="N3364">
        <v>3.8941030202546298</v>
      </c>
      <c r="O3364" s="1">
        <v>4.5264579793895E-8</v>
      </c>
      <c r="P3364" s="2">
        <f t="shared" si="108"/>
        <v>1.5180037782025584</v>
      </c>
    </row>
    <row r="3365" spans="13:16" x14ac:dyDescent="0.25">
      <c r="M3365">
        <v>8.1765520332695001</v>
      </c>
      <c r="N3365">
        <v>8.1764134322130495</v>
      </c>
      <c r="O3365" s="1">
        <v>2.92819699101704E-7</v>
      </c>
      <c r="P3365" s="2">
        <f t="shared" si="108"/>
        <v>6.5604373299165589E-2</v>
      </c>
    </row>
    <row r="3366" spans="13:16" x14ac:dyDescent="0.25">
      <c r="M3366">
        <v>3.3344882210504498</v>
      </c>
      <c r="N3366">
        <v>3.3343321742730301</v>
      </c>
      <c r="O3366" s="1">
        <v>5.7955370881365003E-8</v>
      </c>
      <c r="P3366" s="2">
        <f t="shared" si="108"/>
        <v>0.42016117527637065</v>
      </c>
    </row>
    <row r="3367" spans="13:16" x14ac:dyDescent="0.25">
      <c r="M3367">
        <v>3.8943422696402998</v>
      </c>
      <c r="N3367">
        <v>3.8943497536956402</v>
      </c>
      <c r="O3367" s="1">
        <v>7.3648495287598597E-8</v>
      </c>
      <c r="P3367" s="2">
        <f t="shared" si="108"/>
        <v>7.6051905906059905E-4</v>
      </c>
    </row>
    <row r="3368" spans="13:16" x14ac:dyDescent="0.25">
      <c r="M3368">
        <v>8.1775828920776998</v>
      </c>
      <c r="N3368">
        <v>8.1776928700942495</v>
      </c>
      <c r="O3368" s="1">
        <v>1.10409447380287E-7</v>
      </c>
      <c r="P3368" s="2">
        <f t="shared" si="108"/>
        <v>0.10954827155811901</v>
      </c>
    </row>
    <row r="3369" spans="13:16" x14ac:dyDescent="0.25">
      <c r="M3369">
        <v>3.33468787892205</v>
      </c>
      <c r="N3369">
        <v>3.3346758796243399</v>
      </c>
      <c r="O3369" s="1">
        <v>2.2559267830514901E-8</v>
      </c>
      <c r="P3369" s="2">
        <f t="shared" si="108"/>
        <v>6.3824387660892899E-3</v>
      </c>
    </row>
    <row r="3370" spans="13:16" x14ac:dyDescent="0.25">
      <c r="M3370">
        <v>3.8944555873229501</v>
      </c>
      <c r="N3370">
        <v>3.8945706559027502</v>
      </c>
      <c r="O3370" s="1">
        <v>2.0846872440936001E-8</v>
      </c>
      <c r="P3370" s="2">
        <f t="shared" si="108"/>
        <v>0.63514458078722713</v>
      </c>
    </row>
    <row r="3371" spans="13:16" x14ac:dyDescent="0.25">
      <c r="M3371">
        <v>8.1803386122980992</v>
      </c>
      <c r="N3371">
        <v>8.1800964509311296</v>
      </c>
      <c r="O3371" s="1">
        <v>1.22685417164263E-7</v>
      </c>
      <c r="P3371" s="2">
        <f t="shared" si="108"/>
        <v>0.47798775932830612</v>
      </c>
    </row>
    <row r="3372" spans="13:16" x14ac:dyDescent="0.25">
      <c r="M3372">
        <v>3.3354284210206</v>
      </c>
      <c r="N3372">
        <v>3.3353215226317801</v>
      </c>
      <c r="O3372" s="1">
        <v>2.4387508462443701E-8</v>
      </c>
      <c r="P3372" s="2">
        <f t="shared" si="108"/>
        <v>0.46857043842331852</v>
      </c>
    </row>
    <row r="3373" spans="13:16" x14ac:dyDescent="0.25">
      <c r="M3373">
        <v>3.8951849101912499</v>
      </c>
      <c r="N3373">
        <v>3.89498558820158</v>
      </c>
      <c r="O3373" s="1">
        <v>3.50278471336136E-8</v>
      </c>
      <c r="P3373" s="2">
        <f t="shared" si="108"/>
        <v>1.1342191660940824</v>
      </c>
    </row>
    <row r="3374" spans="13:16" x14ac:dyDescent="0.25">
      <c r="M3374">
        <v>8.1818920292858994</v>
      </c>
      <c r="N3374">
        <v>8.1819734119258705</v>
      </c>
      <c r="O3374" s="1">
        <v>2.5578515753632501E-7</v>
      </c>
      <c r="P3374" s="2">
        <f t="shared" si="108"/>
        <v>2.5893347966115796E-2</v>
      </c>
    </row>
    <row r="3375" spans="13:16" x14ac:dyDescent="0.25">
      <c r="M3375">
        <v>3.3355292443300999</v>
      </c>
      <c r="N3375">
        <v>3.33582566151079</v>
      </c>
      <c r="O3375" s="1">
        <v>3.0212433375547802E-8</v>
      </c>
      <c r="P3375" s="2">
        <f t="shared" si="108"/>
        <v>2.9081783620699464</v>
      </c>
    </row>
    <row r="3376" spans="13:16" x14ac:dyDescent="0.25">
      <c r="M3376">
        <v>3.8952807857151499</v>
      </c>
      <c r="N3376">
        <v>3.89530955560708</v>
      </c>
      <c r="O3376" s="1">
        <v>4.4828985702224998E-8</v>
      </c>
      <c r="P3376" s="2">
        <f t="shared" si="108"/>
        <v>1.8463649549625767E-2</v>
      </c>
    </row>
    <row r="3377" spans="13:16" x14ac:dyDescent="0.25">
      <c r="M3377">
        <v>8.1833458740971992</v>
      </c>
      <c r="N3377">
        <v>8.1829743943647504</v>
      </c>
      <c r="O3377" s="1">
        <v>4.1335996216718399E-7</v>
      </c>
      <c r="P3377" s="2">
        <f t="shared" si="108"/>
        <v>0.33384266559517733</v>
      </c>
    </row>
    <row r="3378" spans="13:16" x14ac:dyDescent="0.25">
      <c r="M3378">
        <v>3.3360014271436498</v>
      </c>
      <c r="N3378">
        <v>3.3360945024090798</v>
      </c>
      <c r="O3378" s="1">
        <v>6.11531141458378E-8</v>
      </c>
      <c r="P3378" s="2">
        <f t="shared" si="108"/>
        <v>0.14166089750077443</v>
      </c>
    </row>
    <row r="3379" spans="13:16" x14ac:dyDescent="0.25">
      <c r="M3379">
        <v>3.8959222138867</v>
      </c>
      <c r="N3379">
        <v>3.89548230790614</v>
      </c>
      <c r="O3379" s="1">
        <v>9.0551128849889304E-8</v>
      </c>
      <c r="P3379" s="2">
        <f t="shared" si="108"/>
        <v>2.1371050166944245</v>
      </c>
    </row>
    <row r="3380" spans="13:16" x14ac:dyDescent="0.25">
      <c r="M3380">
        <v>8.1831636718202994</v>
      </c>
      <c r="N3380">
        <v>8.1836856922504406</v>
      </c>
      <c r="O3380" s="1">
        <v>1.4688244592394701E-7</v>
      </c>
      <c r="P3380" s="2">
        <f t="shared" si="108"/>
        <v>1.8552613811045364</v>
      </c>
    </row>
    <row r="3381" spans="13:16" x14ac:dyDescent="0.25">
      <c r="M3381">
        <v>3.3357754803714998</v>
      </c>
      <c r="N3381">
        <v>3.33628553386793</v>
      </c>
      <c r="O3381" s="1">
        <v>2.76387075513335E-8</v>
      </c>
      <c r="P3381" s="2">
        <f t="shared" si="108"/>
        <v>9.4126893863423433</v>
      </c>
    </row>
    <row r="3382" spans="13:16" x14ac:dyDescent="0.25">
      <c r="M3382">
        <v>3.8954178637282499</v>
      </c>
      <c r="N3382">
        <v>3.8956050574619199</v>
      </c>
      <c r="O3382" s="1">
        <v>2.8889196996054899E-8</v>
      </c>
      <c r="P3382" s="2">
        <f t="shared" si="108"/>
        <v>1.2129618531825197</v>
      </c>
    </row>
    <row r="3383" spans="13:16" x14ac:dyDescent="0.25">
      <c r="M3383">
        <v>8.1856666288333493</v>
      </c>
      <c r="N3383">
        <v>8.1842376896354807</v>
      </c>
      <c r="O3383" s="1">
        <v>2.9986524193496301E-7</v>
      </c>
      <c r="P3383" s="2">
        <f t="shared" si="108"/>
        <v>6.8092827899278019</v>
      </c>
    </row>
    <row r="3384" spans="13:16" x14ac:dyDescent="0.25">
      <c r="M3384">
        <v>3.3367604007085498</v>
      </c>
      <c r="N3384">
        <v>3.3364337784931699</v>
      </c>
      <c r="O3384" s="1">
        <v>4.4499821718507603E-8</v>
      </c>
      <c r="P3384" s="2">
        <f t="shared" si="108"/>
        <v>2.3973595277422675</v>
      </c>
    </row>
    <row r="3385" spans="13:16" x14ac:dyDescent="0.25">
      <c r="M3385">
        <v>3.8965466928237</v>
      </c>
      <c r="N3385">
        <v>3.8957003116463298</v>
      </c>
      <c r="O3385" s="1">
        <v>6.7325675864068198E-8</v>
      </c>
      <c r="P3385" s="2">
        <f t="shared" si="108"/>
        <v>10.640236257753649</v>
      </c>
    </row>
    <row r="3386" spans="13:16" x14ac:dyDescent="0.25">
      <c r="M3386">
        <v>8.1849878649990995</v>
      </c>
      <c r="N3386">
        <v>8.1850507099763199</v>
      </c>
      <c r="O3386" s="1">
        <v>2.8425455891076898E-7</v>
      </c>
      <c r="P3386" s="2">
        <f t="shared" si="108"/>
        <v>1.38942051693713E-2</v>
      </c>
    </row>
    <row r="3387" spans="13:16" x14ac:dyDescent="0.25">
      <c r="M3387">
        <v>3.3363000184882998</v>
      </c>
      <c r="N3387">
        <v>3.3366521173283901</v>
      </c>
      <c r="O3387" s="1">
        <v>4.5987718390655497E-8</v>
      </c>
      <c r="P3387" s="2">
        <f t="shared" si="108"/>
        <v>2.6957978680256738</v>
      </c>
    </row>
    <row r="3388" spans="13:16" x14ac:dyDescent="0.25">
      <c r="M3388">
        <v>3.8957099081675999</v>
      </c>
      <c r="N3388">
        <v>3.8958406012105899</v>
      </c>
      <c r="O3388" s="1">
        <v>5.8022701698717601E-8</v>
      </c>
      <c r="P3388" s="2">
        <f t="shared" si="108"/>
        <v>0.29437911344934947</v>
      </c>
    </row>
    <row r="3389" spans="13:16" x14ac:dyDescent="0.25">
      <c r="M3389">
        <v>8.1845279865167999</v>
      </c>
      <c r="N3389">
        <v>8.1849968307469307</v>
      </c>
      <c r="O3389" s="1">
        <v>1.3691771185095899E-7</v>
      </c>
      <c r="P3389" s="2">
        <f t="shared" si="108"/>
        <v>1.6054527143007347</v>
      </c>
    </row>
    <row r="3390" spans="13:16" x14ac:dyDescent="0.25">
      <c r="M3390">
        <v>3.3361685737318001</v>
      </c>
      <c r="N3390">
        <v>3.33663764814301</v>
      </c>
      <c r="O3390" s="1">
        <v>2.70968807430801E-8</v>
      </c>
      <c r="P3390" s="2">
        <f t="shared" si="108"/>
        <v>8.1201524757833017</v>
      </c>
    </row>
    <row r="3391" spans="13:16" x14ac:dyDescent="0.25">
      <c r="M3391">
        <v>3.8956775395794998</v>
      </c>
      <c r="N3391">
        <v>3.8958313044319302</v>
      </c>
      <c r="O3391" s="1">
        <v>2.9995085337875099E-8</v>
      </c>
      <c r="P3391" s="2">
        <f t="shared" si="108"/>
        <v>0.78825012753246004</v>
      </c>
    </row>
    <row r="3392" spans="13:16" x14ac:dyDescent="0.25">
      <c r="M3392">
        <v>8.1857453661920001</v>
      </c>
      <c r="N3392">
        <v>8.1859715278977792</v>
      </c>
      <c r="O3392" s="1">
        <v>3.8611375902970501E-7</v>
      </c>
      <c r="P3392" s="2">
        <f t="shared" si="108"/>
        <v>0.13247162517447086</v>
      </c>
    </row>
    <row r="3393" spans="13:16" x14ac:dyDescent="0.25">
      <c r="M3393">
        <v>3.3365294859630001</v>
      </c>
      <c r="N3393">
        <v>3.3368993965614302</v>
      </c>
      <c r="O3393" s="1">
        <v>7.0724082267800397E-8</v>
      </c>
      <c r="P3393" s="2">
        <f t="shared" si="108"/>
        <v>1.9347561176227657</v>
      </c>
    </row>
    <row r="3394" spans="13:16" x14ac:dyDescent="0.25">
      <c r="M3394">
        <v>3.8959008775889501</v>
      </c>
      <c r="N3394">
        <v>3.89599948090481</v>
      </c>
      <c r="O3394" s="1">
        <v>1.05741851837409E-7</v>
      </c>
      <c r="P3394" s="2">
        <f t="shared" si="108"/>
        <v>9.1946695935595499E-2</v>
      </c>
    </row>
    <row r="3395" spans="13:16" x14ac:dyDescent="0.25">
      <c r="M3395">
        <v>8.1858288521643505</v>
      </c>
      <c r="N3395">
        <v>8.1855592068845198</v>
      </c>
      <c r="O3395" s="1">
        <v>3.7970619341520598E-7</v>
      </c>
      <c r="P3395" s="2">
        <f t="shared" ref="P3395:P3458" si="109">(M3395-N3395)^2/O3395</f>
        <v>0.19148641290530571</v>
      </c>
    </row>
    <row r="3396" spans="13:16" x14ac:dyDescent="0.25">
      <c r="M3396">
        <v>3.3365328072845002</v>
      </c>
      <c r="N3396">
        <v>3.3367886718015098</v>
      </c>
      <c r="O3396" s="1">
        <v>8.08183137285193E-8</v>
      </c>
      <c r="P3396" s="2">
        <f t="shared" si="109"/>
        <v>0.81004722870727797</v>
      </c>
    </row>
    <row r="3397" spans="13:16" x14ac:dyDescent="0.25">
      <c r="M3397">
        <v>3.8962286236132999</v>
      </c>
      <c r="N3397">
        <v>3.8959283396532598</v>
      </c>
      <c r="O3397" s="1">
        <v>1.2024016913154501E-7</v>
      </c>
      <c r="P3397" s="2">
        <f t="shared" si="109"/>
        <v>0.74991957603390724</v>
      </c>
    </row>
    <row r="3398" spans="13:16" x14ac:dyDescent="0.25">
      <c r="M3398">
        <v>8.1872354212937992</v>
      </c>
      <c r="N3398">
        <v>8.1865095300825299</v>
      </c>
      <c r="O3398" s="1">
        <v>3.6899988196597202E-7</v>
      </c>
      <c r="P3398" s="2">
        <f t="shared" si="109"/>
        <v>1.427962653512779</v>
      </c>
    </row>
    <row r="3399" spans="13:16" x14ac:dyDescent="0.25">
      <c r="M3399">
        <v>3.3371326173645999</v>
      </c>
      <c r="N3399">
        <v>3.3370438689044</v>
      </c>
      <c r="O3399" s="1">
        <v>6.2271786043630596E-8</v>
      </c>
      <c r="P3399" s="2">
        <f t="shared" si="109"/>
        <v>0.12648246803674007</v>
      </c>
    </row>
    <row r="3400" spans="13:16" x14ac:dyDescent="0.25">
      <c r="M3400">
        <v>3.8965705070935499</v>
      </c>
      <c r="N3400">
        <v>3.8960923035631199</v>
      </c>
      <c r="O3400" s="1">
        <v>5.77956826297293E-8</v>
      </c>
      <c r="P3400" s="2">
        <f t="shared" si="109"/>
        <v>3.9566729920087234</v>
      </c>
    </row>
    <row r="3401" spans="13:16" x14ac:dyDescent="0.25">
      <c r="M3401">
        <v>8.1864471371393499</v>
      </c>
      <c r="N3401">
        <v>8.1871107245824</v>
      </c>
      <c r="O3401" s="1">
        <v>1.5926935790350701E-7</v>
      </c>
      <c r="P3401" s="2">
        <f t="shared" si="109"/>
        <v>2.7648023472318104</v>
      </c>
    </row>
    <row r="3402" spans="13:16" x14ac:dyDescent="0.25">
      <c r="M3402">
        <v>3.3365205889262501</v>
      </c>
      <c r="N3402">
        <v>3.3372053067541598</v>
      </c>
      <c r="O3402" s="1">
        <v>2.58009515715932E-8</v>
      </c>
      <c r="P3402" s="2">
        <f t="shared" si="109"/>
        <v>18.171364825689203</v>
      </c>
    </row>
    <row r="3403" spans="13:16" x14ac:dyDescent="0.25">
      <c r="M3403">
        <v>3.8957350976923002</v>
      </c>
      <c r="N3403">
        <v>3.89619602432506</v>
      </c>
      <c r="O3403" s="1">
        <v>5.9336493579817899E-8</v>
      </c>
      <c r="P3403" s="2">
        <f t="shared" si="109"/>
        <v>3.5804839141946512</v>
      </c>
    </row>
    <row r="3404" spans="13:16" x14ac:dyDescent="0.25">
      <c r="M3404">
        <v>8.1886404728278492</v>
      </c>
      <c r="N3404">
        <v>8.18643742140857</v>
      </c>
      <c r="O3404" s="1">
        <v>6.5659335512988798E-7</v>
      </c>
      <c r="P3404" s="2">
        <f t="shared" si="109"/>
        <v>7.391843852924973</v>
      </c>
    </row>
    <row r="3405" spans="13:16" x14ac:dyDescent="0.25">
      <c r="M3405">
        <v>3.3376818943622499</v>
      </c>
      <c r="N3405">
        <v>3.33702450539954</v>
      </c>
      <c r="O3405" s="1">
        <v>1.1145943699468E-7</v>
      </c>
      <c r="P3405" s="2">
        <f t="shared" si="109"/>
        <v>3.8772871992300564</v>
      </c>
    </row>
    <row r="3406" spans="13:16" x14ac:dyDescent="0.25">
      <c r="M3406">
        <v>3.8973955930411002</v>
      </c>
      <c r="N3406">
        <v>3.8960798627263</v>
      </c>
      <c r="O3406" s="1">
        <v>1.69637382111796E-7</v>
      </c>
      <c r="P3406" s="2">
        <f t="shared" si="109"/>
        <v>10.20498099966677</v>
      </c>
    </row>
    <row r="3407" spans="13:16" x14ac:dyDescent="0.25">
      <c r="M3407">
        <v>8.1898720256677002</v>
      </c>
      <c r="N3407">
        <v>8.1892439093590301</v>
      </c>
      <c r="O3407" s="1">
        <v>3.2164841320307899E-7</v>
      </c>
      <c r="P3407" s="2">
        <f t="shared" si="109"/>
        <v>1.2265880415466555</v>
      </c>
    </row>
    <row r="3408" spans="13:16" x14ac:dyDescent="0.25">
      <c r="M3408">
        <v>3.33767646159765</v>
      </c>
      <c r="N3408">
        <v>3.3377780949977298</v>
      </c>
      <c r="O3408" s="1">
        <v>5.24087999562481E-8</v>
      </c>
      <c r="P3408" s="2">
        <f t="shared" si="109"/>
        <v>0.19709186282482316</v>
      </c>
    </row>
    <row r="3409" spans="13:16" x14ac:dyDescent="0.25">
      <c r="M3409">
        <v>3.8969986762625002</v>
      </c>
      <c r="N3409">
        <v>3.8965640117229099</v>
      </c>
      <c r="O3409" s="1">
        <v>5.9340255024597002E-8</v>
      </c>
      <c r="P3409" s="2">
        <f t="shared" si="109"/>
        <v>3.1838970341284312</v>
      </c>
    </row>
    <row r="3410" spans="13:16" x14ac:dyDescent="0.25">
      <c r="M3410">
        <v>8.1879815395324496</v>
      </c>
      <c r="N3410">
        <v>8.1894149367394906</v>
      </c>
      <c r="O3410" s="1">
        <v>2.8609842723653799E-7</v>
      </c>
      <c r="P3410" s="2">
        <f t="shared" si="109"/>
        <v>7.1815408878650944</v>
      </c>
    </row>
    <row r="3411" spans="13:16" x14ac:dyDescent="0.25">
      <c r="M3411">
        <v>3.3367281680756502</v>
      </c>
      <c r="N3411">
        <v>3.3378240159000501</v>
      </c>
      <c r="O3411" s="1">
        <v>7.0796129846459306E-8</v>
      </c>
      <c r="P3411" s="2">
        <f t="shared" si="109"/>
        <v>16.962543812018506</v>
      </c>
    </row>
    <row r="3412" spans="13:16" x14ac:dyDescent="0.25">
      <c r="M3412">
        <v>3.8958472582249501</v>
      </c>
      <c r="N3412">
        <v>3.8965935123441202</v>
      </c>
      <c r="O3412" s="1">
        <v>9.4973704391889599E-8</v>
      </c>
      <c r="P3412" s="2">
        <f t="shared" si="109"/>
        <v>5.8636778879380591</v>
      </c>
    </row>
    <row r="3413" spans="13:16" x14ac:dyDescent="0.25">
      <c r="M3413">
        <v>8.1874244162341991</v>
      </c>
      <c r="N3413">
        <v>8.1894485427730803</v>
      </c>
      <c r="O3413" s="1">
        <v>6.0961610047523304E-7</v>
      </c>
      <c r="P3413" s="2">
        <f t="shared" si="109"/>
        <v>6.7207677786219255</v>
      </c>
    </row>
    <row r="3414" spans="13:16" x14ac:dyDescent="0.25">
      <c r="M3414">
        <v>3.3365711116227001</v>
      </c>
      <c r="N3414">
        <v>3.3378330390915498</v>
      </c>
      <c r="O3414" s="1">
        <v>1.5049970926414001E-7</v>
      </c>
      <c r="P3414" s="2">
        <f t="shared" si="109"/>
        <v>10.581156232285117</v>
      </c>
    </row>
    <row r="3415" spans="13:16" x14ac:dyDescent="0.25">
      <c r="M3415">
        <v>3.8956341084544999</v>
      </c>
      <c r="N3415">
        <v>3.8965993090239799</v>
      </c>
      <c r="O3415" s="1">
        <v>1.5849605288374301E-7</v>
      </c>
      <c r="P3415" s="2">
        <f t="shared" si="109"/>
        <v>5.8778254876030864</v>
      </c>
    </row>
    <row r="3416" spans="13:16" x14ac:dyDescent="0.25">
      <c r="M3416">
        <v>8.1919443381472004</v>
      </c>
      <c r="N3416">
        <v>8.1911127524345595</v>
      </c>
      <c r="O3416" s="1">
        <v>4.0158360261904198E-7</v>
      </c>
      <c r="P3416" s="2">
        <f t="shared" si="109"/>
        <v>1.7220195071670348</v>
      </c>
    </row>
    <row r="3417" spans="13:16" x14ac:dyDescent="0.25">
      <c r="M3417">
        <v>3.3383074110164999</v>
      </c>
      <c r="N3417">
        <v>3.3382798621696099</v>
      </c>
      <c r="O3417" s="1">
        <v>9.72206220889401E-8</v>
      </c>
      <c r="P3417" s="2">
        <f t="shared" si="109"/>
        <v>7.8063578349746223E-3</v>
      </c>
    </row>
    <row r="3418" spans="13:16" x14ac:dyDescent="0.25">
      <c r="M3418">
        <v>3.8975328793473998</v>
      </c>
      <c r="N3418">
        <v>3.8968863483496698</v>
      </c>
      <c r="O3418" s="1">
        <v>8.0967702560582596E-8</v>
      </c>
      <c r="P3418" s="2">
        <f t="shared" si="109"/>
        <v>5.1625811009383611</v>
      </c>
    </row>
    <row r="3419" spans="13:16" x14ac:dyDescent="0.25">
      <c r="M3419">
        <v>8.1898918662342997</v>
      </c>
      <c r="N3419">
        <v>8.1906133490752406</v>
      </c>
      <c r="O3419" s="1">
        <v>4.2147167544268897E-7</v>
      </c>
      <c r="P3419" s="2">
        <f t="shared" si="109"/>
        <v>1.2350473830193316</v>
      </c>
    </row>
    <row r="3420" spans="13:16" x14ac:dyDescent="0.25">
      <c r="M3420">
        <v>3.3372953655458502</v>
      </c>
      <c r="N3420">
        <v>3.33814578078736</v>
      </c>
      <c r="O3420" s="1">
        <v>7.9552747988997806E-8</v>
      </c>
      <c r="P3420" s="2">
        <f t="shared" si="109"/>
        <v>9.0909000791813614</v>
      </c>
    </row>
    <row r="3421" spans="13:16" x14ac:dyDescent="0.25">
      <c r="M3421">
        <v>3.8966262555111002</v>
      </c>
      <c r="N3421">
        <v>3.8968002162300901</v>
      </c>
      <c r="O3421" s="1">
        <v>8.6342728332146606E-8</v>
      </c>
      <c r="P3421" s="2">
        <f t="shared" si="109"/>
        <v>0.35049079796352162</v>
      </c>
    </row>
    <row r="3422" spans="13:16" x14ac:dyDescent="0.25">
      <c r="M3422">
        <v>0.78018081834053998</v>
      </c>
      <c r="N3422">
        <v>0.78015693754629201</v>
      </c>
      <c r="O3422" s="1">
        <v>8.6566708675227295E-10</v>
      </c>
      <c r="P3422" s="2">
        <f t="shared" si="109"/>
        <v>0.6587894383899614</v>
      </c>
    </row>
    <row r="3423" spans="13:16" x14ac:dyDescent="0.25">
      <c r="M3423">
        <v>0.99523872860600304</v>
      </c>
      <c r="N3423">
        <v>0.99520143481786405</v>
      </c>
      <c r="O3423" s="1">
        <v>1.5104506676938599E-9</v>
      </c>
      <c r="P3423" s="2">
        <f t="shared" si="109"/>
        <v>0.92080242241843158</v>
      </c>
    </row>
    <row r="3424" spans="13:16" x14ac:dyDescent="0.25">
      <c r="M3424">
        <v>0.78022029113009495</v>
      </c>
      <c r="N3424">
        <v>0.780189217020545</v>
      </c>
      <c r="O3424" s="1">
        <v>1.1288968229194401E-9</v>
      </c>
      <c r="P3424" s="2">
        <f t="shared" si="109"/>
        <v>0.85534857102778694</v>
      </c>
    </row>
    <row r="3425" spans="13:16" x14ac:dyDescent="0.25">
      <c r="M3425">
        <v>0.99520518200189401</v>
      </c>
      <c r="N3425">
        <v>0.99517369455571303</v>
      </c>
      <c r="O3425" s="1">
        <v>1.11153370953113E-9</v>
      </c>
      <c r="P3425" s="2">
        <f t="shared" si="109"/>
        <v>0.89197408814366141</v>
      </c>
    </row>
    <row r="3426" spans="13:16" x14ac:dyDescent="0.25">
      <c r="M3426">
        <v>0.78020107439445696</v>
      </c>
      <c r="N3426">
        <v>0.78018493140330503</v>
      </c>
      <c r="O3426" s="1">
        <v>7.0009406590728501E-10</v>
      </c>
      <c r="P3426" s="2">
        <f t="shared" si="109"/>
        <v>0.37223021308391624</v>
      </c>
    </row>
    <row r="3427" spans="13:16" x14ac:dyDescent="0.25">
      <c r="M3427">
        <v>0.99520333319744603</v>
      </c>
      <c r="N3427">
        <v>0.99517737740925005</v>
      </c>
      <c r="O3427" s="1">
        <v>1.3522527982676199E-9</v>
      </c>
      <c r="P3427" s="2">
        <f t="shared" si="109"/>
        <v>0.49820783638783694</v>
      </c>
    </row>
    <row r="3428" spans="13:16" x14ac:dyDescent="0.25">
      <c r="M3428">
        <v>0.78016170615408098</v>
      </c>
      <c r="N3428">
        <v>0.78015502917412305</v>
      </c>
      <c r="O3428" s="1">
        <v>1.49407247671788E-9</v>
      </c>
      <c r="P3428" s="2">
        <f t="shared" si="109"/>
        <v>2.9839289628407699E-2</v>
      </c>
    </row>
    <row r="3429" spans="13:16" x14ac:dyDescent="0.25">
      <c r="M3429">
        <v>0.99521105276462796</v>
      </c>
      <c r="N3429">
        <v>0.9952030748906</v>
      </c>
      <c r="O3429" s="1">
        <v>1.8026892653531499E-9</v>
      </c>
      <c r="P3429" s="2">
        <f t="shared" si="109"/>
        <v>3.5306403177269741E-2</v>
      </c>
    </row>
    <row r="3430" spans="13:16" x14ac:dyDescent="0.25">
      <c r="M3430">
        <v>0.78020405890726496</v>
      </c>
      <c r="N3430">
        <v>0.78019513367280502</v>
      </c>
      <c r="O3430" s="1">
        <v>1.1525640853906401E-9</v>
      </c>
      <c r="P3430" s="2">
        <f t="shared" si="109"/>
        <v>6.9115297947168072E-2</v>
      </c>
    </row>
    <row r="3431" spans="13:16" x14ac:dyDescent="0.25">
      <c r="M3431">
        <v>0.99518029513670203</v>
      </c>
      <c r="N3431">
        <v>0.99516861012468705</v>
      </c>
      <c r="O3431" s="1">
        <v>1.6610906868285999E-9</v>
      </c>
      <c r="P3431" s="2">
        <f t="shared" si="109"/>
        <v>8.2198706472189395E-2</v>
      </c>
    </row>
    <row r="3432" spans="13:16" x14ac:dyDescent="0.25">
      <c r="M3432">
        <v>0.78015131261412196</v>
      </c>
      <c r="N3432">
        <v>0.78015274522317501</v>
      </c>
      <c r="O3432" s="1">
        <v>9.481871394902641E-10</v>
      </c>
      <c r="P3432" s="2">
        <f t="shared" si="109"/>
        <v>2.1645185991391925E-3</v>
      </c>
    </row>
    <row r="3433" spans="13:16" x14ac:dyDescent="0.25">
      <c r="M3433">
        <v>0.99520286894887</v>
      </c>
      <c r="N3433">
        <v>0.99520503774804803</v>
      </c>
      <c r="O3433" s="1">
        <v>1.5967920361382E-9</v>
      </c>
      <c r="P3433" s="2">
        <f t="shared" si="109"/>
        <v>2.9457122581739875E-3</v>
      </c>
    </row>
    <row r="3434" spans="13:16" x14ac:dyDescent="0.25">
      <c r="M3434">
        <v>0.78014873512701699</v>
      </c>
      <c r="N3434">
        <v>0.78015588958816395</v>
      </c>
      <c r="O3434" s="1">
        <v>7.1848892639436899E-10</v>
      </c>
      <c r="P3434" s="2">
        <f t="shared" si="109"/>
        <v>7.124161893527918E-2</v>
      </c>
    </row>
    <row r="3435" spans="13:16" x14ac:dyDescent="0.25">
      <c r="M3435">
        <v>0.99518993744611195</v>
      </c>
      <c r="N3435">
        <v>0.99520233544196401</v>
      </c>
      <c r="O3435" s="1">
        <v>1.55549905523139E-9</v>
      </c>
      <c r="P3435" s="2">
        <f t="shared" si="109"/>
        <v>9.8817354231662144E-2</v>
      </c>
    </row>
    <row r="3436" spans="13:16" x14ac:dyDescent="0.25">
      <c r="M3436">
        <v>0.78014351513012703</v>
      </c>
      <c r="N3436">
        <v>0.78012205215313202</v>
      </c>
      <c r="O3436" s="1">
        <v>7.7778791464650196E-10</v>
      </c>
      <c r="P3436" s="2">
        <f t="shared" si="109"/>
        <v>0.59226862852170092</v>
      </c>
    </row>
    <row r="3437" spans="13:16" x14ac:dyDescent="0.25">
      <c r="M3437">
        <v>0.99525878552692104</v>
      </c>
      <c r="N3437">
        <v>0.99523141670875703</v>
      </c>
      <c r="O3437" s="1">
        <v>1.00712344384485E-9</v>
      </c>
      <c r="P3437" s="2">
        <f t="shared" si="109"/>
        <v>0.7437541170076869</v>
      </c>
    </row>
    <row r="3438" spans="13:16" x14ac:dyDescent="0.25">
      <c r="M3438">
        <v>0.78010401572760402</v>
      </c>
      <c r="N3438">
        <v>0.78014670466144198</v>
      </c>
      <c r="O3438" s="1">
        <v>1.0595973297728099E-9</v>
      </c>
      <c r="P3438" s="2">
        <f t="shared" si="109"/>
        <v>1.7198467955868006</v>
      </c>
    </row>
    <row r="3439" spans="13:16" x14ac:dyDescent="0.25">
      <c r="M3439">
        <v>0.99515752157616</v>
      </c>
      <c r="N3439">
        <v>0.99521022913250801</v>
      </c>
      <c r="O3439" s="1">
        <v>1.45186240681589E-9</v>
      </c>
      <c r="P3439" s="2">
        <f t="shared" si="109"/>
        <v>1.9134640329114652</v>
      </c>
    </row>
    <row r="3440" spans="13:16" x14ac:dyDescent="0.25">
      <c r="M3440">
        <v>0.78017756502943802</v>
      </c>
      <c r="N3440">
        <v>0.78015051856504603</v>
      </c>
      <c r="O3440" s="1">
        <v>8.1132795030046901E-10</v>
      </c>
      <c r="P3440" s="2">
        <f t="shared" si="109"/>
        <v>0.90162213176164752</v>
      </c>
    </row>
    <row r="3441" spans="13:16" x14ac:dyDescent="0.25">
      <c r="M3441">
        <v>0.995240485966567</v>
      </c>
      <c r="N3441">
        <v>0.99520695137655302</v>
      </c>
      <c r="O3441" s="1">
        <v>1.0678154890376301E-9</v>
      </c>
      <c r="P3441" s="2">
        <f t="shared" si="109"/>
        <v>1.0531489184704597</v>
      </c>
    </row>
    <row r="3442" spans="13:16" x14ac:dyDescent="0.25">
      <c r="M3442">
        <v>0.78021625454926402</v>
      </c>
      <c r="N3442">
        <v>0.78015427982187902</v>
      </c>
      <c r="O3442" s="1">
        <v>1.05405284410874E-9</v>
      </c>
      <c r="P3442" s="2">
        <f t="shared" si="109"/>
        <v>3.6439034872994891</v>
      </c>
    </row>
    <row r="3443" spans="13:16" x14ac:dyDescent="0.25">
      <c r="M3443">
        <v>0.99527980198795796</v>
      </c>
      <c r="N3443">
        <v>0.99520371889270198</v>
      </c>
      <c r="O3443" s="1">
        <v>1.3188817457041E-9</v>
      </c>
      <c r="P3443" s="2">
        <f t="shared" si="109"/>
        <v>4.3890495888540304</v>
      </c>
    </row>
    <row r="3444" spans="13:16" x14ac:dyDescent="0.25">
      <c r="M3444">
        <v>0.78014561865961995</v>
      </c>
      <c r="N3444">
        <v>0.78015319232873204</v>
      </c>
      <c r="O3444" s="1">
        <v>7.7571798517270901E-10</v>
      </c>
      <c r="P3444" s="2">
        <f t="shared" si="109"/>
        <v>7.3944996655626358E-2</v>
      </c>
    </row>
    <row r="3445" spans="13:16" x14ac:dyDescent="0.25">
      <c r="M3445">
        <v>0.99519562565361497</v>
      </c>
      <c r="N3445">
        <v>0.99520465349890097</v>
      </c>
      <c r="O3445" s="1">
        <v>9.4952304633271397E-10</v>
      </c>
      <c r="P3445" s="2">
        <f t="shared" si="109"/>
        <v>8.5834662805479481E-2</v>
      </c>
    </row>
    <row r="3446" spans="13:16" x14ac:dyDescent="0.25">
      <c r="M3446">
        <v>0.78017541374088595</v>
      </c>
      <c r="N3446">
        <v>0.78016157972261901</v>
      </c>
      <c r="O3446" s="1">
        <v>1.0428490047137701E-9</v>
      </c>
      <c r="P3446" s="2">
        <f t="shared" si="109"/>
        <v>0.18351655948733236</v>
      </c>
    </row>
    <row r="3447" spans="13:16" x14ac:dyDescent="0.25">
      <c r="M3447">
        <v>0.99521408500666397</v>
      </c>
      <c r="N3447">
        <v>0.99519744531652099</v>
      </c>
      <c r="O3447" s="1">
        <v>1.41070881311941E-9</v>
      </c>
      <c r="P3447" s="2">
        <f t="shared" si="109"/>
        <v>0.19626962380865073</v>
      </c>
    </row>
    <row r="3448" spans="13:16" x14ac:dyDescent="0.25">
      <c r="M3448">
        <v>0.78018058144038005</v>
      </c>
      <c r="N3448">
        <v>0.78018675245456504</v>
      </c>
      <c r="O3448" s="1">
        <v>5.6789047667420502E-10</v>
      </c>
      <c r="P3448" s="2">
        <f t="shared" si="109"/>
        <v>6.7057676850500791E-2</v>
      </c>
    </row>
    <row r="3449" spans="13:16" x14ac:dyDescent="0.25">
      <c r="M3449">
        <v>0.99516564466814705</v>
      </c>
      <c r="N3449">
        <v>0.99517581248116005</v>
      </c>
      <c r="O3449" s="1">
        <v>1.2435772685294199E-9</v>
      </c>
      <c r="P3449" s="2">
        <f t="shared" si="109"/>
        <v>8.3134698650048106E-2</v>
      </c>
    </row>
    <row r="3450" spans="13:16" x14ac:dyDescent="0.25">
      <c r="M3450">
        <v>7.1734811614101002</v>
      </c>
      <c r="N3450">
        <v>7.17325992148628</v>
      </c>
      <c r="O3450" s="1">
        <v>3.0025363456049002E-6</v>
      </c>
      <c r="P3450" s="2">
        <f t="shared" si="109"/>
        <v>1.6301918863897757E-2</v>
      </c>
    </row>
    <row r="3451" spans="13:16" x14ac:dyDescent="0.25">
      <c r="M3451">
        <v>2.9241253674520999</v>
      </c>
      <c r="N3451">
        <v>2.9240655246474199</v>
      </c>
      <c r="O3451" s="1">
        <v>5.5669305107487495E-7</v>
      </c>
      <c r="P3451" s="2">
        <f t="shared" si="109"/>
        <v>6.4329189399135811E-3</v>
      </c>
    </row>
    <row r="3452" spans="13:16" x14ac:dyDescent="0.25">
      <c r="M3452">
        <v>3.4145663361549001</v>
      </c>
      <c r="N3452">
        <v>3.4144294696178901</v>
      </c>
      <c r="O3452" s="1">
        <v>7.1984288783798601E-7</v>
      </c>
      <c r="P3452" s="2">
        <f t="shared" si="109"/>
        <v>2.6022968719449827E-2</v>
      </c>
    </row>
    <row r="3453" spans="13:16" x14ac:dyDescent="0.25">
      <c r="M3453">
        <v>7.1778498367176002</v>
      </c>
      <c r="N3453">
        <v>7.1755763033731004</v>
      </c>
      <c r="O3453" s="1">
        <v>2.4859725199854402E-6</v>
      </c>
      <c r="P3453" s="2">
        <f t="shared" si="109"/>
        <v>2.0792481924068196</v>
      </c>
    </row>
    <row r="3454" spans="13:16" x14ac:dyDescent="0.25">
      <c r="M3454">
        <v>2.9259163718608998</v>
      </c>
      <c r="N3454">
        <v>2.9247852215115802</v>
      </c>
      <c r="O3454" s="1">
        <v>5.6971411797743895E-7</v>
      </c>
      <c r="P3454" s="2">
        <f t="shared" si="109"/>
        <v>2.2458652021971561</v>
      </c>
    </row>
    <row r="3455" spans="13:16" x14ac:dyDescent="0.25">
      <c r="M3455">
        <v>3.4163495614596</v>
      </c>
      <c r="N3455">
        <v>3.4149180247947202</v>
      </c>
      <c r="O3455" s="1">
        <v>7.2029298286080598E-7</v>
      </c>
      <c r="P3455" s="2">
        <f t="shared" si="109"/>
        <v>2.8450884177102731</v>
      </c>
    </row>
    <row r="3456" spans="13:16" x14ac:dyDescent="0.25">
      <c r="M3456">
        <v>7.1760038470456999</v>
      </c>
      <c r="N3456">
        <v>7.1762420474612796</v>
      </c>
      <c r="O3456" s="1">
        <v>3.00968168555666E-6</v>
      </c>
      <c r="P3456" s="2">
        <f t="shared" si="109"/>
        <v>1.8852305296805063E-2</v>
      </c>
    </row>
    <row r="3457" spans="13:16" x14ac:dyDescent="0.25">
      <c r="M3457">
        <v>2.9250016826063998</v>
      </c>
      <c r="N3457">
        <v>2.9249920571205599</v>
      </c>
      <c r="O3457" s="1">
        <v>5.8861480382925699E-7</v>
      </c>
      <c r="P3457" s="2">
        <f t="shared" si="109"/>
        <v>1.5740341060416503E-4</v>
      </c>
    </row>
    <row r="3458" spans="13:16" x14ac:dyDescent="0.25">
      <c r="M3458">
        <v>3.4150929102188501</v>
      </c>
      <c r="N3458">
        <v>3.4150584226648801</v>
      </c>
      <c r="O3458" s="1">
        <v>6.8390654667385595E-7</v>
      </c>
      <c r="P3458" s="2">
        <f t="shared" si="109"/>
        <v>1.7391138959189105E-3</v>
      </c>
    </row>
    <row r="3459" spans="13:16" x14ac:dyDescent="0.25">
      <c r="M3459">
        <v>7.1799070992554501</v>
      </c>
      <c r="N3459">
        <v>7.1783126511324999</v>
      </c>
      <c r="O3459" s="1">
        <v>1.1613830446888799E-6</v>
      </c>
      <c r="P3459" s="2">
        <f t="shared" ref="P3459:P3522" si="110">(M3459-N3459)^2/O3459</f>
        <v>2.18899770270056</v>
      </c>
    </row>
    <row r="3460" spans="13:16" x14ac:dyDescent="0.25">
      <c r="M3460">
        <v>2.9265253781145</v>
      </c>
      <c r="N3460">
        <v>2.9256353300631601</v>
      </c>
      <c r="O3460" s="1">
        <v>1.8571695839175901E-7</v>
      </c>
      <c r="P3460" s="2">
        <f t="shared" si="110"/>
        <v>4.2655530251728626</v>
      </c>
    </row>
    <row r="3461" spans="13:16" x14ac:dyDescent="0.25">
      <c r="M3461">
        <v>3.4167029294339</v>
      </c>
      <c r="N3461">
        <v>3.4154950431182698</v>
      </c>
      <c r="O3461" s="1">
        <v>3.7218191752785998E-7</v>
      </c>
      <c r="P3461" s="2">
        <f t="shared" si="110"/>
        <v>3.9200973577052869</v>
      </c>
    </row>
    <row r="3462" spans="13:16" x14ac:dyDescent="0.25">
      <c r="M3462">
        <v>7.1753647466417503</v>
      </c>
      <c r="N3462">
        <v>7.1736888615311099</v>
      </c>
      <c r="O3462" s="1">
        <v>3.70416165531605E-6</v>
      </c>
      <c r="P3462" s="2">
        <f t="shared" si="110"/>
        <v>0.75822579180244953</v>
      </c>
    </row>
    <row r="3463" spans="13:16" x14ac:dyDescent="0.25">
      <c r="M3463">
        <v>2.92429015832725</v>
      </c>
      <c r="N3463">
        <v>2.9241987999344299</v>
      </c>
      <c r="O3463" s="1">
        <v>4.6298279650567201E-7</v>
      </c>
      <c r="P3463" s="2">
        <f t="shared" si="110"/>
        <v>1.802735652744451E-2</v>
      </c>
    </row>
    <row r="3464" spans="13:16" x14ac:dyDescent="0.25">
      <c r="M3464">
        <v>3.4154604950171499</v>
      </c>
      <c r="N3464">
        <v>3.41451994529965</v>
      </c>
      <c r="O3464" s="1">
        <v>6.9950574164909003E-7</v>
      </c>
      <c r="P3464" s="2">
        <f t="shared" si="110"/>
        <v>1.2646554823175882</v>
      </c>
    </row>
    <row r="3465" spans="13:16" x14ac:dyDescent="0.25">
      <c r="M3465">
        <v>7.1716142182637004</v>
      </c>
      <c r="N3465">
        <v>7.1748433183618303</v>
      </c>
      <c r="O3465" s="1">
        <v>2.46172240812963E-6</v>
      </c>
      <c r="P3465" s="2">
        <f t="shared" si="110"/>
        <v>4.2356877482644553</v>
      </c>
    </row>
    <row r="3466" spans="13:16" x14ac:dyDescent="0.25">
      <c r="M3466">
        <v>2.9236304847126</v>
      </c>
      <c r="N3466">
        <v>2.9245574899893501</v>
      </c>
      <c r="O3466" s="1">
        <v>4.2991309898033299E-7</v>
      </c>
      <c r="P3466" s="2">
        <f t="shared" si="110"/>
        <v>1.99886624799433</v>
      </c>
    </row>
    <row r="3467" spans="13:16" x14ac:dyDescent="0.25">
      <c r="M3467">
        <v>3.4131561249386499</v>
      </c>
      <c r="N3467">
        <v>3.4147634381873999</v>
      </c>
      <c r="O3467" s="1">
        <v>5.6609322222344205E-7</v>
      </c>
      <c r="P3467" s="2">
        <f t="shared" si="110"/>
        <v>4.5636580304921068</v>
      </c>
    </row>
    <row r="3468" spans="13:16" x14ac:dyDescent="0.25">
      <c r="M3468">
        <v>7.1737072492507998</v>
      </c>
      <c r="N3468">
        <v>7.1734759522845799</v>
      </c>
      <c r="O3468" s="1">
        <v>8.9738751288979699E-7</v>
      </c>
      <c r="P3468" s="2">
        <f t="shared" si="110"/>
        <v>5.9615590605073369E-2</v>
      </c>
    </row>
    <row r="3469" spans="13:16" x14ac:dyDescent="0.25">
      <c r="M3469">
        <v>2.92433358730805</v>
      </c>
      <c r="N3469">
        <v>2.9241326474739902</v>
      </c>
      <c r="O3469" s="1">
        <v>2.5743699124260098E-7</v>
      </c>
      <c r="P3469" s="2">
        <f t="shared" si="110"/>
        <v>0.15684155069216657</v>
      </c>
    </row>
    <row r="3470" spans="13:16" x14ac:dyDescent="0.25">
      <c r="M3470">
        <v>3.4145917444938001</v>
      </c>
      <c r="N3470">
        <v>3.4144750370474499</v>
      </c>
      <c r="O3470" s="1">
        <v>2.4766428354602302E-7</v>
      </c>
      <c r="P3470" s="2">
        <f t="shared" si="110"/>
        <v>5.4996335517419677E-2</v>
      </c>
    </row>
    <row r="3471" spans="13:16" x14ac:dyDescent="0.25">
      <c r="M3471">
        <v>7.1751458784757496</v>
      </c>
      <c r="N3471">
        <v>7.17626020423008</v>
      </c>
      <c r="O3471" s="1">
        <v>9.3542307011530195E-7</v>
      </c>
      <c r="P3471" s="2">
        <f t="shared" si="110"/>
        <v>1.3274441548796616</v>
      </c>
    </row>
    <row r="3472" spans="13:16" x14ac:dyDescent="0.25">
      <c r="M3472">
        <v>2.9241845346317001</v>
      </c>
      <c r="N3472">
        <v>2.9249976980625498</v>
      </c>
      <c r="O3472" s="1">
        <v>2.1664326840427499E-7</v>
      </c>
      <c r="P3472" s="2">
        <f t="shared" si="110"/>
        <v>3.0521823740090808</v>
      </c>
    </row>
    <row r="3473" spans="13:16" x14ac:dyDescent="0.25">
      <c r="M3473">
        <v>3.4142939961491998</v>
      </c>
      <c r="N3473">
        <v>3.41506225161968</v>
      </c>
      <c r="O3473" s="1">
        <v>3.3828746326076E-7</v>
      </c>
      <c r="P3473" s="2">
        <f t="shared" si="110"/>
        <v>1.7447187141777392</v>
      </c>
    </row>
    <row r="3474" spans="13:16" x14ac:dyDescent="0.25">
      <c r="M3474">
        <v>7.1766962087041</v>
      </c>
      <c r="N3474">
        <v>7.1758224876167001</v>
      </c>
      <c r="O3474" s="1">
        <v>1.85416625545275E-6</v>
      </c>
      <c r="P3474" s="2">
        <f t="shared" si="110"/>
        <v>0.41171525817725829</v>
      </c>
    </row>
    <row r="3475" spans="13:16" x14ac:dyDescent="0.25">
      <c r="M3475">
        <v>2.9251259590751499</v>
      </c>
      <c r="N3475">
        <v>2.9248617073907601</v>
      </c>
      <c r="O3475" s="1">
        <v>3.6894276486599101E-7</v>
      </c>
      <c r="P3475" s="2">
        <f t="shared" si="110"/>
        <v>0.1892677112890894</v>
      </c>
    </row>
    <row r="3476" spans="13:16" x14ac:dyDescent="0.25">
      <c r="M3476">
        <v>3.4155121651214002</v>
      </c>
      <c r="N3476">
        <v>3.4149699431020002</v>
      </c>
      <c r="O3476" s="1">
        <v>4.5553585197985401E-7</v>
      </c>
      <c r="P3476" s="2">
        <f t="shared" si="110"/>
        <v>0.64540412581013729</v>
      </c>
    </row>
    <row r="3477" spans="13:16" x14ac:dyDescent="0.25">
      <c r="M3477">
        <v>7.1741080302867504</v>
      </c>
      <c r="N3477">
        <v>7.1768093132004998</v>
      </c>
      <c r="O3477" s="1">
        <v>1.5406813257222E-6</v>
      </c>
      <c r="P3477" s="2">
        <f t="shared" si="110"/>
        <v>4.7361704580237474</v>
      </c>
    </row>
    <row r="3478" spans="13:16" x14ac:dyDescent="0.25">
      <c r="M3478">
        <v>2.9244642905711999</v>
      </c>
      <c r="N3478">
        <v>2.9251682935454002</v>
      </c>
      <c r="O3478" s="1">
        <v>3.4021226695787199E-7</v>
      </c>
      <c r="P3478" s="2">
        <f t="shared" si="110"/>
        <v>1.4567969347918315</v>
      </c>
    </row>
    <row r="3479" spans="13:16" x14ac:dyDescent="0.25">
      <c r="M3479">
        <v>3.4138118702655</v>
      </c>
      <c r="N3479">
        <v>3.41517804684633</v>
      </c>
      <c r="O3479" s="1">
        <v>3.36135273353476E-7</v>
      </c>
      <c r="P3479" s="2">
        <f t="shared" si="110"/>
        <v>5.5526408501777507</v>
      </c>
    </row>
    <row r="3480" spans="13:16" x14ac:dyDescent="0.25">
      <c r="M3480">
        <v>7.17607535375915</v>
      </c>
      <c r="N3480">
        <v>7.1766558553778896</v>
      </c>
      <c r="O3480" s="1">
        <v>9.5062948547717799E-7</v>
      </c>
      <c r="P3480" s="2">
        <f t="shared" si="110"/>
        <v>0.35448314459785474</v>
      </c>
    </row>
    <row r="3481" spans="13:16" x14ac:dyDescent="0.25">
      <c r="M3481">
        <v>2.92483699956155</v>
      </c>
      <c r="N3481">
        <v>2.92512061805443</v>
      </c>
      <c r="O3481" s="1">
        <v>2.2389741214311399E-7</v>
      </c>
      <c r="P3481" s="2">
        <f t="shared" si="110"/>
        <v>0.35926922394323024</v>
      </c>
    </row>
    <row r="3482" spans="13:16" x14ac:dyDescent="0.25">
      <c r="M3482">
        <v>3.4147761209446998</v>
      </c>
      <c r="N3482">
        <v>3.41514568640142</v>
      </c>
      <c r="O3482" s="1">
        <v>2.3880448288807699E-7</v>
      </c>
      <c r="P3482" s="2">
        <f t="shared" si="110"/>
        <v>0.57192656163328959</v>
      </c>
    </row>
    <row r="3483" spans="13:16" x14ac:dyDescent="0.25">
      <c r="M3483">
        <v>7.1800990645846996</v>
      </c>
      <c r="N3483">
        <v>7.1792914146854896</v>
      </c>
      <c r="O3483" s="1">
        <v>1.0245295744096601E-6</v>
      </c>
      <c r="P3483" s="2">
        <f t="shared" si="110"/>
        <v>0.63668084942280978</v>
      </c>
    </row>
    <row r="3484" spans="13:16" x14ac:dyDescent="0.25">
      <c r="M3484">
        <v>2.9263133937556498</v>
      </c>
      <c r="N3484">
        <v>2.9259393864702301</v>
      </c>
      <c r="O3484" s="1">
        <v>1.9214548670127501E-7</v>
      </c>
      <c r="P3484" s="2">
        <f t="shared" si="110"/>
        <v>0.72799758114788349</v>
      </c>
    </row>
    <row r="3485" spans="13:16" x14ac:dyDescent="0.25">
      <c r="M3485">
        <v>3.4162453593966502</v>
      </c>
      <c r="N3485">
        <v>3.4157014069176102</v>
      </c>
      <c r="O3485" s="1">
        <v>2.7789907758762599E-7</v>
      </c>
      <c r="P3485" s="2">
        <f t="shared" si="110"/>
        <v>1.0647185374716208</v>
      </c>
    </row>
    <row r="3486" spans="13:16" x14ac:dyDescent="0.25">
      <c r="M3486">
        <v>7.1801247321136499</v>
      </c>
      <c r="N3486">
        <v>7.17950851471518</v>
      </c>
      <c r="O3486" s="1">
        <v>1.44173520442624E-6</v>
      </c>
      <c r="P3486" s="2">
        <f t="shared" si="110"/>
        <v>0.26337976697188142</v>
      </c>
    </row>
    <row r="3487" spans="13:16" x14ac:dyDescent="0.25">
      <c r="M3487">
        <v>2.9260841656160999</v>
      </c>
      <c r="N3487">
        <v>2.9260068280372602</v>
      </c>
      <c r="O3487" s="1">
        <v>2.6074418262528699E-7</v>
      </c>
      <c r="P3487" s="2">
        <f t="shared" si="110"/>
        <v>2.2938579264009929E-2</v>
      </c>
    </row>
    <row r="3488" spans="13:16" x14ac:dyDescent="0.25">
      <c r="M3488">
        <v>3.4160800921173999</v>
      </c>
      <c r="N3488">
        <v>3.4157471784514701</v>
      </c>
      <c r="O3488" s="1">
        <v>3.1374001070405001E-7</v>
      </c>
      <c r="P3488" s="2">
        <f t="shared" si="110"/>
        <v>0.35325908453342447</v>
      </c>
    </row>
    <row r="3489" spans="13:16" x14ac:dyDescent="0.25">
      <c r="M3489">
        <v>7.1810546822605996</v>
      </c>
      <c r="N3489">
        <v>7.1820499143912997</v>
      </c>
      <c r="O3489" s="1">
        <v>1.5231694177381299E-6</v>
      </c>
      <c r="P3489" s="2">
        <f t="shared" si="110"/>
        <v>0.65028025276968826</v>
      </c>
    </row>
    <row r="3490" spans="13:16" x14ac:dyDescent="0.25">
      <c r="M3490">
        <v>2.9265263465102498</v>
      </c>
      <c r="N3490">
        <v>2.9267962712672002</v>
      </c>
      <c r="O3490" s="1">
        <v>2.5274864141578002E-7</v>
      </c>
      <c r="P3490" s="2">
        <f t="shared" si="110"/>
        <v>0.28826811494068211</v>
      </c>
    </row>
    <row r="3491" spans="13:16" x14ac:dyDescent="0.25">
      <c r="M3491">
        <v>3.41563020691185</v>
      </c>
      <c r="N3491">
        <v>3.41628292835254</v>
      </c>
      <c r="O3491" s="1">
        <v>3.52086602570353E-7</v>
      </c>
      <c r="P3491" s="2">
        <f t="shared" si="110"/>
        <v>1.2100581959838559</v>
      </c>
    </row>
    <row r="3492" spans="13:16" x14ac:dyDescent="0.25">
      <c r="M3492">
        <v>7.1818972553245501</v>
      </c>
      <c r="N3492">
        <v>7.17863141755576</v>
      </c>
      <c r="O3492" s="1">
        <v>1.5777716117932599E-6</v>
      </c>
      <c r="P3492" s="2">
        <f t="shared" si="110"/>
        <v>6.7599747975780264</v>
      </c>
    </row>
    <row r="3493" spans="13:16" x14ac:dyDescent="0.25">
      <c r="M3493">
        <v>2.9269515190236</v>
      </c>
      <c r="N3493">
        <v>2.92573435707784</v>
      </c>
      <c r="O3493" s="1">
        <v>2.5715144965176698E-7</v>
      </c>
      <c r="P3493" s="2">
        <f t="shared" si="110"/>
        <v>5.7611310541407867</v>
      </c>
    </row>
    <row r="3494" spans="13:16" x14ac:dyDescent="0.25">
      <c r="M3494">
        <v>3.4172229243210999</v>
      </c>
      <c r="N3494">
        <v>3.4155622539721202</v>
      </c>
      <c r="O3494" s="1">
        <v>2.71436936172146E-7</v>
      </c>
      <c r="P3494" s="2">
        <f t="shared" si="110"/>
        <v>10.160098499753124</v>
      </c>
    </row>
    <row r="3495" spans="13:16" x14ac:dyDescent="0.25">
      <c r="M3495">
        <v>7.1809982518501503</v>
      </c>
      <c r="N3495">
        <v>7.1809914686093004</v>
      </c>
      <c r="O3495" s="1">
        <v>1.4801037945840301E-6</v>
      </c>
      <c r="P3495" s="2">
        <f t="shared" si="110"/>
        <v>3.1087249824098897E-5</v>
      </c>
    </row>
    <row r="3496" spans="13:16" x14ac:dyDescent="0.25">
      <c r="M3496">
        <v>2.9263407714010499</v>
      </c>
      <c r="N3496">
        <v>2.9264674908908499</v>
      </c>
      <c r="O3496" s="1">
        <v>2.7284823450865002E-7</v>
      </c>
      <c r="P3496" s="2">
        <f t="shared" si="110"/>
        <v>5.8852603990996837E-2</v>
      </c>
    </row>
    <row r="3497" spans="13:16" x14ac:dyDescent="0.25">
      <c r="M3497">
        <v>3.4161398484960999</v>
      </c>
      <c r="N3497">
        <v>3.41605981129526</v>
      </c>
      <c r="O3497" s="1">
        <v>3.1856148881848901E-7</v>
      </c>
      <c r="P3497" s="2">
        <f t="shared" si="110"/>
        <v>2.0109001693936743E-2</v>
      </c>
    </row>
    <row r="3498" spans="13:16" x14ac:dyDescent="0.25">
      <c r="M3498">
        <v>7.1772206890932004</v>
      </c>
      <c r="N3498">
        <v>7.1781192978939696</v>
      </c>
      <c r="O3498" s="1">
        <v>1.7402991689627301E-6</v>
      </c>
      <c r="P3498" s="2">
        <f t="shared" si="110"/>
        <v>0.46399940379282339</v>
      </c>
    </row>
    <row r="3499" spans="13:16" x14ac:dyDescent="0.25">
      <c r="M3499">
        <v>2.9251679935742998</v>
      </c>
      <c r="N3499">
        <v>2.9255752630203702</v>
      </c>
      <c r="O3499" s="1">
        <v>3.4368465476701201E-7</v>
      </c>
      <c r="P3499" s="2">
        <f t="shared" si="110"/>
        <v>0.48261800287512718</v>
      </c>
    </row>
    <row r="3500" spans="13:16" x14ac:dyDescent="0.25">
      <c r="M3500">
        <v>3.4149264670610502</v>
      </c>
      <c r="N3500">
        <v>3.4154542744128902</v>
      </c>
      <c r="O3500" s="1">
        <v>4.07942235978116E-7</v>
      </c>
      <c r="P3500" s="2">
        <f t="shared" si="110"/>
        <v>0.68289227269737862</v>
      </c>
    </row>
    <row r="3501" spans="13:16" x14ac:dyDescent="0.25">
      <c r="M3501">
        <v>7.1781540900941501</v>
      </c>
      <c r="N3501">
        <v>7.1796479240777202</v>
      </c>
      <c r="O3501" s="1">
        <v>8.7387700024256505E-7</v>
      </c>
      <c r="P3501" s="2">
        <f t="shared" si="110"/>
        <v>2.5536087685677802</v>
      </c>
    </row>
    <row r="3502" spans="13:16" x14ac:dyDescent="0.25">
      <c r="M3502">
        <v>2.9259664217686998</v>
      </c>
      <c r="N3502">
        <v>2.9260501349422698</v>
      </c>
      <c r="O3502" s="1">
        <v>1.16915716171248E-7</v>
      </c>
      <c r="P3502" s="2">
        <f t="shared" si="110"/>
        <v>5.9939721182581049E-2</v>
      </c>
    </row>
    <row r="3503" spans="13:16" x14ac:dyDescent="0.25">
      <c r="M3503">
        <v>3.4150492998437998</v>
      </c>
      <c r="N3503">
        <v>3.41577656993586</v>
      </c>
      <c r="O3503" s="1">
        <v>2.0659997961316301E-7</v>
      </c>
      <c r="P3503" s="2">
        <f t="shared" si="110"/>
        <v>2.5601250677545826</v>
      </c>
    </row>
    <row r="3504" spans="13:16" x14ac:dyDescent="0.25">
      <c r="M3504">
        <v>7.1809162748529998</v>
      </c>
      <c r="N3504">
        <v>7.17909025251587</v>
      </c>
      <c r="O3504" s="1">
        <v>1.38999825487041E-6</v>
      </c>
      <c r="P3504" s="2">
        <f t="shared" si="110"/>
        <v>2.3988214114757036</v>
      </c>
    </row>
    <row r="3505" spans="13:16" x14ac:dyDescent="0.25">
      <c r="M3505">
        <v>2.9270041883206499</v>
      </c>
      <c r="N3505">
        <v>2.9258768955257102</v>
      </c>
      <c r="O3505" s="1">
        <v>3.1067447735826302E-7</v>
      </c>
      <c r="P3505" s="2">
        <f t="shared" si="110"/>
        <v>4.0904198385681214</v>
      </c>
    </row>
    <row r="3506" spans="13:16" x14ac:dyDescent="0.25">
      <c r="M3506">
        <v>3.4165482148945499</v>
      </c>
      <c r="N3506">
        <v>3.4156589948993998</v>
      </c>
      <c r="O3506" s="1">
        <v>3.18921157475724E-7</v>
      </c>
      <c r="P3506" s="2">
        <f t="shared" si="110"/>
        <v>2.4793344098996637</v>
      </c>
    </row>
    <row r="3507" spans="13:16" x14ac:dyDescent="0.25">
      <c r="M3507">
        <v>0.68427528524636705</v>
      </c>
      <c r="N3507">
        <v>0.68433209341093104</v>
      </c>
      <c r="O3507" s="1">
        <v>2.4769928146915898E-9</v>
      </c>
      <c r="P3507" s="2">
        <f t="shared" si="110"/>
        <v>1.3028570539198383</v>
      </c>
    </row>
    <row r="3508" spans="13:16" x14ac:dyDescent="0.25">
      <c r="M3508">
        <v>0.99535512728205</v>
      </c>
      <c r="N3508">
        <v>0.99542852979142105</v>
      </c>
      <c r="O3508" s="1">
        <v>3.5405853147540899E-9</v>
      </c>
      <c r="P3508" s="2">
        <f t="shared" si="110"/>
        <v>1.5217620542892196</v>
      </c>
    </row>
    <row r="3509" spans="13:16" x14ac:dyDescent="0.25">
      <c r="M3509">
        <v>0.68429705243504801</v>
      </c>
      <c r="N3509">
        <v>0.68439171844056002</v>
      </c>
      <c r="O3509" s="1">
        <v>2.53394279690456E-9</v>
      </c>
      <c r="P3509" s="2">
        <f t="shared" si="110"/>
        <v>3.5366436095343698</v>
      </c>
    </row>
    <row r="3510" spans="13:16" x14ac:dyDescent="0.25">
      <c r="M3510">
        <v>0.99528527957817203</v>
      </c>
      <c r="N3510">
        <v>0.99537010324096398</v>
      </c>
      <c r="O3510" s="1">
        <v>2.1221990528768598E-9</v>
      </c>
      <c r="P3510" s="2">
        <f t="shared" si="110"/>
        <v>3.3903764869218098</v>
      </c>
    </row>
    <row r="3511" spans="13:16" x14ac:dyDescent="0.25">
      <c r="M3511">
        <v>0.68436406841066</v>
      </c>
      <c r="N3511">
        <v>0.68438549424887396</v>
      </c>
      <c r="O3511" s="1">
        <v>1.23382052928347E-9</v>
      </c>
      <c r="P3511" s="2">
        <f t="shared" si="110"/>
        <v>0.37206913994004864</v>
      </c>
    </row>
    <row r="3512" spans="13:16" x14ac:dyDescent="0.25">
      <c r="M3512">
        <v>0.995341393997632</v>
      </c>
      <c r="N3512">
        <v>0.99537620192646203</v>
      </c>
      <c r="O3512" s="1">
        <v>2.30521072047005E-9</v>
      </c>
      <c r="P3512" s="2">
        <f t="shared" si="110"/>
        <v>0.52558835453878616</v>
      </c>
    </row>
    <row r="3513" spans="13:16" x14ac:dyDescent="0.25">
      <c r="M3513">
        <v>0.68449367029132102</v>
      </c>
      <c r="N3513">
        <v>0.68448728026974204</v>
      </c>
      <c r="O3513" s="1">
        <v>1.30188819570473E-9</v>
      </c>
      <c r="P3513" s="2">
        <f t="shared" si="110"/>
        <v>3.1363964981472946E-2</v>
      </c>
    </row>
    <row r="3514" spans="13:16" x14ac:dyDescent="0.25">
      <c r="M3514">
        <v>0.99528342810903803</v>
      </c>
      <c r="N3514">
        <v>0.99527647999728397</v>
      </c>
      <c r="O3514" s="1">
        <v>1.47903866778785E-9</v>
      </c>
      <c r="P3514" s="2">
        <f t="shared" si="110"/>
        <v>3.2640293995201144E-2</v>
      </c>
    </row>
    <row r="3515" spans="13:16" x14ac:dyDescent="0.25">
      <c r="M3515">
        <v>0.68460183705338296</v>
      </c>
      <c r="N3515">
        <v>0.68450742563101497</v>
      </c>
      <c r="O3515" s="1">
        <v>8.2248430537767508E-9</v>
      </c>
      <c r="P3515" s="2">
        <f t="shared" si="110"/>
        <v>1.0837309131940327</v>
      </c>
    </row>
    <row r="3516" spans="13:16" x14ac:dyDescent="0.25">
      <c r="M3516">
        <v>0.99526901960772896</v>
      </c>
      <c r="N3516">
        <v>0.99525674610061998</v>
      </c>
      <c r="O3516" s="1">
        <v>1.45938339833506E-9</v>
      </c>
      <c r="P3516" s="2">
        <f t="shared" si="110"/>
        <v>0.10322097464303613</v>
      </c>
    </row>
    <row r="3517" spans="13:16" x14ac:dyDescent="0.25">
      <c r="M3517">
        <v>0.68455893752838504</v>
      </c>
      <c r="N3517">
        <v>0.68457980117587902</v>
      </c>
      <c r="O3517" s="1">
        <v>1.6777057891647501E-9</v>
      </c>
      <c r="P3517" s="2">
        <f t="shared" si="110"/>
        <v>0.25945656834740705</v>
      </c>
    </row>
    <row r="3518" spans="13:16" x14ac:dyDescent="0.25">
      <c r="M3518">
        <v>0.99516109738519398</v>
      </c>
      <c r="N3518">
        <v>0.99518585682910299</v>
      </c>
      <c r="O3518" s="1">
        <v>2.2054870194903698E-9</v>
      </c>
      <c r="P3518" s="2">
        <f t="shared" si="110"/>
        <v>0.27795677656033912</v>
      </c>
    </row>
    <row r="3519" spans="13:16" x14ac:dyDescent="0.25">
      <c r="M3519">
        <v>0.68465520578744998</v>
      </c>
      <c r="N3519">
        <v>0.684607945101808</v>
      </c>
      <c r="O3519" s="1">
        <v>1.08112308907619E-9</v>
      </c>
      <c r="P3519" s="2">
        <f t="shared" si="110"/>
        <v>2.0659741984224214</v>
      </c>
    </row>
    <row r="3520" spans="13:16" x14ac:dyDescent="0.25">
      <c r="M3520">
        <v>0.99522703983460403</v>
      </c>
      <c r="N3520">
        <v>0.99515829424199898</v>
      </c>
      <c r="O3520" s="1">
        <v>1.9236006868235601E-9</v>
      </c>
      <c r="P3520" s="2">
        <f t="shared" si="110"/>
        <v>2.4568282466276705</v>
      </c>
    </row>
    <row r="3521" spans="13:16" x14ac:dyDescent="0.25">
      <c r="M3521">
        <v>5.9340314550000004</v>
      </c>
      <c r="N3521">
        <v>5.9339678155298801</v>
      </c>
      <c r="O3521" s="1">
        <v>6.6836534984773205E-8</v>
      </c>
      <c r="P3521" s="2">
        <f t="shared" si="110"/>
        <v>6.0595333946018931E-2</v>
      </c>
    </row>
    <row r="3522" spans="13:16" x14ac:dyDescent="0.25">
      <c r="M3522">
        <v>2.422367655</v>
      </c>
      <c r="N3522">
        <v>2.4222004883061699</v>
      </c>
      <c r="O3522" s="1">
        <v>1.5015645954294499E-8</v>
      </c>
      <c r="P3522" s="2">
        <f t="shared" si="110"/>
        <v>1.861039052941605</v>
      </c>
    </row>
    <row r="3523" spans="13:16" x14ac:dyDescent="0.25">
      <c r="M3523">
        <v>2.8315311150000002</v>
      </c>
      <c r="N3523">
        <v>2.8315294326016098</v>
      </c>
      <c r="O3523" s="1">
        <v>3.14681713171723E-8</v>
      </c>
      <c r="P3523" s="2">
        <f t="shared" ref="P3523:P3586" si="111">(M3523-N3523)^2/O3523</f>
        <v>8.9946896355097821E-5</v>
      </c>
    </row>
    <row r="3524" spans="13:16" x14ac:dyDescent="0.25">
      <c r="M3524">
        <v>5.9338166899999996</v>
      </c>
      <c r="N3524">
        <v>5.9346655569616003</v>
      </c>
      <c r="O3524" s="1">
        <v>1.03886589468155E-7</v>
      </c>
      <c r="P3524" s="2">
        <f t="shared" si="111"/>
        <v>6.936170704863426</v>
      </c>
    </row>
    <row r="3525" spans="13:16" x14ac:dyDescent="0.25">
      <c r="M3525">
        <v>2.422010115</v>
      </c>
      <c r="N3525">
        <v>2.4223891211585</v>
      </c>
      <c r="O3525" s="1">
        <v>2.0164901788090201E-8</v>
      </c>
      <c r="P3525" s="2">
        <f t="shared" si="111"/>
        <v>7.123549109761286</v>
      </c>
    </row>
    <row r="3526" spans="13:16" x14ac:dyDescent="0.25">
      <c r="M3526">
        <v>2.8310224650000002</v>
      </c>
      <c r="N3526">
        <v>2.8316493100934399</v>
      </c>
      <c r="O3526" s="1">
        <v>2.8217892314404701E-8</v>
      </c>
      <c r="P3526" s="2">
        <f t="shared" si="111"/>
        <v>13.925021996374431</v>
      </c>
    </row>
    <row r="3527" spans="13:16" x14ac:dyDescent="0.25">
      <c r="M3527">
        <v>5.93601505</v>
      </c>
      <c r="N3527">
        <v>5.9358896247077499</v>
      </c>
      <c r="O3527" s="1">
        <v>1.53085909058175E-7</v>
      </c>
      <c r="P3527" s="2">
        <f t="shared" si="111"/>
        <v>0.10276258626797118</v>
      </c>
    </row>
    <row r="3528" spans="13:16" x14ac:dyDescent="0.25">
      <c r="M3528">
        <v>2.4228293449999998</v>
      </c>
      <c r="N3528">
        <v>2.4227200270731299</v>
      </c>
      <c r="O3528" s="1">
        <v>4.5730186840723299E-8</v>
      </c>
      <c r="P3528" s="2">
        <f t="shared" si="111"/>
        <v>0.26132430153294856</v>
      </c>
    </row>
    <row r="3529" spans="13:16" x14ac:dyDescent="0.25">
      <c r="M3529">
        <v>2.8318371400000002</v>
      </c>
      <c r="N3529">
        <v>2.83185959281675</v>
      </c>
      <c r="O3529" s="1">
        <v>4.1356918526317201E-8</v>
      </c>
      <c r="P3529" s="2">
        <f t="shared" si="111"/>
        <v>1.218971330470673E-2</v>
      </c>
    </row>
    <row r="3530" spans="13:16" x14ac:dyDescent="0.25">
      <c r="M3530">
        <v>5.9366396899999998</v>
      </c>
      <c r="N3530">
        <v>5.9369051075434998</v>
      </c>
      <c r="O3530" s="1">
        <v>1.49660754288081E-7</v>
      </c>
      <c r="P3530" s="2">
        <f t="shared" si="111"/>
        <v>0.47070771982045312</v>
      </c>
    </row>
    <row r="3531" spans="13:16" x14ac:dyDescent="0.25">
      <c r="M3531">
        <v>2.42273373</v>
      </c>
      <c r="N3531">
        <v>2.4229945281146699</v>
      </c>
      <c r="O3531" s="1">
        <v>2.0691241833796301E-8</v>
      </c>
      <c r="P3531" s="2">
        <f t="shared" si="111"/>
        <v>3.2871713143986629</v>
      </c>
    </row>
    <row r="3532" spans="13:16" x14ac:dyDescent="0.25">
      <c r="M3532">
        <v>2.8318195450000001</v>
      </c>
      <c r="N3532">
        <v>2.8320340216583602</v>
      </c>
      <c r="O3532" s="1">
        <v>4.1595856203600599E-8</v>
      </c>
      <c r="P3532" s="2">
        <f t="shared" si="111"/>
        <v>1.1058850851905935</v>
      </c>
    </row>
    <row r="3533" spans="13:16" x14ac:dyDescent="0.25">
      <c r="M3533">
        <v>5.9384615299999997</v>
      </c>
      <c r="N3533">
        <v>5.9389345370340996</v>
      </c>
      <c r="O3533" s="1">
        <v>1.7370109324653801E-7</v>
      </c>
      <c r="P3533" s="2">
        <f t="shared" si="111"/>
        <v>1.2880497763502547</v>
      </c>
    </row>
    <row r="3534" spans="13:16" x14ac:dyDescent="0.25">
      <c r="M3534">
        <v>2.4235495349999998</v>
      </c>
      <c r="N3534">
        <v>2.42354306744393</v>
      </c>
      <c r="O3534" s="1">
        <v>4.4532753810247798E-8</v>
      </c>
      <c r="P3534" s="2">
        <f t="shared" si="111"/>
        <v>9.3929249680776354E-4</v>
      </c>
    </row>
    <row r="3535" spans="13:16" x14ac:dyDescent="0.25">
      <c r="M3535">
        <v>2.8321071400000002</v>
      </c>
      <c r="N3535">
        <v>2.8323825582755902</v>
      </c>
      <c r="O3535" s="1">
        <v>4.1741336421053597E-8</v>
      </c>
      <c r="P3535" s="2">
        <f t="shared" si="111"/>
        <v>1.8172687564141088</v>
      </c>
    </row>
    <row r="3536" spans="13:16" x14ac:dyDescent="0.25">
      <c r="M3536">
        <v>5.9400016149999999</v>
      </c>
      <c r="N3536">
        <v>5.9401730608591903</v>
      </c>
      <c r="O3536" s="1">
        <v>1.90171749876742E-7</v>
      </c>
      <c r="P3536" s="2">
        <f t="shared" si="111"/>
        <v>0.15456387529997537</v>
      </c>
    </row>
    <row r="3537" spans="13:16" x14ac:dyDescent="0.25">
      <c r="M3537">
        <v>2.4238923899999998</v>
      </c>
      <c r="N3537">
        <v>2.4238777998959402</v>
      </c>
      <c r="O3537" s="1">
        <v>3.1506819883653699E-8</v>
      </c>
      <c r="P3537" s="2">
        <f t="shared" si="111"/>
        <v>6.756351077490892E-3</v>
      </c>
    </row>
    <row r="3538" spans="13:16" x14ac:dyDescent="0.25">
      <c r="M3538">
        <v>2.83250592</v>
      </c>
      <c r="N3538">
        <v>2.8325952263713501</v>
      </c>
      <c r="O3538" s="1">
        <v>4.5223917872574999E-8</v>
      </c>
      <c r="P3538" s="2">
        <f t="shared" si="111"/>
        <v>0.17635862479207665</v>
      </c>
    </row>
    <row r="3539" spans="13:16" x14ac:dyDescent="0.25">
      <c r="M3539">
        <v>5.943921155</v>
      </c>
      <c r="N3539">
        <v>5.9433181176191701</v>
      </c>
      <c r="O3539" s="1">
        <v>2.1752756495705799E-7</v>
      </c>
      <c r="P3539" s="2">
        <f t="shared" si="111"/>
        <v>1.6717609225753522</v>
      </c>
    </row>
    <row r="3540" spans="13:16" x14ac:dyDescent="0.25">
      <c r="M3540">
        <v>2.42492207</v>
      </c>
      <c r="N3540">
        <v>2.4247276999084901</v>
      </c>
      <c r="O3540" s="1">
        <v>3.0475390919665399E-8</v>
      </c>
      <c r="P3540" s="2">
        <f t="shared" si="111"/>
        <v>1.2396799953496904</v>
      </c>
    </row>
    <row r="3541" spans="13:16" x14ac:dyDescent="0.25">
      <c r="M3541">
        <v>2.8335525399999999</v>
      </c>
      <c r="N3541">
        <v>2.8331351395540398</v>
      </c>
      <c r="O3541" s="1">
        <v>6.3735139468142295E-8</v>
      </c>
      <c r="P3541" s="2">
        <f t="shared" si="111"/>
        <v>2.7335490867599126</v>
      </c>
    </row>
    <row r="3542" spans="13:16" x14ac:dyDescent="0.25">
      <c r="M3542">
        <v>5.9437238050000003</v>
      </c>
      <c r="N3542">
        <v>5.9433780340129196</v>
      </c>
      <c r="O3542" s="1">
        <v>1.09738579804726E-7</v>
      </c>
      <c r="P3542" s="2">
        <f t="shared" si="111"/>
        <v>1.0894762418055894</v>
      </c>
    </row>
    <row r="3543" spans="13:16" x14ac:dyDescent="0.25">
      <c r="M3543">
        <v>2.4250621749999999</v>
      </c>
      <c r="N3543">
        <v>2.4247438898568898</v>
      </c>
      <c r="O3543" s="1">
        <v>1.8165850463988701E-8</v>
      </c>
      <c r="P3543" s="2">
        <f t="shared" si="111"/>
        <v>5.5766963691246412</v>
      </c>
    </row>
    <row r="3544" spans="13:16" x14ac:dyDescent="0.25">
      <c r="M3544">
        <v>2.8332853849999999</v>
      </c>
      <c r="N3544">
        <v>2.8331454236509401</v>
      </c>
      <c r="O3544" s="1">
        <v>1.4458533588641899E-8</v>
      </c>
      <c r="P3544" s="2">
        <f t="shared" si="111"/>
        <v>1.3548524205821622</v>
      </c>
    </row>
    <row r="3545" spans="13:16" x14ac:dyDescent="0.25">
      <c r="M3545">
        <v>5.9463628750000002</v>
      </c>
      <c r="N3545">
        <v>5.9452066977466496</v>
      </c>
      <c r="O3545" s="1">
        <v>9.84540907963995E-8</v>
      </c>
      <c r="P3545" s="2">
        <f t="shared" si="111"/>
        <v>13.577351944975959</v>
      </c>
    </row>
    <row r="3546" spans="13:16" x14ac:dyDescent="0.25">
      <c r="M3546">
        <v>2.4257747900000002</v>
      </c>
      <c r="N3546">
        <v>2.4252379847358201</v>
      </c>
      <c r="O3546" s="1">
        <v>2.7912721767311699E-8</v>
      </c>
      <c r="P3546" s="2">
        <f t="shared" si="111"/>
        <v>10.323604199319734</v>
      </c>
    </row>
    <row r="3547" spans="13:16" x14ac:dyDescent="0.25">
      <c r="M3547">
        <v>2.8342039450000001</v>
      </c>
      <c r="N3547">
        <v>2.83345926502373</v>
      </c>
      <c r="O3547" s="1">
        <v>2.4048578973680599E-8</v>
      </c>
      <c r="P3547" s="2">
        <f t="shared" si="111"/>
        <v>23.059502503846584</v>
      </c>
    </row>
    <row r="3548" spans="13:16" x14ac:dyDescent="0.25">
      <c r="M3548">
        <v>5.9472599199999996</v>
      </c>
      <c r="N3548">
        <v>5.9466653951925803</v>
      </c>
      <c r="O3548" s="1">
        <v>1.05502556542944E-7</v>
      </c>
      <c r="P3548" s="2">
        <f t="shared" si="111"/>
        <v>3.3502481666694286</v>
      </c>
    </row>
    <row r="3549" spans="13:16" x14ac:dyDescent="0.25">
      <c r="M3549">
        <v>2.4259034150000001</v>
      </c>
      <c r="N3549">
        <v>2.42563207996439</v>
      </c>
      <c r="O3549" s="1">
        <v>2.2714447993073399E-8</v>
      </c>
      <c r="P3549" s="2">
        <f t="shared" si="111"/>
        <v>3.2412278551501683</v>
      </c>
    </row>
    <row r="3550" spans="13:16" x14ac:dyDescent="0.25">
      <c r="M3550">
        <v>2.8340503950000002</v>
      </c>
      <c r="N3550">
        <v>2.8337095672582602</v>
      </c>
      <c r="O3550" s="1">
        <v>2.4002696591412799E-8</v>
      </c>
      <c r="P3550" s="2">
        <f t="shared" si="111"/>
        <v>4.8396041293617955</v>
      </c>
    </row>
    <row r="3551" spans="13:16" x14ac:dyDescent="0.25">
      <c r="M3551">
        <v>5.9474485100000001</v>
      </c>
      <c r="N3551">
        <v>5.9473966301043903</v>
      </c>
      <c r="O3551" s="1">
        <v>1.7374059478671499E-7</v>
      </c>
      <c r="P3551" s="2">
        <f t="shared" si="111"/>
        <v>1.5491621700619863E-2</v>
      </c>
    </row>
    <row r="3552" spans="13:16" x14ac:dyDescent="0.25">
      <c r="M3552">
        <v>2.4257962150000001</v>
      </c>
      <c r="N3552">
        <v>2.4258296248851199</v>
      </c>
      <c r="O3552" s="1">
        <v>2.3218634142662199E-8</v>
      </c>
      <c r="P3552" s="2">
        <f t="shared" si="111"/>
        <v>4.8074336193055595E-2</v>
      </c>
    </row>
    <row r="3553" spans="13:16" x14ac:dyDescent="0.25">
      <c r="M3553">
        <v>2.8338764749999998</v>
      </c>
      <c r="N3553">
        <v>2.8338350272475599</v>
      </c>
      <c r="O3553" s="1">
        <v>3.8986450353186303E-8</v>
      </c>
      <c r="P3553" s="2">
        <f t="shared" si="111"/>
        <v>4.4064442050050778E-2</v>
      </c>
    </row>
    <row r="3554" spans="13:16" x14ac:dyDescent="0.25">
      <c r="M3554">
        <v>5.9492023500000002</v>
      </c>
      <c r="N3554">
        <v>5.9486946701817001</v>
      </c>
      <c r="O3554" s="1">
        <v>1.14061609390583E-7</v>
      </c>
      <c r="P3554" s="2">
        <f t="shared" si="111"/>
        <v>2.2596454607849425</v>
      </c>
    </row>
    <row r="3555" spans="13:16" x14ac:dyDescent="0.25">
      <c r="M3555">
        <v>2.4263704050000001</v>
      </c>
      <c r="N3555">
        <v>2.4261802734232898</v>
      </c>
      <c r="O3555" s="1">
        <v>2.4493603793632099E-8</v>
      </c>
      <c r="P3555" s="2">
        <f t="shared" si="111"/>
        <v>1.475896187712233</v>
      </c>
    </row>
    <row r="3556" spans="13:16" x14ac:dyDescent="0.25">
      <c r="M3556">
        <v>2.8344031900000002</v>
      </c>
      <c r="N3556">
        <v>2.8340577112496899</v>
      </c>
      <c r="O3556" s="1">
        <v>3.1829397279780903E-8</v>
      </c>
      <c r="P3556" s="2">
        <f t="shared" si="111"/>
        <v>3.7498531897052874</v>
      </c>
    </row>
    <row r="3557" spans="13:16" x14ac:dyDescent="0.25">
      <c r="M3557">
        <v>5.95022875</v>
      </c>
      <c r="N3557">
        <v>5.9499429827047097</v>
      </c>
      <c r="O3557" s="1">
        <v>8.1885016038787002E-8</v>
      </c>
      <c r="P3557" s="2">
        <f t="shared" si="111"/>
        <v>0.9972880388622366</v>
      </c>
    </row>
    <row r="3558" spans="13:16" x14ac:dyDescent="0.25">
      <c r="M3558">
        <v>2.4266954799999998</v>
      </c>
      <c r="N3558">
        <v>2.4265174643428198</v>
      </c>
      <c r="O3558" s="1">
        <v>2.0914931833796099E-8</v>
      </c>
      <c r="P3558" s="2">
        <f t="shared" si="111"/>
        <v>1.5151650721626366</v>
      </c>
    </row>
    <row r="3559" spans="13:16" x14ac:dyDescent="0.25">
      <c r="M3559">
        <v>2.8343622599999998</v>
      </c>
      <c r="N3559">
        <v>2.8342718349606502</v>
      </c>
      <c r="O3559" s="1">
        <v>1.40920972520783E-8</v>
      </c>
      <c r="P3559" s="2">
        <f t="shared" si="111"/>
        <v>0.58023213969645293</v>
      </c>
    </row>
    <row r="3560" spans="13:16" x14ac:dyDescent="0.25">
      <c r="M3560">
        <v>5.9499507249999999</v>
      </c>
      <c r="N3560">
        <v>5.9498623662555099</v>
      </c>
      <c r="O3560" s="1">
        <v>7.7774735560933194E-8</v>
      </c>
      <c r="P3560" s="2">
        <f t="shared" si="111"/>
        <v>0.10038308290651733</v>
      </c>
    </row>
    <row r="3561" spans="13:16" x14ac:dyDescent="0.25">
      <c r="M3561">
        <v>2.4263635899999998</v>
      </c>
      <c r="N3561">
        <v>2.4264956891596401</v>
      </c>
      <c r="O3561" s="1">
        <v>1.13585785540155E-8</v>
      </c>
      <c r="P3561" s="2">
        <f t="shared" si="111"/>
        <v>1.5363003297189701</v>
      </c>
    </row>
    <row r="3562" spans="13:16" x14ac:dyDescent="0.25">
      <c r="M3562">
        <v>2.83428368</v>
      </c>
      <c r="N3562">
        <v>2.8342580076466302</v>
      </c>
      <c r="O3562" s="1">
        <v>3.1474334548473403E-8</v>
      </c>
      <c r="P3562" s="2">
        <f t="shared" si="111"/>
        <v>2.0939909834451497E-2</v>
      </c>
    </row>
    <row r="3563" spans="13:16" x14ac:dyDescent="0.25">
      <c r="M3563">
        <v>5.9504986449999997</v>
      </c>
      <c r="N3563">
        <v>5.9509747598012703</v>
      </c>
      <c r="O3563" s="1">
        <v>1.2666136584348999E-7</v>
      </c>
      <c r="P3563" s="2">
        <f t="shared" si="111"/>
        <v>1.7896957172329844</v>
      </c>
    </row>
    <row r="3564" spans="13:16" x14ac:dyDescent="0.25">
      <c r="M3564">
        <v>2.4265453300000002</v>
      </c>
      <c r="N3564">
        <v>2.4267961472461601</v>
      </c>
      <c r="O3564" s="1">
        <v>2.62174596731325E-8</v>
      </c>
      <c r="P3564" s="2">
        <f t="shared" si="111"/>
        <v>2.3995189372113361</v>
      </c>
    </row>
    <row r="3565" spans="13:16" x14ac:dyDescent="0.25">
      <c r="M3565">
        <v>2.8341905399999998</v>
      </c>
      <c r="N3565">
        <v>2.8344487945352301</v>
      </c>
      <c r="O3565" s="1">
        <v>2.84637396343478E-8</v>
      </c>
      <c r="P3565" s="2">
        <f t="shared" si="111"/>
        <v>2.3431708490807268</v>
      </c>
    </row>
    <row r="3566" spans="13:16" x14ac:dyDescent="0.25">
      <c r="M3566">
        <v>5.9504326299999999</v>
      </c>
      <c r="N3566">
        <v>5.9507659024153501</v>
      </c>
      <c r="O3566" s="1">
        <v>1.1243878488088999E-7</v>
      </c>
      <c r="P3566" s="2">
        <f t="shared" si="111"/>
        <v>0.98783087126931279</v>
      </c>
    </row>
    <row r="3567" spans="13:16" x14ac:dyDescent="0.25">
      <c r="M3567">
        <v>2.4264775850000002</v>
      </c>
      <c r="N3567">
        <v>2.42673973620172</v>
      </c>
      <c r="O3567" s="1">
        <v>1.9728605112188601E-8</v>
      </c>
      <c r="P3567" s="2">
        <f t="shared" si="111"/>
        <v>3.4834319087604881</v>
      </c>
    </row>
    <row r="3568" spans="13:16" x14ac:dyDescent="0.25">
      <c r="M3568">
        <v>2.8342107400000001</v>
      </c>
      <c r="N3568">
        <v>2.8344129750942999</v>
      </c>
      <c r="O3568" s="1">
        <v>2.7649168221607498E-8</v>
      </c>
      <c r="P3568" s="2">
        <f t="shared" si="111"/>
        <v>1.4792138786476539</v>
      </c>
    </row>
    <row r="3569" spans="13:16" x14ac:dyDescent="0.25">
      <c r="M3569">
        <v>5.9507227949999999</v>
      </c>
      <c r="N3569">
        <v>5.9509512435735301</v>
      </c>
      <c r="O3569" s="1">
        <v>6.9161788225763099E-8</v>
      </c>
      <c r="P3569" s="2">
        <f t="shared" si="111"/>
        <v>0.75458937784592628</v>
      </c>
    </row>
    <row r="3570" spans="13:16" x14ac:dyDescent="0.25">
      <c r="M3570">
        <v>2.42657751</v>
      </c>
      <c r="N3570">
        <v>2.4267897956968199</v>
      </c>
      <c r="O3570" s="1">
        <v>1.0538236891965E-8</v>
      </c>
      <c r="P3570" s="2">
        <f t="shared" si="111"/>
        <v>4.2763526324458789</v>
      </c>
    </row>
    <row r="3571" spans="13:16" x14ac:dyDescent="0.25">
      <c r="M3571">
        <v>2.8342764649999999</v>
      </c>
      <c r="N3571">
        <v>2.83444476149741</v>
      </c>
      <c r="O3571" s="1">
        <v>2.01998907631595E-8</v>
      </c>
      <c r="P3571" s="2">
        <f t="shared" si="111"/>
        <v>1.4021714955099169</v>
      </c>
    </row>
    <row r="3572" spans="13:16" x14ac:dyDescent="0.25">
      <c r="M3572">
        <v>5.9503758900000001</v>
      </c>
      <c r="N3572">
        <v>5.9509945788613896</v>
      </c>
      <c r="O3572" s="1">
        <v>1.09149561434904E-7</v>
      </c>
      <c r="P3572" s="2">
        <f t="shared" si="111"/>
        <v>3.5068936803352417</v>
      </c>
    </row>
    <row r="3573" spans="13:16" x14ac:dyDescent="0.25">
      <c r="M3573">
        <v>2.4265750800000001</v>
      </c>
      <c r="N3573">
        <v>2.4268015002128398</v>
      </c>
      <c r="O3573" s="1">
        <v>1.8769616155122999E-8</v>
      </c>
      <c r="P3573" s="2">
        <f t="shared" si="111"/>
        <v>2.7313351726897346</v>
      </c>
    </row>
    <row r="3574" spans="13:16" x14ac:dyDescent="0.25">
      <c r="M3574">
        <v>2.8340666649999999</v>
      </c>
      <c r="N3574">
        <v>2.8344521935001299</v>
      </c>
      <c r="O3574" s="1">
        <v>2.58133081038762E-8</v>
      </c>
      <c r="P3574" s="2">
        <f t="shared" si="111"/>
        <v>5.7579688668473512</v>
      </c>
    </row>
    <row r="3575" spans="13:16" x14ac:dyDescent="0.25">
      <c r="M3575">
        <v>5.9508209949999999</v>
      </c>
      <c r="N3575">
        <v>5.9509035084163902</v>
      </c>
      <c r="O3575" s="1">
        <v>1.00034550331029E-7</v>
      </c>
      <c r="P3575" s="2">
        <f t="shared" si="111"/>
        <v>6.8061123500364348E-2</v>
      </c>
    </row>
    <row r="3576" spans="13:16" x14ac:dyDescent="0.25">
      <c r="M3576">
        <v>2.4268638949999999</v>
      </c>
      <c r="N3576">
        <v>2.4267769027778399</v>
      </c>
      <c r="O3576" s="1">
        <v>1.8889432824100801E-8</v>
      </c>
      <c r="P3576" s="2">
        <f t="shared" si="111"/>
        <v>0.40062858354767023</v>
      </c>
    </row>
    <row r="3577" spans="13:16" x14ac:dyDescent="0.25">
      <c r="M3577">
        <v>2.8343501249999998</v>
      </c>
      <c r="N3577">
        <v>2.8344365748769298</v>
      </c>
      <c r="O3577" s="1">
        <v>1.5857729245153499E-8</v>
      </c>
      <c r="P3577" s="2">
        <f t="shared" si="111"/>
        <v>0.47128949584566782</v>
      </c>
    </row>
    <row r="3578" spans="13:16" x14ac:dyDescent="0.25">
      <c r="M3578">
        <v>5.9503255350000002</v>
      </c>
      <c r="N3578">
        <v>5.9503434952830103</v>
      </c>
      <c r="O3578" s="1">
        <v>7.68886277160563E-8</v>
      </c>
      <c r="P3578" s="2">
        <f t="shared" si="111"/>
        <v>4.195311782596421E-3</v>
      </c>
    </row>
    <row r="3579" spans="13:16" x14ac:dyDescent="0.25">
      <c r="M3579">
        <v>2.42642048</v>
      </c>
      <c r="N3579">
        <v>2.4266256446927899</v>
      </c>
      <c r="O3579" s="1">
        <v>1.2192163634350799E-8</v>
      </c>
      <c r="P3579" s="2">
        <f t="shared" si="111"/>
        <v>3.4524266922537361</v>
      </c>
    </row>
    <row r="3580" spans="13:16" x14ac:dyDescent="0.25">
      <c r="M3580">
        <v>2.8342558850000001</v>
      </c>
      <c r="N3580">
        <v>2.8343405290046602</v>
      </c>
      <c r="O3580" s="1">
        <v>1.9790014031855399E-8</v>
      </c>
      <c r="P3580" s="2">
        <f t="shared" si="111"/>
        <v>0.36203145249681773</v>
      </c>
    </row>
    <row r="3581" spans="13:16" x14ac:dyDescent="0.25">
      <c r="M3581">
        <v>5.9528890849999998</v>
      </c>
      <c r="N3581">
        <v>5.9516251802199296</v>
      </c>
      <c r="O3581" s="1">
        <v>1.11855859959836E-7</v>
      </c>
      <c r="P3581" s="2">
        <f t="shared" si="111"/>
        <v>14.281373310776301</v>
      </c>
    </row>
    <row r="3582" spans="13:16" x14ac:dyDescent="0.25">
      <c r="M3582">
        <v>2.427634335</v>
      </c>
      <c r="N3582">
        <v>2.4269718173595698</v>
      </c>
      <c r="O3582" s="1">
        <v>3.6584710153737003E-8</v>
      </c>
      <c r="P3582" s="2">
        <f t="shared" si="111"/>
        <v>11.997624746424702</v>
      </c>
    </row>
    <row r="3583" spans="13:16" x14ac:dyDescent="0.25">
      <c r="M3583">
        <v>2.8355510399999999</v>
      </c>
      <c r="N3583">
        <v>2.8345603377269901</v>
      </c>
      <c r="O3583" s="1">
        <v>4.3161689440440698E-8</v>
      </c>
      <c r="P3583" s="2">
        <f t="shared" si="111"/>
        <v>22.739865062537408</v>
      </c>
    </row>
    <row r="3584" spans="13:16" x14ac:dyDescent="0.25">
      <c r="M3584">
        <v>5.9514308150000002</v>
      </c>
      <c r="N3584">
        <v>5.9509778192976999</v>
      </c>
      <c r="O3584" s="1">
        <v>1.4152208505678901E-7</v>
      </c>
      <c r="P3584" s="2">
        <f t="shared" si="111"/>
        <v>1.4499864542003122</v>
      </c>
    </row>
    <row r="3585" spans="13:16" x14ac:dyDescent="0.25">
      <c r="M3585">
        <v>2.4268351099999999</v>
      </c>
      <c r="N3585">
        <v>2.42679697359161</v>
      </c>
      <c r="O3585" s="1">
        <v>2.0272103761773401E-8</v>
      </c>
      <c r="P3585" s="2">
        <f t="shared" si="111"/>
        <v>7.1743202480232374E-2</v>
      </c>
    </row>
    <row r="3586" spans="13:16" x14ac:dyDescent="0.25">
      <c r="M3586">
        <v>2.8346942899999998</v>
      </c>
      <c r="N3586">
        <v>2.8344493192387401</v>
      </c>
      <c r="O3586" s="1">
        <v>3.7033099385042E-8</v>
      </c>
      <c r="P3586" s="2">
        <f t="shared" si="111"/>
        <v>1.6204604764032231</v>
      </c>
    </row>
    <row r="3587" spans="13:16" x14ac:dyDescent="0.25">
      <c r="M3587">
        <v>5.9520014999999997</v>
      </c>
      <c r="N3587">
        <v>5.9515210568764703</v>
      </c>
      <c r="O3587" s="1">
        <v>8.3481747700835102E-8</v>
      </c>
      <c r="P3587" s="2">
        <f t="shared" ref="P3587:P3650" si="112">(M3587-N3587)^2/O3587</f>
        <v>2.7649827813132424</v>
      </c>
    </row>
    <row r="3588" spans="13:16" x14ac:dyDescent="0.25">
      <c r="M3588">
        <v>2.4271569749999999</v>
      </c>
      <c r="N3588">
        <v>2.42694369543175</v>
      </c>
      <c r="O3588" s="1">
        <v>1.7572529577562001E-8</v>
      </c>
      <c r="P3588" s="2">
        <f t="shared" si="112"/>
        <v>2.5885956846501834</v>
      </c>
    </row>
    <row r="3589" spans="13:16" x14ac:dyDescent="0.25">
      <c r="M3589">
        <v>2.8349637049999998</v>
      </c>
      <c r="N3589">
        <v>2.8345424817239899</v>
      </c>
      <c r="O3589" s="1">
        <v>2.23416291121883E-8</v>
      </c>
      <c r="P3589" s="2">
        <f t="shared" si="112"/>
        <v>7.9416343079352201</v>
      </c>
    </row>
    <row r="3590" spans="13:16" x14ac:dyDescent="0.25">
      <c r="M3590">
        <v>5.9518589049999999</v>
      </c>
      <c r="N3590">
        <v>5.9512736856452202</v>
      </c>
      <c r="O3590" s="1">
        <v>1.2072707880747501E-7</v>
      </c>
      <c r="P3590" s="2">
        <f t="shared" si="112"/>
        <v>2.8368258106780244</v>
      </c>
    </row>
    <row r="3591" spans="13:16" x14ac:dyDescent="0.25">
      <c r="M3591">
        <v>2.427209795</v>
      </c>
      <c r="N3591">
        <v>2.4268768840420201</v>
      </c>
      <c r="O3591" s="1">
        <v>2.8480034984762601E-8</v>
      </c>
      <c r="P3591" s="2">
        <f t="shared" si="112"/>
        <v>3.8914877036638358</v>
      </c>
    </row>
    <row r="3592" spans="13:16" x14ac:dyDescent="0.25">
      <c r="M3592">
        <v>2.834923115</v>
      </c>
      <c r="N3592">
        <v>2.8345000594892298</v>
      </c>
      <c r="O3592" s="1">
        <v>3.8459583505540601E-8</v>
      </c>
      <c r="P3592" s="2">
        <f t="shared" si="112"/>
        <v>4.6536116327756369</v>
      </c>
    </row>
    <row r="3593" spans="13:16" x14ac:dyDescent="0.25">
      <c r="M3593">
        <v>5.9508218350000002</v>
      </c>
      <c r="N3593">
        <v>5.9510281313945299</v>
      </c>
      <c r="O3593" s="1">
        <v>1.11002491483376E-7</v>
      </c>
      <c r="P3593" s="2">
        <f t="shared" si="112"/>
        <v>0.38339862310516232</v>
      </c>
    </row>
    <row r="3594" spans="13:16" x14ac:dyDescent="0.25">
      <c r="M3594">
        <v>2.4265267499999998</v>
      </c>
      <c r="N3594">
        <v>2.4268105624649698</v>
      </c>
      <c r="O3594" s="1">
        <v>2.8314455152352101E-8</v>
      </c>
      <c r="P3594" s="2">
        <f t="shared" si="112"/>
        <v>2.8448195396638929</v>
      </c>
    </row>
    <row r="3595" spans="13:16" x14ac:dyDescent="0.25">
      <c r="M3595">
        <v>2.8344322850000001</v>
      </c>
      <c r="N3595">
        <v>2.83445794773644</v>
      </c>
      <c r="O3595" s="1">
        <v>2.65753011232705E-8</v>
      </c>
      <c r="P3595" s="2">
        <f t="shared" si="112"/>
        <v>2.4781508157837098E-2</v>
      </c>
    </row>
    <row r="3596" spans="13:16" x14ac:dyDescent="0.25">
      <c r="M3596">
        <v>0.56855941408222599</v>
      </c>
      <c r="N3596">
        <v>0.56857827917860504</v>
      </c>
      <c r="O3596" s="1">
        <v>5.3628813761470797E-10</v>
      </c>
      <c r="P3596" s="2">
        <f t="shared" si="112"/>
        <v>0.66362061069221201</v>
      </c>
    </row>
    <row r="3597" spans="13:16" x14ac:dyDescent="0.25">
      <c r="M3597">
        <v>0.99591896992842099</v>
      </c>
      <c r="N3597">
        <v>0.99594846912967705</v>
      </c>
      <c r="O3597" s="1">
        <v>1.1490444430823301E-9</v>
      </c>
      <c r="P3597" s="2">
        <f t="shared" si="112"/>
        <v>0.75732742974758116</v>
      </c>
    </row>
    <row r="3598" spans="13:16" x14ac:dyDescent="0.25">
      <c r="M3598">
        <v>0.56854598816810298</v>
      </c>
      <c r="N3598">
        <v>0.56853693323523302</v>
      </c>
      <c r="O3598" s="1">
        <v>5.51555684456358E-10</v>
      </c>
      <c r="P3598" s="2">
        <f t="shared" si="112"/>
        <v>0.1486555421149004</v>
      </c>
    </row>
    <row r="3599" spans="13:16" x14ac:dyDescent="0.25">
      <c r="M3599">
        <v>0.99601051673343699</v>
      </c>
      <c r="N3599">
        <v>0.99599726421319601</v>
      </c>
      <c r="O3599" s="1">
        <v>1.1018970476725199E-9</v>
      </c>
      <c r="P3599" s="2">
        <f t="shared" si="112"/>
        <v>0.15938811444188192</v>
      </c>
    </row>
    <row r="3600" spans="13:16" x14ac:dyDescent="0.25">
      <c r="M3600">
        <v>0.56854224219917104</v>
      </c>
      <c r="N3600">
        <v>0.56855710465507603</v>
      </c>
      <c r="O3600" s="1">
        <v>6.3935282605513798E-10</v>
      </c>
      <c r="P3600" s="2">
        <f t="shared" si="112"/>
        <v>0.34549404730177558</v>
      </c>
    </row>
    <row r="3601" spans="13:16" x14ac:dyDescent="0.25">
      <c r="M3601">
        <v>0.99595286522158799</v>
      </c>
      <c r="N3601">
        <v>0.99597345784401403</v>
      </c>
      <c r="O3601" s="1">
        <v>1.1684266297133099E-9</v>
      </c>
      <c r="P3601" s="2">
        <f t="shared" si="112"/>
        <v>0.36292916268566977</v>
      </c>
    </row>
    <row r="3602" spans="13:16" x14ac:dyDescent="0.25">
      <c r="M3602">
        <v>0.56852781454658297</v>
      </c>
      <c r="N3602">
        <v>0.56854015888112897</v>
      </c>
      <c r="O3602" s="1">
        <v>3.8416767809779099E-10</v>
      </c>
      <c r="P3602" s="2">
        <f t="shared" si="112"/>
        <v>0.3966564707840069</v>
      </c>
    </row>
    <row r="3603" spans="13:16" x14ac:dyDescent="0.25">
      <c r="M3603">
        <v>0.99596854019096204</v>
      </c>
      <c r="N3603">
        <v>0.99599345720144095</v>
      </c>
      <c r="O3603" s="1">
        <v>1.3737751026244599E-9</v>
      </c>
      <c r="P3603" s="2">
        <f t="shared" si="112"/>
        <v>0.45193526219827418</v>
      </c>
    </row>
    <row r="3604" spans="13:16" x14ac:dyDescent="0.25">
      <c r="M3604">
        <v>0.56856717672709201</v>
      </c>
      <c r="N3604">
        <v>0.56855003775058499</v>
      </c>
      <c r="O3604" s="1">
        <v>4.2901064437260101E-10</v>
      </c>
      <c r="P3604" s="2">
        <f t="shared" si="112"/>
        <v>0.68470216196514133</v>
      </c>
    </row>
    <row r="3605" spans="13:16" x14ac:dyDescent="0.25">
      <c r="M3605">
        <v>0.99601824709354303</v>
      </c>
      <c r="N3605">
        <v>0.99598179806465903</v>
      </c>
      <c r="O3605" s="1">
        <v>1.3680348776265999E-9</v>
      </c>
      <c r="P3605" s="2">
        <f t="shared" si="112"/>
        <v>0.97112414918218393</v>
      </c>
    </row>
    <row r="3606" spans="13:16" x14ac:dyDescent="0.25">
      <c r="M3606">
        <v>0.56852397118638598</v>
      </c>
      <c r="N3606">
        <v>0.56852516073758497</v>
      </c>
      <c r="O3606" s="1">
        <v>3.6544514113107801E-10</v>
      </c>
      <c r="P3606" s="2">
        <f t="shared" si="112"/>
        <v>3.8720779010329998E-3</v>
      </c>
    </row>
    <row r="3607" spans="13:16" x14ac:dyDescent="0.25">
      <c r="M3607">
        <v>0.99600941671745002</v>
      </c>
      <c r="N3607">
        <v>0.99601115880293301</v>
      </c>
      <c r="O3607" s="1">
        <v>7.2857049298403597E-10</v>
      </c>
      <c r="P3607" s="2">
        <f t="shared" si="112"/>
        <v>4.1655019785148467E-3</v>
      </c>
    </row>
    <row r="3608" spans="13:16" x14ac:dyDescent="0.25">
      <c r="M3608">
        <v>0.56857612954971504</v>
      </c>
      <c r="N3608">
        <v>0.56854583807775905</v>
      </c>
      <c r="O3608" s="1">
        <v>3.7216720659957698E-10</v>
      </c>
      <c r="P3608" s="2">
        <f t="shared" si="112"/>
        <v>2.4654866333985224</v>
      </c>
    </row>
    <row r="3609" spans="13:16" x14ac:dyDescent="0.25">
      <c r="M3609">
        <v>0.99603861755767398</v>
      </c>
      <c r="N3609">
        <v>0.99598675451750296</v>
      </c>
      <c r="O3609" s="1">
        <v>9.0399734329799104E-10</v>
      </c>
      <c r="P3609" s="2">
        <f t="shared" si="112"/>
        <v>2.9754234962325876</v>
      </c>
    </row>
    <row r="3610" spans="13:16" x14ac:dyDescent="0.25">
      <c r="M3610">
        <v>0.56850010556733799</v>
      </c>
      <c r="N3610">
        <v>0.56853302934476202</v>
      </c>
      <c r="O3610" s="1">
        <v>4.4256694378842002E-10</v>
      </c>
      <c r="P3610" s="2">
        <f t="shared" si="112"/>
        <v>2.4492907459112563</v>
      </c>
    </row>
    <row r="3611" spans="13:16" x14ac:dyDescent="0.25">
      <c r="M3611">
        <v>0.99594232433138097</v>
      </c>
      <c r="N3611">
        <v>0.99600187175951704</v>
      </c>
      <c r="O3611" s="1">
        <v>1.03921350261809E-9</v>
      </c>
      <c r="P3611" s="2">
        <f t="shared" si="112"/>
        <v>3.41209596361852</v>
      </c>
    </row>
    <row r="3612" spans="13:16" x14ac:dyDescent="0.25">
      <c r="M3612">
        <v>0.56856120655240305</v>
      </c>
      <c r="N3612">
        <v>0.56855753292309197</v>
      </c>
      <c r="O3612" s="1">
        <v>3.5700884603513699E-10</v>
      </c>
      <c r="P3612" s="2">
        <f t="shared" si="112"/>
        <v>3.7801730867853732E-2</v>
      </c>
    </row>
    <row r="3613" spans="13:16" x14ac:dyDescent="0.25">
      <c r="M3613">
        <v>0.99597877154648995</v>
      </c>
      <c r="N3613">
        <v>0.99597295241616401</v>
      </c>
      <c r="O3613" s="1">
        <v>7.7557592007772804E-10</v>
      </c>
      <c r="P3613" s="2">
        <f t="shared" si="112"/>
        <v>4.3660816270339541E-2</v>
      </c>
    </row>
    <row r="3614" spans="13:16" x14ac:dyDescent="0.25">
      <c r="M3614">
        <v>0.56854968402318995</v>
      </c>
      <c r="N3614">
        <v>0.56854297026260303</v>
      </c>
      <c r="O3614" s="1">
        <v>3.7145929448869499E-10</v>
      </c>
      <c r="P3614" s="2">
        <f t="shared" si="112"/>
        <v>0.12134460461004677</v>
      </c>
    </row>
    <row r="3615" spans="13:16" x14ac:dyDescent="0.25">
      <c r="M3615">
        <v>0.99600245415086697</v>
      </c>
      <c r="N3615">
        <v>0.99599013914746004</v>
      </c>
      <c r="O3615" s="1">
        <v>1.0385424786955001E-9</v>
      </c>
      <c r="P3615" s="2">
        <f t="shared" si="112"/>
        <v>0.14603091546443578</v>
      </c>
    </row>
    <row r="3616" spans="13:16" x14ac:dyDescent="0.25">
      <c r="M3616">
        <v>0.56854508068325404</v>
      </c>
      <c r="N3616">
        <v>0.56856004297976304</v>
      </c>
      <c r="O3616" s="1">
        <v>4.6633800581471704E-10</v>
      </c>
      <c r="P3616" s="2">
        <f t="shared" si="112"/>
        <v>0.48006020103778463</v>
      </c>
    </row>
    <row r="3617" spans="13:16" x14ac:dyDescent="0.25">
      <c r="M3617">
        <v>0.99594593794747199</v>
      </c>
      <c r="N3617">
        <v>0.99596999014251097</v>
      </c>
      <c r="O3617" s="1">
        <v>1.06645131350055E-9</v>
      </c>
      <c r="P3617" s="2">
        <f t="shared" si="112"/>
        <v>0.54246085017636614</v>
      </c>
    </row>
    <row r="3618" spans="13:16" x14ac:dyDescent="0.25">
      <c r="M3618">
        <v>0.56855508158767198</v>
      </c>
      <c r="N3618">
        <v>0.56858230599403403</v>
      </c>
      <c r="O3618" s="1">
        <v>6.7299724016359199E-10</v>
      </c>
      <c r="P3618" s="2">
        <f t="shared" si="112"/>
        <v>1.1012947119749383</v>
      </c>
    </row>
    <row r="3619" spans="13:16" x14ac:dyDescent="0.25">
      <c r="M3619">
        <v>0.99590153403399995</v>
      </c>
      <c r="N3619">
        <v>0.99594371713571095</v>
      </c>
      <c r="O3619" s="1">
        <v>1.37926791126872E-9</v>
      </c>
      <c r="P3619" s="2">
        <f t="shared" si="112"/>
        <v>1.2901148902419826</v>
      </c>
    </row>
    <row r="3620" spans="13:16" x14ac:dyDescent="0.25">
      <c r="M3620">
        <v>0.56856155158379296</v>
      </c>
      <c r="N3620">
        <v>0.568570848334785</v>
      </c>
      <c r="O3620" s="1">
        <v>4.3777470796953399E-10</v>
      </c>
      <c r="P3620" s="2">
        <f t="shared" si="112"/>
        <v>0.1974293567776878</v>
      </c>
    </row>
    <row r="3621" spans="13:16" x14ac:dyDescent="0.25">
      <c r="M3621">
        <v>0.99593855594697001</v>
      </c>
      <c r="N3621">
        <v>0.99595723832238403</v>
      </c>
      <c r="O3621" s="1">
        <v>1.25760490132301E-9</v>
      </c>
      <c r="P3621" s="2">
        <f t="shared" si="112"/>
        <v>0.27753641127145184</v>
      </c>
    </row>
    <row r="3622" spans="13:16" x14ac:dyDescent="0.25">
      <c r="M3622">
        <v>0.56857815228606701</v>
      </c>
      <c r="N3622">
        <v>0.56858983194942903</v>
      </c>
      <c r="O3622" s="1">
        <v>6.9156946752632397E-10</v>
      </c>
      <c r="P3622" s="2">
        <f t="shared" si="112"/>
        <v>0.19725355536302386</v>
      </c>
    </row>
    <row r="3623" spans="13:16" x14ac:dyDescent="0.25">
      <c r="M3623">
        <v>0.99591565526316705</v>
      </c>
      <c r="N3623">
        <v>0.995934836001931</v>
      </c>
      <c r="O3623" s="1">
        <v>1.61946073100946E-9</v>
      </c>
      <c r="P3623" s="2">
        <f t="shared" si="112"/>
        <v>0.22717484437022042</v>
      </c>
    </row>
    <row r="3624" spans="13:16" x14ac:dyDescent="0.25">
      <c r="M3624">
        <v>5.9404000400000001</v>
      </c>
      <c r="N3624">
        <v>5.9408698514356697</v>
      </c>
      <c r="O3624" s="1">
        <v>7.8514505562320097E-8</v>
      </c>
      <c r="P3624" s="2">
        <f t="shared" si="112"/>
        <v>2.8112357519813012</v>
      </c>
    </row>
    <row r="3625" spans="13:16" x14ac:dyDescent="0.25">
      <c r="M3625">
        <v>2.4239749150000001</v>
      </c>
      <c r="N3625">
        <v>2.42406183621878</v>
      </c>
      <c r="O3625" s="1">
        <v>1.5168216026315001E-8</v>
      </c>
      <c r="P3625" s="2">
        <f t="shared" si="112"/>
        <v>0.49810065080069321</v>
      </c>
    </row>
    <row r="3626" spans="13:16" x14ac:dyDescent="0.25">
      <c r="M3626">
        <v>2.8325935800000002</v>
      </c>
      <c r="N3626">
        <v>2.8329170330550899</v>
      </c>
      <c r="O3626" s="1">
        <v>1.9229387457062E-8</v>
      </c>
      <c r="P3626" s="2">
        <f t="shared" si="112"/>
        <v>5.4407286285379683</v>
      </c>
    </row>
    <row r="3627" spans="13:16" x14ac:dyDescent="0.25">
      <c r="M3627">
        <v>5.9422890649999998</v>
      </c>
      <c r="N3627">
        <v>5.9418106040949699</v>
      </c>
      <c r="O3627" s="1">
        <v>9.8566144225775603E-8</v>
      </c>
      <c r="P3627" s="2">
        <f t="shared" si="112"/>
        <v>2.322550399431818</v>
      </c>
    </row>
    <row r="3628" spans="13:16" x14ac:dyDescent="0.25">
      <c r="M3628">
        <v>2.4246682650000002</v>
      </c>
      <c r="N3628">
        <v>2.4243129560130501</v>
      </c>
      <c r="O3628" s="1">
        <v>1.1185209378116099E-8</v>
      </c>
      <c r="P3628" s="2">
        <f t="shared" si="112"/>
        <v>11.286733394059334</v>
      </c>
    </row>
    <row r="3629" spans="13:16" x14ac:dyDescent="0.25">
      <c r="M3629">
        <v>2.8333444349999999</v>
      </c>
      <c r="N3629">
        <v>2.83306246023034</v>
      </c>
      <c r="O3629" s="1">
        <v>2.34384031731284E-8</v>
      </c>
      <c r="P3629" s="2">
        <f t="shared" si="112"/>
        <v>3.3922861611956523</v>
      </c>
    </row>
    <row r="3630" spans="13:16" x14ac:dyDescent="0.25">
      <c r="M3630">
        <v>5.9436786399999999</v>
      </c>
      <c r="N3630">
        <v>5.9439120455428904</v>
      </c>
      <c r="O3630" s="1">
        <v>1.06931049994453E-7</v>
      </c>
      <c r="P3630" s="2">
        <f t="shared" si="112"/>
        <v>0.50946986356955393</v>
      </c>
    </row>
    <row r="3631" spans="13:16" x14ac:dyDescent="0.25">
      <c r="M3631">
        <v>2.4247592249999999</v>
      </c>
      <c r="N3631">
        <v>2.4248738545992801</v>
      </c>
      <c r="O3631" s="1">
        <v>2.0292353400275101E-8</v>
      </c>
      <c r="P3631" s="2">
        <f t="shared" si="112"/>
        <v>0.6475318447274947</v>
      </c>
    </row>
    <row r="3632" spans="13:16" x14ac:dyDescent="0.25">
      <c r="M3632">
        <v>2.8332368149999998</v>
      </c>
      <c r="N3632">
        <v>2.8333872574317098</v>
      </c>
      <c r="O3632" s="1">
        <v>2.4990305777002601E-8</v>
      </c>
      <c r="P3632" s="2">
        <f t="shared" si="112"/>
        <v>0.90566820033290241</v>
      </c>
    </row>
    <row r="3633" spans="13:16" x14ac:dyDescent="0.25">
      <c r="M3633">
        <v>5.9449349749999998</v>
      </c>
      <c r="N3633">
        <v>5.9449810248440098</v>
      </c>
      <c r="O3633" s="1">
        <v>4.4707978940447902E-8</v>
      </c>
      <c r="P3633" s="2">
        <f t="shared" si="112"/>
        <v>4.743198381147893E-2</v>
      </c>
    </row>
    <row r="3634" spans="13:16" x14ac:dyDescent="0.25">
      <c r="M3634">
        <v>2.4252016250000001</v>
      </c>
      <c r="N3634">
        <v>2.4251591510017199</v>
      </c>
      <c r="O3634" s="1">
        <v>1.0728781987534001E-8</v>
      </c>
      <c r="P3634" s="2">
        <f t="shared" si="112"/>
        <v>0.16814961213764099</v>
      </c>
    </row>
    <row r="3635" spans="13:16" x14ac:dyDescent="0.25">
      <c r="M3635">
        <v>2.833470325</v>
      </c>
      <c r="N3635">
        <v>2.8335524482867198</v>
      </c>
      <c r="O3635" s="1">
        <v>1.3257480547089799E-8</v>
      </c>
      <c r="P3635" s="2">
        <f t="shared" si="112"/>
        <v>0.50871160607908394</v>
      </c>
    </row>
    <row r="3636" spans="13:16" x14ac:dyDescent="0.25">
      <c r="M3636">
        <v>5.9462045049999999</v>
      </c>
      <c r="N3636">
        <v>5.9464153788572398</v>
      </c>
      <c r="O3636" s="1">
        <v>7.4243738253455606E-8</v>
      </c>
      <c r="P3636" s="2">
        <f t="shared" si="112"/>
        <v>0.59894322017363422</v>
      </c>
    </row>
    <row r="3637" spans="13:16" x14ac:dyDescent="0.25">
      <c r="M3637">
        <v>2.4254903049999998</v>
      </c>
      <c r="N3637">
        <v>2.4255419332031298</v>
      </c>
      <c r="O3637" s="1">
        <v>1.0797427505540201E-8</v>
      </c>
      <c r="P3637" s="2">
        <f t="shared" si="112"/>
        <v>0.24686170451833361</v>
      </c>
    </row>
    <row r="3638" spans="13:16" x14ac:dyDescent="0.25">
      <c r="M3638">
        <v>2.8336231550000002</v>
      </c>
      <c r="N3638">
        <v>2.83377406946832</v>
      </c>
      <c r="O3638" s="1">
        <v>1.7425846397503801E-8</v>
      </c>
      <c r="P3638" s="2">
        <f t="shared" si="112"/>
        <v>1.3069767877398053</v>
      </c>
    </row>
    <row r="3639" spans="13:16" x14ac:dyDescent="0.25">
      <c r="M3639">
        <v>5.9477519699999997</v>
      </c>
      <c r="N3639">
        <v>5.94786223531983</v>
      </c>
      <c r="O3639" s="1">
        <v>8.7864428149580595E-8</v>
      </c>
      <c r="P3639" s="2">
        <f t="shared" si="112"/>
        <v>0.13837728206229294</v>
      </c>
    </row>
    <row r="3640" spans="13:16" x14ac:dyDescent="0.25">
      <c r="M3640">
        <v>2.4259909949999998</v>
      </c>
      <c r="N3640">
        <v>2.4259280195557298</v>
      </c>
      <c r="O3640" s="1">
        <v>2.8459296037395401E-8</v>
      </c>
      <c r="P3640" s="2">
        <f t="shared" si="112"/>
        <v>0.13935364303447664</v>
      </c>
    </row>
    <row r="3641" spans="13:16" x14ac:dyDescent="0.25">
      <c r="M3641">
        <v>2.8338973950000002</v>
      </c>
      <c r="N3641">
        <v>2.8339975857981701</v>
      </c>
      <c r="O3641" s="1">
        <v>1.6384803073407899E-8</v>
      </c>
      <c r="P3641" s="2">
        <f t="shared" si="112"/>
        <v>0.61265283402869697</v>
      </c>
    </row>
    <row r="3642" spans="13:16" x14ac:dyDescent="0.25">
      <c r="M3642">
        <v>5.9494407599999999</v>
      </c>
      <c r="N3642">
        <v>5.9490633206767596</v>
      </c>
      <c r="O3642" s="1">
        <v>9.1427520188369099E-8</v>
      </c>
      <c r="P3642" s="2">
        <f t="shared" si="112"/>
        <v>1.5581790081868678</v>
      </c>
    </row>
    <row r="3643" spans="13:16" x14ac:dyDescent="0.25">
      <c r="M3643">
        <v>2.4264618200000001</v>
      </c>
      <c r="N3643">
        <v>2.4262484984595001</v>
      </c>
      <c r="O3643" s="1">
        <v>2.3489424853184E-8</v>
      </c>
      <c r="P3643" s="2">
        <f t="shared" si="112"/>
        <v>1.9373007183330091</v>
      </c>
    </row>
    <row r="3644" spans="13:16" x14ac:dyDescent="0.25">
      <c r="M3644">
        <v>2.8344228249999999</v>
      </c>
      <c r="N3644">
        <v>2.8341831064874001</v>
      </c>
      <c r="O3644" s="1">
        <v>2.3362599993073501E-8</v>
      </c>
      <c r="P3644" s="2">
        <f t="shared" si="112"/>
        <v>2.4596990617512158</v>
      </c>
    </row>
    <row r="3645" spans="13:16" x14ac:dyDescent="0.25">
      <c r="M3645">
        <v>5.9498683400000001</v>
      </c>
      <c r="N3645">
        <v>5.9497342360676697</v>
      </c>
      <c r="O3645" s="1">
        <v>9.2522579080316705E-8</v>
      </c>
      <c r="P3645" s="2">
        <f t="shared" si="112"/>
        <v>0.19437271253386393</v>
      </c>
    </row>
    <row r="3646" spans="13:16" x14ac:dyDescent="0.25">
      <c r="M3646">
        <v>2.4265877499999999</v>
      </c>
      <c r="N3646">
        <v>2.4264275053303699</v>
      </c>
      <c r="O3646" s="1">
        <v>1.3784649667588301E-8</v>
      </c>
      <c r="P3646" s="2">
        <f t="shared" si="112"/>
        <v>1.8628223976718834</v>
      </c>
    </row>
    <row r="3647" spans="13:16" x14ac:dyDescent="0.25">
      <c r="M3647">
        <v>2.8343683049999999</v>
      </c>
      <c r="N3647">
        <v>2.8342867256438402</v>
      </c>
      <c r="O3647" s="1">
        <v>2.2948803184210101E-8</v>
      </c>
      <c r="P3647" s="2">
        <f t="shared" si="112"/>
        <v>0.29000167451050757</v>
      </c>
    </row>
    <row r="3648" spans="13:16" x14ac:dyDescent="0.25">
      <c r="M3648">
        <v>5.9516147049999999</v>
      </c>
      <c r="N3648">
        <v>5.9514850693832102</v>
      </c>
      <c r="O3648" s="1">
        <v>6.5152284624637099E-8</v>
      </c>
      <c r="P3648" s="2">
        <f t="shared" si="112"/>
        <v>0.25794019714373762</v>
      </c>
    </row>
    <row r="3649" spans="13:16" x14ac:dyDescent="0.25">
      <c r="M3649">
        <v>2.4268124499999999</v>
      </c>
      <c r="N3649">
        <v>2.4268946121284198</v>
      </c>
      <c r="O3649" s="1">
        <v>1.11073325484769E-8</v>
      </c>
      <c r="P3649" s="2">
        <f t="shared" si="112"/>
        <v>0.60776206321652637</v>
      </c>
    </row>
    <row r="3650" spans="13:16" x14ac:dyDescent="0.25">
      <c r="M3650">
        <v>2.8347336900000002</v>
      </c>
      <c r="N3650">
        <v>2.8345570949409198</v>
      </c>
      <c r="O3650" s="1">
        <v>1.76851208254844E-8</v>
      </c>
      <c r="P3650" s="2">
        <f t="shared" si="112"/>
        <v>1.7633928090937374</v>
      </c>
    </row>
    <row r="3651" spans="13:16" x14ac:dyDescent="0.25">
      <c r="M3651">
        <v>5.9522432900000002</v>
      </c>
      <c r="N3651">
        <v>5.95204350030511</v>
      </c>
      <c r="O3651" s="1">
        <v>6.6559466033247794E-8</v>
      </c>
      <c r="P3651" s="2">
        <f t="shared" ref="P3651:P3714" si="113">(M3651-N3651)^2/O3651</f>
        <v>0.59970316114590039</v>
      </c>
    </row>
    <row r="3652" spans="13:16" x14ac:dyDescent="0.25">
      <c r="M3652">
        <v>2.4270908150000001</v>
      </c>
      <c r="N3652">
        <v>2.4270435865500501</v>
      </c>
      <c r="O3652" s="1">
        <v>1.42412573005553E-8</v>
      </c>
      <c r="P3652" s="2">
        <f t="shared" si="113"/>
        <v>0.15662426691711104</v>
      </c>
    </row>
    <row r="3653" spans="13:16" x14ac:dyDescent="0.25">
      <c r="M3653">
        <v>2.83478531</v>
      </c>
      <c r="N3653">
        <v>2.8346433183288302</v>
      </c>
      <c r="O3653" s="1">
        <v>1.6827156393350099E-8</v>
      </c>
      <c r="P3653" s="2">
        <f t="shared" si="113"/>
        <v>1.198160533502777</v>
      </c>
    </row>
    <row r="3654" spans="13:16" x14ac:dyDescent="0.25">
      <c r="M3654">
        <v>5.952512595</v>
      </c>
      <c r="N3654">
        <v>5.9524617163478899</v>
      </c>
      <c r="O3654" s="1">
        <v>3.2082898364260898E-8</v>
      </c>
      <c r="P3654" s="2">
        <f t="shared" si="113"/>
        <v>8.0685891004804652E-2</v>
      </c>
    </row>
    <row r="3655" spans="13:16" x14ac:dyDescent="0.25">
      <c r="M3655">
        <v>2.4270974550000002</v>
      </c>
      <c r="N3655">
        <v>2.4271551522302</v>
      </c>
      <c r="O3655" s="1">
        <v>8.72001470775517E-9</v>
      </c>
      <c r="P3655" s="2">
        <f t="shared" si="113"/>
        <v>0.3817620135164197</v>
      </c>
    </row>
    <row r="3656" spans="13:16" x14ac:dyDescent="0.25">
      <c r="M3656">
        <v>2.8348486199999998</v>
      </c>
      <c r="N3656">
        <v>2.834707888544</v>
      </c>
      <c r="O3656" s="1">
        <v>1.06536896177271E-8</v>
      </c>
      <c r="P3656" s="2">
        <f t="shared" si="113"/>
        <v>1.8590125504377681</v>
      </c>
    </row>
    <row r="3657" spans="13:16" x14ac:dyDescent="0.25">
      <c r="M3657">
        <v>5.9535230099999996</v>
      </c>
      <c r="N3657">
        <v>5.9533257036131504</v>
      </c>
      <c r="O3657" s="1">
        <v>5.7119764537394603E-8</v>
      </c>
      <c r="P3657" s="2">
        <f t="shared" si="113"/>
        <v>0.68154710732413537</v>
      </c>
    </row>
    <row r="3658" spans="13:16" x14ac:dyDescent="0.25">
      <c r="M3658">
        <v>2.4272785849999998</v>
      </c>
      <c r="N3658">
        <v>2.4273856257831299</v>
      </c>
      <c r="O3658" s="1">
        <v>1.0826934641272601E-8</v>
      </c>
      <c r="P3658" s="2">
        <f t="shared" si="113"/>
        <v>1.0582616070683641</v>
      </c>
    </row>
    <row r="3659" spans="13:16" x14ac:dyDescent="0.25">
      <c r="M3659">
        <v>2.835010515</v>
      </c>
      <c r="N3659">
        <v>2.8348412736310999</v>
      </c>
      <c r="O3659" s="1">
        <v>1.2747909765928199E-8</v>
      </c>
      <c r="P3659" s="2">
        <f t="shared" si="113"/>
        <v>2.2468499913391065</v>
      </c>
    </row>
    <row r="3660" spans="13:16" x14ac:dyDescent="0.25">
      <c r="M3660">
        <v>5.95374099</v>
      </c>
      <c r="N3660">
        <v>5.9537195069714697</v>
      </c>
      <c r="O3660" s="1">
        <v>3.1416383484768498E-8</v>
      </c>
      <c r="P3660" s="2">
        <f t="shared" si="113"/>
        <v>1.4690440580434207E-2</v>
      </c>
    </row>
    <row r="3661" spans="13:16" x14ac:dyDescent="0.25">
      <c r="M3661">
        <v>2.4273492499999998</v>
      </c>
      <c r="N3661">
        <v>2.4274906712479098</v>
      </c>
      <c r="O3661" s="1">
        <v>4.09165576177413E-9</v>
      </c>
      <c r="P3661" s="2">
        <f t="shared" si="113"/>
        <v>4.8879892456460388</v>
      </c>
    </row>
    <row r="3662" spans="13:16" x14ac:dyDescent="0.25">
      <c r="M3662">
        <v>2.8348313100000002</v>
      </c>
      <c r="N3662">
        <v>2.8349020658990298</v>
      </c>
      <c r="O3662" s="1">
        <v>8.8670273628804004E-9</v>
      </c>
      <c r="P3662" s="2">
        <f t="shared" si="113"/>
        <v>0.564608300234405</v>
      </c>
    </row>
    <row r="3663" spans="13:16" x14ac:dyDescent="0.25">
      <c r="M3663">
        <v>5.9537652950000002</v>
      </c>
      <c r="N3663">
        <v>5.9537439083210399</v>
      </c>
      <c r="O3663" s="1">
        <v>4.9068742242373797E-8</v>
      </c>
      <c r="P3663" s="2">
        <f t="shared" si="113"/>
        <v>9.3214135118611305E-3</v>
      </c>
    </row>
    <row r="3664" spans="13:16" x14ac:dyDescent="0.25">
      <c r="M3664">
        <v>2.42749127</v>
      </c>
      <c r="N3664">
        <v>2.42749718013089</v>
      </c>
      <c r="O3664" s="1">
        <v>1.1146302609419699E-8</v>
      </c>
      <c r="P3664" s="2">
        <f t="shared" si="113"/>
        <v>3.1337429424925841E-3</v>
      </c>
    </row>
    <row r="3665" spans="13:16" x14ac:dyDescent="0.25">
      <c r="M3665">
        <v>2.834920925</v>
      </c>
      <c r="N3665">
        <v>2.8349058326982202</v>
      </c>
      <c r="O3665" s="1">
        <v>1.3419353067866301E-8</v>
      </c>
      <c r="P3665" s="2">
        <f t="shared" si="113"/>
        <v>1.6973811767438701E-2</v>
      </c>
    </row>
    <row r="3666" spans="13:16" x14ac:dyDescent="0.25">
      <c r="M3666">
        <v>5.9541038549999996</v>
      </c>
      <c r="N3666">
        <v>5.9534720803409202</v>
      </c>
      <c r="O3666" s="1">
        <v>7.2804443904426497E-8</v>
      </c>
      <c r="P3666" s="2">
        <f t="shared" si="113"/>
        <v>5.482346934465002</v>
      </c>
    </row>
    <row r="3667" spans="13:16" x14ac:dyDescent="0.25">
      <c r="M3667">
        <v>2.4276168349999998</v>
      </c>
      <c r="N3667">
        <v>2.42742467146814</v>
      </c>
      <c r="O3667" s="1">
        <v>1.13159652229873E-8</v>
      </c>
      <c r="P3667" s="2">
        <f t="shared" si="113"/>
        <v>3.263249952537818</v>
      </c>
    </row>
    <row r="3668" spans="13:16" x14ac:dyDescent="0.25">
      <c r="M3668">
        <v>2.8351976200000002</v>
      </c>
      <c r="N3668">
        <v>2.8348638704374198</v>
      </c>
      <c r="O3668" s="1">
        <v>1.3170401418284201E-8</v>
      </c>
      <c r="P3668" s="2">
        <f t="shared" si="113"/>
        <v>8.4575076328308807</v>
      </c>
    </row>
    <row r="3669" spans="13:16" x14ac:dyDescent="0.25">
      <c r="M3669">
        <v>5.95386389</v>
      </c>
      <c r="N3669">
        <v>5.9540571057854796</v>
      </c>
      <c r="O3669" s="1">
        <v>6.2269398055396697E-8</v>
      </c>
      <c r="P3669" s="2">
        <f t="shared" si="113"/>
        <v>0.59952947875431162</v>
      </c>
    </row>
    <row r="3670" spans="13:16" x14ac:dyDescent="0.25">
      <c r="M3670">
        <v>2.4275762900000002</v>
      </c>
      <c r="N3670">
        <v>2.4275807224635102</v>
      </c>
      <c r="O3670" s="1">
        <v>1.0898573180053301E-8</v>
      </c>
      <c r="P3670" s="2">
        <f t="shared" si="113"/>
        <v>1.8026885210533426E-3</v>
      </c>
    </row>
    <row r="3671" spans="13:16" x14ac:dyDescent="0.25">
      <c r="M3671">
        <v>2.83485839</v>
      </c>
      <c r="N3671">
        <v>2.83495417958776</v>
      </c>
      <c r="O3671" s="1">
        <v>1.4306608193905E-8</v>
      </c>
      <c r="P3671" s="2">
        <f t="shared" si="113"/>
        <v>0.64135712664191546</v>
      </c>
    </row>
    <row r="3672" spans="13:16" x14ac:dyDescent="0.25">
      <c r="M3672">
        <v>5.9538234000000001</v>
      </c>
      <c r="N3672">
        <v>5.9541570046229202</v>
      </c>
      <c r="O3672" s="1">
        <v>5.8242478836574903E-8</v>
      </c>
      <c r="P3672" s="2">
        <f t="shared" si="113"/>
        <v>1.9108397626058427</v>
      </c>
    </row>
    <row r="3673" spans="13:16" x14ac:dyDescent="0.25">
      <c r="M3673">
        <v>2.427460365</v>
      </c>
      <c r="N3673">
        <v>2.4276073691728302</v>
      </c>
      <c r="O3673" s="1">
        <v>1.4842639073406501E-8</v>
      </c>
      <c r="P3673" s="2">
        <f t="shared" si="113"/>
        <v>1.4559558258214664</v>
      </c>
    </row>
    <row r="3674" spans="13:16" x14ac:dyDescent="0.25">
      <c r="M3674">
        <v>2.8346609850000002</v>
      </c>
      <c r="N3674">
        <v>2.83496960016224</v>
      </c>
      <c r="O3674" s="1">
        <v>1.8489513200831001E-8</v>
      </c>
      <c r="P3674" s="2">
        <f t="shared" si="113"/>
        <v>5.1512074617524686</v>
      </c>
    </row>
    <row r="3675" spans="13:16" x14ac:dyDescent="0.25">
      <c r="M3675">
        <v>5.9534321500000003</v>
      </c>
      <c r="N3675">
        <v>5.9540487384564003</v>
      </c>
      <c r="O3675" s="1">
        <v>6.4889325789477794E-8</v>
      </c>
      <c r="P3675" s="2">
        <f t="shared" si="113"/>
        <v>5.8589193205546666</v>
      </c>
    </row>
    <row r="3676" spans="13:16" x14ac:dyDescent="0.25">
      <c r="M3676">
        <v>2.4272736749999999</v>
      </c>
      <c r="N3676">
        <v>2.4275784905808102</v>
      </c>
      <c r="O3676" s="1">
        <v>1.18094990512442E-8</v>
      </c>
      <c r="P3676" s="2">
        <f t="shared" si="113"/>
        <v>7.8676104635389441</v>
      </c>
    </row>
    <row r="3677" spans="13:16" x14ac:dyDescent="0.25">
      <c r="M3677">
        <v>2.8345114499999999</v>
      </c>
      <c r="N3677">
        <v>2.8349528879829902</v>
      </c>
      <c r="O3677" s="1">
        <v>1.6938884515233102E-8</v>
      </c>
      <c r="P3677" s="2">
        <f t="shared" si="113"/>
        <v>11.504151448180782</v>
      </c>
    </row>
    <row r="3678" spans="13:16" x14ac:dyDescent="0.25">
      <c r="M3678">
        <v>0.56868634043800004</v>
      </c>
      <c r="N3678">
        <v>0.56866748528389999</v>
      </c>
      <c r="O3678" s="1">
        <v>5.2008744807847104E-10</v>
      </c>
      <c r="P3678" s="2">
        <f t="shared" si="113"/>
        <v>0.68357126758230213</v>
      </c>
    </row>
    <row r="3679" spans="13:16" x14ac:dyDescent="0.25">
      <c r="M3679">
        <v>0.99581283766881901</v>
      </c>
      <c r="N3679">
        <v>0.99578218089298298</v>
      </c>
      <c r="O3679" s="1">
        <v>1.1717990492044201E-9</v>
      </c>
      <c r="P3679" s="2">
        <f t="shared" si="113"/>
        <v>0.80204699372160926</v>
      </c>
    </row>
    <row r="3680" spans="13:16" x14ac:dyDescent="0.25">
      <c r="M3680">
        <v>0.56859809683370199</v>
      </c>
      <c r="N3680">
        <v>0.56859936371472397</v>
      </c>
      <c r="O3680" s="1">
        <v>5.3726761114055204E-10</v>
      </c>
      <c r="P3680" s="2">
        <f t="shared" si="113"/>
        <v>2.9873148698452466E-3</v>
      </c>
    </row>
    <row r="3681" spans="13:16" x14ac:dyDescent="0.25">
      <c r="M3681">
        <v>0.99586089549387902</v>
      </c>
      <c r="N3681">
        <v>0.99586255279813796</v>
      </c>
      <c r="O3681" s="1">
        <v>8.6908098960155798E-10</v>
      </c>
      <c r="P3681" s="2">
        <f t="shared" si="113"/>
        <v>3.1604159331095707E-3</v>
      </c>
    </row>
    <row r="3682" spans="13:16" x14ac:dyDescent="0.25">
      <c r="M3682">
        <v>0.56860531588635099</v>
      </c>
      <c r="N3682">
        <v>0.568620992210226</v>
      </c>
      <c r="O3682" s="1">
        <v>4.0709861665498301E-10</v>
      </c>
      <c r="P3682" s="2">
        <f t="shared" si="113"/>
        <v>0.60365503634771966</v>
      </c>
    </row>
    <row r="3683" spans="13:16" x14ac:dyDescent="0.25">
      <c r="M3683">
        <v>0.99580067953816198</v>
      </c>
      <c r="N3683">
        <v>0.99583703309337301</v>
      </c>
      <c r="O3683" s="1">
        <v>1.7505334795901499E-9</v>
      </c>
      <c r="P3683" s="2">
        <f t="shared" si="113"/>
        <v>0.7549589835842665</v>
      </c>
    </row>
    <row r="3684" spans="13:16" x14ac:dyDescent="0.25">
      <c r="M3684">
        <v>0.56866347806554896</v>
      </c>
      <c r="N3684">
        <v>0.56863178049701202</v>
      </c>
      <c r="O3684" s="1">
        <v>7.8845159676184598E-10</v>
      </c>
      <c r="P3684" s="2">
        <f t="shared" si="113"/>
        <v>1.2743151961138057</v>
      </c>
    </row>
    <row r="3685" spans="13:16" x14ac:dyDescent="0.25">
      <c r="M3685">
        <v>0.99586679735989103</v>
      </c>
      <c r="N3685">
        <v>0.995824304479908</v>
      </c>
      <c r="O3685" s="1">
        <v>1.33946502086074E-9</v>
      </c>
      <c r="P3685" s="2">
        <f t="shared" si="113"/>
        <v>1.3480343429143016</v>
      </c>
    </row>
    <row r="3686" spans="13:16" x14ac:dyDescent="0.25">
      <c r="M3686">
        <v>0.568671468360052</v>
      </c>
      <c r="N3686">
        <v>0.56862551266415096</v>
      </c>
      <c r="O3686" s="1">
        <v>6.7782372056785501E-10</v>
      </c>
      <c r="P3686" s="2">
        <f t="shared" si="113"/>
        <v>3.1157451733616988</v>
      </c>
    </row>
    <row r="3687" spans="13:16" x14ac:dyDescent="0.25">
      <c r="M3687">
        <v>0.99590405065863397</v>
      </c>
      <c r="N3687">
        <v>0.99583169956427597</v>
      </c>
      <c r="O3687" s="1">
        <v>1.4179152563264499E-9</v>
      </c>
      <c r="P3687" s="2">
        <f t="shared" si="113"/>
        <v>3.6918150301599244</v>
      </c>
    </row>
    <row r="3688" spans="13:16" x14ac:dyDescent="0.25">
      <c r="M3688">
        <v>0.56862609720212598</v>
      </c>
      <c r="N3688">
        <v>0.56864474626042705</v>
      </c>
      <c r="O3688" s="1">
        <v>4.1757914798965401E-10</v>
      </c>
      <c r="P3688" s="2">
        <f t="shared" si="113"/>
        <v>0.83286576255298539</v>
      </c>
    </row>
    <row r="3689" spans="13:16" x14ac:dyDescent="0.25">
      <c r="M3689">
        <v>0.99577133860681599</v>
      </c>
      <c r="N3689">
        <v>0.99580900729466204</v>
      </c>
      <c r="O3689" s="1">
        <v>1.4174283785989101E-9</v>
      </c>
      <c r="P3689" s="2">
        <f t="shared" si="113"/>
        <v>1.0010594295040316</v>
      </c>
    </row>
    <row r="3690" spans="13:16" x14ac:dyDescent="0.25">
      <c r="M3690">
        <v>8.7797544750000007</v>
      </c>
      <c r="N3690">
        <v>8.7799277891054501</v>
      </c>
      <c r="O3690" s="1">
        <v>1.6810354021470401E-7</v>
      </c>
      <c r="P3690" s="2">
        <f t="shared" si="113"/>
        <v>0.17868617822898619</v>
      </c>
    </row>
    <row r="3691" spans="13:16" x14ac:dyDescent="0.25">
      <c r="M3691">
        <v>3.5845748550000001</v>
      </c>
      <c r="N3691">
        <v>3.5843480602635802</v>
      </c>
      <c r="O3691" s="1">
        <v>3.1684817256236599E-8</v>
      </c>
      <c r="P3691" s="2">
        <f t="shared" si="113"/>
        <v>1.6233596063307685</v>
      </c>
    </row>
    <row r="3692" spans="13:16" x14ac:dyDescent="0.25">
      <c r="M3692">
        <v>4.1898987549999998</v>
      </c>
      <c r="N3692">
        <v>4.18999229098584</v>
      </c>
      <c r="O3692" s="1">
        <v>4.9715149389187601E-8</v>
      </c>
      <c r="P3692" s="2">
        <f t="shared" si="113"/>
        <v>0.17598218560347209</v>
      </c>
    </row>
    <row r="3693" spans="13:16" x14ac:dyDescent="0.25">
      <c r="M3693">
        <v>8.7820160250000008</v>
      </c>
      <c r="N3693">
        <v>8.7825544948840992</v>
      </c>
      <c r="O3693" s="1">
        <v>3.1519557567169401E-7</v>
      </c>
      <c r="P3693" s="2">
        <f t="shared" si="113"/>
        <v>0.91990446078787946</v>
      </c>
    </row>
    <row r="3694" spans="13:16" x14ac:dyDescent="0.25">
      <c r="M3694">
        <v>3.5849600449999999</v>
      </c>
      <c r="N3694">
        <v>3.5850597231912702</v>
      </c>
      <c r="O3694" s="1">
        <v>6.6195285788088103E-8</v>
      </c>
      <c r="P3694" s="2">
        <f t="shared" si="113"/>
        <v>0.15009742305110507</v>
      </c>
    </row>
    <row r="3695" spans="13:16" x14ac:dyDescent="0.25">
      <c r="M3695">
        <v>4.1899255850000001</v>
      </c>
      <c r="N3695">
        <v>4.19047630116048</v>
      </c>
      <c r="O3695" s="1">
        <v>9.4837333090023397E-8</v>
      </c>
      <c r="P3695" s="2">
        <f t="shared" si="113"/>
        <v>3.1979841643773725</v>
      </c>
    </row>
    <row r="3696" spans="13:16" x14ac:dyDescent="0.25">
      <c r="M3696">
        <v>8.7849376750000001</v>
      </c>
      <c r="N3696">
        <v>8.7844937305906594</v>
      </c>
      <c r="O3696" s="1">
        <v>1.5135889700139101E-7</v>
      </c>
      <c r="P3696" s="2">
        <f t="shared" si="113"/>
        <v>1.3021146591934627</v>
      </c>
    </row>
    <row r="3697" spans="13:16" x14ac:dyDescent="0.25">
      <c r="M3697">
        <v>3.5859904</v>
      </c>
      <c r="N3697">
        <v>3.5855850814268599</v>
      </c>
      <c r="O3697" s="1">
        <v>4.12400826038791E-8</v>
      </c>
      <c r="P3697" s="2">
        <f t="shared" si="113"/>
        <v>3.9835794537631868</v>
      </c>
    </row>
    <row r="3698" spans="13:16" x14ac:dyDescent="0.25">
      <c r="M3698">
        <v>4.1909092799999996</v>
      </c>
      <c r="N3698">
        <v>4.1908335775856997</v>
      </c>
      <c r="O3698" s="1">
        <v>4.5253743800549702E-8</v>
      </c>
      <c r="P3698" s="2">
        <f t="shared" si="113"/>
        <v>0.12663826347913157</v>
      </c>
    </row>
    <row r="3699" spans="13:16" x14ac:dyDescent="0.25">
      <c r="M3699">
        <v>8.7853097299999998</v>
      </c>
      <c r="N3699">
        <v>8.7854944337158294</v>
      </c>
      <c r="O3699" s="1">
        <v>3.54898041778362E-7</v>
      </c>
      <c r="P3699" s="2">
        <f t="shared" si="113"/>
        <v>9.6127503184580174E-2</v>
      </c>
    </row>
    <row r="3700" spans="13:16" x14ac:dyDescent="0.25">
      <c r="M3700">
        <v>3.5858387700000001</v>
      </c>
      <c r="N3700">
        <v>3.5858561665970301</v>
      </c>
      <c r="O3700" s="1">
        <v>5.3085342775622298E-8</v>
      </c>
      <c r="P3700" s="2">
        <f t="shared" si="113"/>
        <v>5.7010385993881722E-3</v>
      </c>
    </row>
    <row r="3701" spans="13:16" x14ac:dyDescent="0.25">
      <c r="M3701">
        <v>4.1908715299999999</v>
      </c>
      <c r="N3701">
        <v>4.1910179238771601</v>
      </c>
      <c r="O3701" s="1">
        <v>7.2113407872579606E-8</v>
      </c>
      <c r="P3701" s="2">
        <f t="shared" si="113"/>
        <v>0.29718699895397377</v>
      </c>
    </row>
    <row r="3702" spans="13:16" x14ac:dyDescent="0.25">
      <c r="M3702">
        <v>8.7874337350000005</v>
      </c>
      <c r="N3702">
        <v>8.7872952659455805</v>
      </c>
      <c r="O3702" s="1">
        <v>2.3560676710668499E-7</v>
      </c>
      <c r="P3702" s="2">
        <f t="shared" si="113"/>
        <v>8.1380001378615313E-2</v>
      </c>
    </row>
    <row r="3703" spans="13:16" x14ac:dyDescent="0.25">
      <c r="M3703">
        <v>3.5864724149999998</v>
      </c>
      <c r="N3703">
        <v>3.5863439763418299</v>
      </c>
      <c r="O3703" s="1">
        <v>2.9338451594181399E-8</v>
      </c>
      <c r="P3703" s="2">
        <f t="shared" si="113"/>
        <v>0.56228219337111207</v>
      </c>
    </row>
    <row r="3704" spans="13:16" x14ac:dyDescent="0.25">
      <c r="M3704">
        <v>4.1914414149999999</v>
      </c>
      <c r="N3704">
        <v>4.1913496348973203</v>
      </c>
      <c r="O3704" s="1">
        <v>5.28293192950221E-8</v>
      </c>
      <c r="P3704" s="2">
        <f t="shared" si="113"/>
        <v>0.15944909683280437</v>
      </c>
    </row>
    <row r="3705" spans="13:16" x14ac:dyDescent="0.25">
      <c r="M3705">
        <v>8.7899074250000009</v>
      </c>
      <c r="N3705">
        <v>8.7898089011380893</v>
      </c>
      <c r="O3705" s="1">
        <v>2.3178191993767101E-7</v>
      </c>
      <c r="P3705" s="2">
        <f t="shared" si="113"/>
        <v>4.1879674517228495E-2</v>
      </c>
    </row>
    <row r="3706" spans="13:16" x14ac:dyDescent="0.25">
      <c r="M3706">
        <v>3.58702291</v>
      </c>
      <c r="N3706">
        <v>3.5870248140639198</v>
      </c>
      <c r="O3706" s="1">
        <v>5.4034932903043999E-8</v>
      </c>
      <c r="P3706" s="2">
        <f t="shared" si="113"/>
        <v>6.7094733280085705E-5</v>
      </c>
    </row>
    <row r="3707" spans="13:16" x14ac:dyDescent="0.25">
      <c r="M3707">
        <v>4.1918555150000003</v>
      </c>
      <c r="N3707">
        <v>4.1918125735561</v>
      </c>
      <c r="O3707" s="1">
        <v>6.7230048103869496E-8</v>
      </c>
      <c r="P3707" s="2">
        <f t="shared" si="113"/>
        <v>2.7427729954781484E-2</v>
      </c>
    </row>
    <row r="3708" spans="13:16" x14ac:dyDescent="0.25">
      <c r="M3708">
        <v>8.7915259399999997</v>
      </c>
      <c r="N3708">
        <v>8.7916706130391198</v>
      </c>
      <c r="O3708" s="1">
        <v>2.4953843204428301E-7</v>
      </c>
      <c r="P3708" s="2">
        <f t="shared" si="113"/>
        <v>8.3876010908580254E-2</v>
      </c>
    </row>
    <row r="3709" spans="13:16" x14ac:dyDescent="0.25">
      <c r="M3709">
        <v>3.5875155300000001</v>
      </c>
      <c r="N3709">
        <v>3.5875290310638199</v>
      </c>
      <c r="O3709" s="1">
        <v>5.3001161058171497E-8</v>
      </c>
      <c r="P3709" s="2">
        <f t="shared" si="113"/>
        <v>3.4391458720406656E-3</v>
      </c>
    </row>
    <row r="3710" spans="13:16" x14ac:dyDescent="0.25">
      <c r="M3710">
        <v>4.191994405</v>
      </c>
      <c r="N3710">
        <v>4.1921553944816798</v>
      </c>
      <c r="O3710" s="1">
        <v>5.7432223904432098E-8</v>
      </c>
      <c r="P3710" s="2">
        <f t="shared" si="113"/>
        <v>0.45127302147794485</v>
      </c>
    </row>
    <row r="3711" spans="13:16" x14ac:dyDescent="0.25">
      <c r="M3711">
        <v>8.7932787799999996</v>
      </c>
      <c r="N3711">
        <v>8.79299396144234</v>
      </c>
      <c r="O3711" s="1">
        <v>1.4118522280329599E-7</v>
      </c>
      <c r="P3711" s="2">
        <f t="shared" si="113"/>
        <v>0.57457578899966888</v>
      </c>
    </row>
    <row r="3712" spans="13:16" x14ac:dyDescent="0.25">
      <c r="M3712">
        <v>3.58803165</v>
      </c>
      <c r="N3712">
        <v>3.58788741847752</v>
      </c>
      <c r="O3712" s="1">
        <v>2.01090944875324E-8</v>
      </c>
      <c r="P3712" s="2">
        <f t="shared" si="113"/>
        <v>1.0344937257018676</v>
      </c>
    </row>
    <row r="3713" spans="13:16" x14ac:dyDescent="0.25">
      <c r="M3713">
        <v>4.1926323749999996</v>
      </c>
      <c r="N3713">
        <v>4.1923990525261701</v>
      </c>
      <c r="O3713" s="1">
        <v>4.9500676779771097E-8</v>
      </c>
      <c r="P3713" s="2">
        <f t="shared" si="113"/>
        <v>1.0997703533660796</v>
      </c>
    </row>
    <row r="3714" spans="13:16" x14ac:dyDescent="0.25">
      <c r="M3714">
        <v>8.7962354250000008</v>
      </c>
      <c r="N3714">
        <v>8.7959879759994202</v>
      </c>
      <c r="O3714" s="1">
        <v>1.2186489351111699E-7</v>
      </c>
      <c r="P3714" s="2">
        <f t="shared" si="113"/>
        <v>0.50244993553252437</v>
      </c>
    </row>
    <row r="3715" spans="13:16" x14ac:dyDescent="0.25">
      <c r="M3715">
        <v>3.58883544</v>
      </c>
      <c r="N3715">
        <v>3.58869818648706</v>
      </c>
      <c r="O3715" s="1">
        <v>2.1757321351800799E-8</v>
      </c>
      <c r="P3715" s="2">
        <f t="shared" ref="P3715:P3778" si="114">(M3715-N3715)^2/O3715</f>
        <v>0.86584770752669493</v>
      </c>
    </row>
    <row r="3716" spans="13:16" x14ac:dyDescent="0.25">
      <c r="M3716">
        <v>4.1931558750000004</v>
      </c>
      <c r="N3716">
        <v>4.1929502345196603</v>
      </c>
      <c r="O3716" s="1">
        <v>4.6270298552630698E-8</v>
      </c>
      <c r="P3716" s="2">
        <f t="shared" si="114"/>
        <v>0.91393417542809519</v>
      </c>
    </row>
    <row r="3717" spans="13:16" x14ac:dyDescent="0.25">
      <c r="M3717">
        <v>8.796795565</v>
      </c>
      <c r="N3717">
        <v>8.7972039311157406</v>
      </c>
      <c r="O3717" s="1">
        <v>1.8453925497370501E-7</v>
      </c>
      <c r="P3717" s="2">
        <f t="shared" si="114"/>
        <v>0.90367160368566823</v>
      </c>
    </row>
    <row r="3718" spans="13:16" x14ac:dyDescent="0.25">
      <c r="M3718">
        <v>3.5887150249999999</v>
      </c>
      <c r="N3718">
        <v>3.5890274361093502</v>
      </c>
      <c r="O3718" s="1">
        <v>2.2546588414127799E-8</v>
      </c>
      <c r="P3718" s="2">
        <f t="shared" si="114"/>
        <v>4.3288456529534445</v>
      </c>
    </row>
    <row r="3719" spans="13:16" x14ac:dyDescent="0.25">
      <c r="M3719">
        <v>4.1930639349999996</v>
      </c>
      <c r="N3719">
        <v>4.1931740524394296</v>
      </c>
      <c r="O3719" s="1">
        <v>4.1024157909966401E-8</v>
      </c>
      <c r="P3719" s="2">
        <f t="shared" si="114"/>
        <v>0.29557829055832358</v>
      </c>
    </row>
    <row r="3720" spans="13:16" x14ac:dyDescent="0.25">
      <c r="M3720">
        <v>8.8008374000000007</v>
      </c>
      <c r="N3720">
        <v>8.8003728390880394</v>
      </c>
      <c r="O3720" s="1">
        <v>2.09349702049866E-7</v>
      </c>
      <c r="P3720" s="2">
        <f t="shared" si="114"/>
        <v>1.0308915599552553</v>
      </c>
    </row>
    <row r="3721" spans="13:16" x14ac:dyDescent="0.25">
      <c r="M3721">
        <v>3.5898073400000001</v>
      </c>
      <c r="N3721">
        <v>3.5898854236291999</v>
      </c>
      <c r="O3721" s="1">
        <v>2.5311532155125099E-8</v>
      </c>
      <c r="P3721" s="2">
        <f t="shared" si="114"/>
        <v>0.24088044578442772</v>
      </c>
    </row>
    <row r="3722" spans="13:16" x14ac:dyDescent="0.25">
      <c r="M3722">
        <v>4.1941501900000002</v>
      </c>
      <c r="N3722">
        <v>4.1937572564528596</v>
      </c>
      <c r="O3722" s="1">
        <v>4.9467399385041597E-8</v>
      </c>
      <c r="P3722" s="2">
        <f t="shared" si="114"/>
        <v>3.1211823218509762</v>
      </c>
    </row>
    <row r="3723" spans="13:16" x14ac:dyDescent="0.25">
      <c r="M3723">
        <v>8.802958705</v>
      </c>
      <c r="N3723">
        <v>8.8022036855540797</v>
      </c>
      <c r="O3723" s="1">
        <v>1.15734548447355E-7</v>
      </c>
      <c r="P3723" s="2">
        <f t="shared" si="114"/>
        <v>4.9255332255178246</v>
      </c>
    </row>
    <row r="3724" spans="13:16" x14ac:dyDescent="0.25">
      <c r="M3724">
        <v>3.5904426800000002</v>
      </c>
      <c r="N3724">
        <v>3.5903810812382799</v>
      </c>
      <c r="O3724" s="1">
        <v>2.5290176930745501E-8</v>
      </c>
      <c r="P3724" s="2">
        <f t="shared" si="114"/>
        <v>0.15003483193748085</v>
      </c>
    </row>
    <row r="3725" spans="13:16" x14ac:dyDescent="0.25">
      <c r="M3725">
        <v>4.1946773149999999</v>
      </c>
      <c r="N3725">
        <v>4.1940941456382301</v>
      </c>
      <c r="O3725" s="1">
        <v>2.62367597382243E-8</v>
      </c>
      <c r="P3725" s="2">
        <f t="shared" si="114"/>
        <v>12.962214385468901</v>
      </c>
    </row>
    <row r="3726" spans="13:16" x14ac:dyDescent="0.25">
      <c r="M3726">
        <v>8.8063987400000006</v>
      </c>
      <c r="N3726">
        <v>8.8049190428728803</v>
      </c>
      <c r="O3726" s="1">
        <v>2.04220507723E-7</v>
      </c>
      <c r="P3726" s="2">
        <f t="shared" si="114"/>
        <v>10.721271886062222</v>
      </c>
    </row>
    <row r="3727" spans="13:16" x14ac:dyDescent="0.25">
      <c r="M3727">
        <v>3.5915206099999999</v>
      </c>
      <c r="N3727">
        <v>3.5911161350296399</v>
      </c>
      <c r="O3727" s="1">
        <v>2.5765932570636801E-8</v>
      </c>
      <c r="P3727" s="2">
        <f t="shared" si="114"/>
        <v>6.349469447659958</v>
      </c>
    </row>
    <row r="3728" spans="13:16" x14ac:dyDescent="0.25">
      <c r="M3728">
        <v>4.1954621650000004</v>
      </c>
      <c r="N3728">
        <v>4.1945937121164603</v>
      </c>
      <c r="O3728" s="1">
        <v>3.7579040680057099E-8</v>
      </c>
      <c r="P3728" s="2">
        <f t="shared" si="114"/>
        <v>20.069975105281429</v>
      </c>
    </row>
    <row r="3729" spans="13:16" x14ac:dyDescent="0.25">
      <c r="M3729">
        <v>8.8062904700000004</v>
      </c>
      <c r="N3729">
        <v>8.8065966140536105</v>
      </c>
      <c r="O3729" s="1">
        <v>1.7281908050416601E-7</v>
      </c>
      <c r="P3729" s="2">
        <f t="shared" si="114"/>
        <v>0.54232542661020278</v>
      </c>
    </row>
    <row r="3730" spans="13:16" x14ac:dyDescent="0.25">
      <c r="M3730">
        <v>3.5912020650000001</v>
      </c>
      <c r="N3730">
        <v>3.59157021950546</v>
      </c>
      <c r="O3730" s="1">
        <v>3.8066697909973602E-8</v>
      </c>
      <c r="P3730" s="2">
        <f t="shared" si="114"/>
        <v>3.5605331518633325</v>
      </c>
    </row>
    <row r="3731" spans="13:16" x14ac:dyDescent="0.25">
      <c r="M3731">
        <v>4.1947574300000001</v>
      </c>
      <c r="N3731">
        <v>4.1949023013373798</v>
      </c>
      <c r="O3731" s="1">
        <v>4.6696285047093197E-8</v>
      </c>
      <c r="P3731" s="2">
        <f t="shared" si="114"/>
        <v>0.44945126519217399</v>
      </c>
    </row>
    <row r="3732" spans="13:16" x14ac:dyDescent="0.25">
      <c r="M3732">
        <v>8.8078968750000008</v>
      </c>
      <c r="N3732">
        <v>8.8079588694515198</v>
      </c>
      <c r="O3732" s="1">
        <v>1.4611387855262699E-7</v>
      </c>
      <c r="P3732" s="2">
        <f t="shared" si="114"/>
        <v>2.6303538426414308E-2</v>
      </c>
    </row>
    <row r="3733" spans="13:16" x14ac:dyDescent="0.25">
      <c r="M3733">
        <v>3.5913484699999998</v>
      </c>
      <c r="N3733">
        <v>3.5919389329954101</v>
      </c>
      <c r="O3733" s="1">
        <v>3.3081251473683602E-8</v>
      </c>
      <c r="P3733" s="2">
        <f t="shared" si="114"/>
        <v>10.539097930629465</v>
      </c>
    </row>
    <row r="3734" spans="13:16" x14ac:dyDescent="0.25">
      <c r="M3734">
        <v>4.1949670299999999</v>
      </c>
      <c r="N3734">
        <v>4.1951528616728702</v>
      </c>
      <c r="O3734" s="1">
        <v>3.8920472637122697E-8</v>
      </c>
      <c r="P3734" s="2">
        <f t="shared" si="114"/>
        <v>0.88728137922995287</v>
      </c>
    </row>
    <row r="3735" spans="13:16" x14ac:dyDescent="0.25">
      <c r="M3735">
        <v>8.8101857500000005</v>
      </c>
      <c r="N3735">
        <v>8.8103867565417406</v>
      </c>
      <c r="O3735" s="1">
        <v>2.03021270941813E-7</v>
      </c>
      <c r="P3735" s="2">
        <f t="shared" si="114"/>
        <v>0.19901180617629519</v>
      </c>
    </row>
    <row r="3736" spans="13:16" x14ac:dyDescent="0.25">
      <c r="M3736">
        <v>3.5919783249999999</v>
      </c>
      <c r="N3736">
        <v>3.5925960270717701</v>
      </c>
      <c r="O3736" s="1">
        <v>4.4577871073409499E-8</v>
      </c>
      <c r="P3736" s="2">
        <f t="shared" si="114"/>
        <v>8.5593107136227378</v>
      </c>
    </row>
    <row r="3737" spans="13:16" x14ac:dyDescent="0.25">
      <c r="M3737">
        <v>4.1954421450000003</v>
      </c>
      <c r="N3737">
        <v>4.1955993652216304</v>
      </c>
      <c r="O3737" s="1">
        <v>5.0735060081718599E-8</v>
      </c>
      <c r="P3737" s="2">
        <f t="shared" si="114"/>
        <v>0.48720151409251616</v>
      </c>
    </row>
    <row r="3738" spans="13:16" x14ac:dyDescent="0.25">
      <c r="M3738">
        <v>8.8110740799999991</v>
      </c>
      <c r="N3738">
        <v>8.8109928528374706</v>
      </c>
      <c r="O3738" s="1">
        <v>9.0172812664810805E-8</v>
      </c>
      <c r="P3738" s="2">
        <f t="shared" si="114"/>
        <v>7.316897119497727E-2</v>
      </c>
    </row>
    <row r="3739" spans="13:16" x14ac:dyDescent="0.25">
      <c r="M3739">
        <v>3.5924492149999998</v>
      </c>
      <c r="N3739">
        <v>3.5927600541487301</v>
      </c>
      <c r="O3739" s="1">
        <v>1.6351822009696201E-8</v>
      </c>
      <c r="P3739" s="2">
        <f t="shared" si="114"/>
        <v>5.9088813666203057</v>
      </c>
    </row>
    <row r="3740" spans="13:16" x14ac:dyDescent="0.25">
      <c r="M3740">
        <v>4.1957975750000003</v>
      </c>
      <c r="N3740">
        <v>4.1957108183217704</v>
      </c>
      <c r="O3740" s="1">
        <v>2.9497834951523601E-8</v>
      </c>
      <c r="P3740" s="2">
        <f t="shared" si="114"/>
        <v>0.25516181882001376</v>
      </c>
    </row>
    <row r="3741" spans="13:16" x14ac:dyDescent="0.25">
      <c r="M3741">
        <v>8.8110075800000001</v>
      </c>
      <c r="N3741">
        <v>8.8133024457978806</v>
      </c>
      <c r="O3741" s="1">
        <v>1.9469603609973401E-7</v>
      </c>
      <c r="P3741" s="2">
        <f t="shared" si="114"/>
        <v>27.049390094331688</v>
      </c>
    </row>
    <row r="3742" spans="13:16" x14ac:dyDescent="0.25">
      <c r="M3742">
        <v>3.592056285</v>
      </c>
      <c r="N3742">
        <v>3.5933850616049501</v>
      </c>
      <c r="O3742" s="1">
        <v>4.26531808462635E-8</v>
      </c>
      <c r="P3742" s="2">
        <f t="shared" si="114"/>
        <v>41.395441813044656</v>
      </c>
    </row>
    <row r="3743" spans="13:16" x14ac:dyDescent="0.25">
      <c r="M3743">
        <v>4.1951777400000001</v>
      </c>
      <c r="N3743">
        <v>4.1961354788196301</v>
      </c>
      <c r="O3743" s="1">
        <v>4.2584072376732199E-8</v>
      </c>
      <c r="P3743" s="2">
        <f t="shared" si="114"/>
        <v>21.540064052856692</v>
      </c>
    </row>
    <row r="3744" spans="13:16" x14ac:dyDescent="0.25">
      <c r="M3744">
        <v>8.8137556700000008</v>
      </c>
      <c r="N3744">
        <v>8.8144284573937597</v>
      </c>
      <c r="O3744" s="1">
        <v>2.7148252693070402E-7</v>
      </c>
      <c r="P3744" s="2">
        <f t="shared" si="114"/>
        <v>1.6673002211902417</v>
      </c>
    </row>
    <row r="3745" spans="13:16" x14ac:dyDescent="0.25">
      <c r="M3745">
        <v>3.593117495</v>
      </c>
      <c r="N3745">
        <v>3.5936897557751299</v>
      </c>
      <c r="O3745" s="1">
        <v>6.9177128724375296E-8</v>
      </c>
      <c r="P3745" s="2">
        <f t="shared" si="114"/>
        <v>4.7339691714747456</v>
      </c>
    </row>
    <row r="3746" spans="13:16" x14ac:dyDescent="0.25">
      <c r="M3746">
        <v>4.1963363899999999</v>
      </c>
      <c r="N3746">
        <v>4.1963424916754404</v>
      </c>
      <c r="O3746" s="1">
        <v>5.8877750686990498E-8</v>
      </c>
      <c r="P3746" s="2">
        <f t="shared" si="114"/>
        <v>6.3233467220347639E-4</v>
      </c>
    </row>
    <row r="3747" spans="13:16" x14ac:dyDescent="0.25">
      <c r="M3747">
        <v>0.84004065488855595</v>
      </c>
      <c r="N3747">
        <v>0.84003132126941804</v>
      </c>
      <c r="O3747" s="1">
        <v>1.79457409454946E-9</v>
      </c>
      <c r="P3747" s="2">
        <f t="shared" si="114"/>
        <v>4.8544357391602247E-2</v>
      </c>
    </row>
    <row r="3748" spans="13:16" x14ac:dyDescent="0.25">
      <c r="M3748">
        <v>0.99518591740262896</v>
      </c>
      <c r="N3748">
        <v>0.99517252357034802</v>
      </c>
      <c r="O3748" s="1">
        <v>3.0630839906042099E-9</v>
      </c>
      <c r="P3748" s="2">
        <f t="shared" si="114"/>
        <v>5.8566707187986129E-2</v>
      </c>
    </row>
    <row r="3749" spans="13:16" x14ac:dyDescent="0.25">
      <c r="M3749">
        <v>0.83998568847971899</v>
      </c>
      <c r="N3749">
        <v>0.83995569393443203</v>
      </c>
      <c r="O3749" s="1">
        <v>9.0427966682390498E-10</v>
      </c>
      <c r="P3749" s="2">
        <f t="shared" si="114"/>
        <v>0.99490542580859032</v>
      </c>
    </row>
    <row r="3750" spans="13:16" x14ac:dyDescent="0.25">
      <c r="M3750">
        <v>0.99527786342851599</v>
      </c>
      <c r="N3750">
        <v>0.99523288847828495</v>
      </c>
      <c r="O3750" s="1">
        <v>1.4616642488377099E-9</v>
      </c>
      <c r="P3750" s="2">
        <f t="shared" si="114"/>
        <v>1.3838651043785268</v>
      </c>
    </row>
    <row r="3751" spans="13:16" x14ac:dyDescent="0.25">
      <c r="M3751">
        <v>0.839996377064264</v>
      </c>
      <c r="N3751">
        <v>0.84002494736210997</v>
      </c>
      <c r="O3751" s="1">
        <v>1.2309626626579E-9</v>
      </c>
      <c r="P3751" s="2">
        <f t="shared" si="114"/>
        <v>0.66310859278646539</v>
      </c>
    </row>
    <row r="3752" spans="13:16" x14ac:dyDescent="0.25">
      <c r="M3752">
        <v>0.99513774692029999</v>
      </c>
      <c r="N3752">
        <v>0.99517761080213296</v>
      </c>
      <c r="O3752" s="1">
        <v>2.0743950343893299E-9</v>
      </c>
      <c r="P3752" s="2">
        <f t="shared" si="114"/>
        <v>0.76606868433847708</v>
      </c>
    </row>
    <row r="3753" spans="13:16" x14ac:dyDescent="0.25">
      <c r="M3753">
        <v>0.83996283159298502</v>
      </c>
      <c r="N3753">
        <v>0.83998847225358197</v>
      </c>
      <c r="O3753" s="1">
        <v>1.3746261924564299E-9</v>
      </c>
      <c r="P3753" s="2">
        <f t="shared" si="114"/>
        <v>0.47827073240444457</v>
      </c>
    </row>
    <row r="3754" spans="13:16" x14ac:dyDescent="0.25">
      <c r="M3754">
        <v>0.99517824154145995</v>
      </c>
      <c r="N3754">
        <v>0.99520672406715904</v>
      </c>
      <c r="O3754" s="1">
        <v>1.42937169751237E-9</v>
      </c>
      <c r="P3754" s="2">
        <f t="shared" si="114"/>
        <v>0.56756004866424814</v>
      </c>
    </row>
    <row r="3755" spans="13:16" x14ac:dyDescent="0.25">
      <c r="M3755">
        <v>0.83988207719830499</v>
      </c>
      <c r="N3755">
        <v>0.83994780544589098</v>
      </c>
      <c r="O3755" s="1">
        <v>1.72182259419111E-9</v>
      </c>
      <c r="P3755" s="2">
        <f t="shared" si="114"/>
        <v>2.5090869090118724</v>
      </c>
    </row>
    <row r="3756" spans="13:16" x14ac:dyDescent="0.25">
      <c r="M3756">
        <v>0.99516677362631001</v>
      </c>
      <c r="N3756">
        <v>0.99523918550709201</v>
      </c>
      <c r="O3756" s="1">
        <v>1.9161677501107501E-9</v>
      </c>
      <c r="P3756" s="2">
        <f t="shared" si="114"/>
        <v>2.7364412526424862</v>
      </c>
    </row>
    <row r="3757" spans="13:16" x14ac:dyDescent="0.25">
      <c r="M3757">
        <v>0.83997906662715105</v>
      </c>
      <c r="N3757">
        <v>0.839979234806839</v>
      </c>
      <c r="O3757" s="1">
        <v>1.2768201443568599E-9</v>
      </c>
      <c r="P3757" s="2">
        <f t="shared" si="114"/>
        <v>2.2152225248986053E-5</v>
      </c>
    </row>
    <row r="3758" spans="13:16" x14ac:dyDescent="0.25">
      <c r="M3758">
        <v>0.99521388040866299</v>
      </c>
      <c r="N3758">
        <v>0.99521409743748901</v>
      </c>
      <c r="O3758" s="1">
        <v>1.6451843592959399E-9</v>
      </c>
      <c r="P3758" s="2">
        <f t="shared" si="114"/>
        <v>2.8629928954902066E-5</v>
      </c>
    </row>
    <row r="3759" spans="13:16" x14ac:dyDescent="0.25">
      <c r="M3759">
        <v>0.83999183502723795</v>
      </c>
      <c r="N3759">
        <v>0.84000342943656403</v>
      </c>
      <c r="O3759" s="1">
        <v>9.2786439059016695E-10</v>
      </c>
      <c r="P3759" s="2">
        <f t="shared" si="114"/>
        <v>0.14488143847735116</v>
      </c>
    </row>
    <row r="3760" spans="13:16" x14ac:dyDescent="0.25">
      <c r="M3760">
        <v>0.99517735125048801</v>
      </c>
      <c r="N3760">
        <v>0.99519478546616102</v>
      </c>
      <c r="O3760" s="1">
        <v>1.7948113114677E-9</v>
      </c>
      <c r="P3760" s="2">
        <f t="shared" si="114"/>
        <v>0.16935032345252238</v>
      </c>
    </row>
    <row r="3761" spans="13:16" x14ac:dyDescent="0.25">
      <c r="M3761">
        <v>0.83991444417152294</v>
      </c>
      <c r="N3761">
        <v>0.83992017506688299</v>
      </c>
      <c r="O3761" s="1">
        <v>1.22812353279079E-9</v>
      </c>
      <c r="P3761" s="2">
        <f t="shared" si="114"/>
        <v>2.6742555411472028E-2</v>
      </c>
    </row>
    <row r="3762" spans="13:16" x14ac:dyDescent="0.25">
      <c r="M3762">
        <v>0.99525395511592096</v>
      </c>
      <c r="N3762">
        <v>0.99526124238769298</v>
      </c>
      <c r="O3762" s="1">
        <v>1.60853638722016E-9</v>
      </c>
      <c r="P3762" s="2">
        <f t="shared" si="114"/>
        <v>3.3014068131215206E-2</v>
      </c>
    </row>
    <row r="3763" spans="13:16" x14ac:dyDescent="0.25">
      <c r="M3763">
        <v>0.83993115467591795</v>
      </c>
      <c r="N3763">
        <v>0.83991043065624804</v>
      </c>
      <c r="O3763" s="1">
        <v>9.9230320908967699E-10</v>
      </c>
      <c r="P3763" s="2">
        <f t="shared" si="114"/>
        <v>0.4328162877479601</v>
      </c>
    </row>
    <row r="3764" spans="13:16" x14ac:dyDescent="0.25">
      <c r="M3764">
        <v>0.995298588675115</v>
      </c>
      <c r="N3764">
        <v>0.995269021481333</v>
      </c>
      <c r="O3764" s="1">
        <v>1.8454177818018201E-9</v>
      </c>
      <c r="P3764" s="2">
        <f t="shared" si="114"/>
        <v>0.47372413811288255</v>
      </c>
    </row>
    <row r="3765" spans="13:16" x14ac:dyDescent="0.25">
      <c r="M3765">
        <v>0.83992704189621104</v>
      </c>
      <c r="N3765">
        <v>0.83990946938158295</v>
      </c>
      <c r="O3765" s="1">
        <v>1.2179271117703E-9</v>
      </c>
      <c r="P3765" s="2">
        <f t="shared" si="114"/>
        <v>0.25354002498997746</v>
      </c>
    </row>
    <row r="3766" spans="13:16" x14ac:dyDescent="0.25">
      <c r="M3766">
        <v>0.99529107816112505</v>
      </c>
      <c r="N3766">
        <v>0.99526978888797102</v>
      </c>
      <c r="O3766" s="1">
        <v>1.3343969208305601E-9</v>
      </c>
      <c r="P3766" s="2">
        <f t="shared" si="114"/>
        <v>0.33965392481946488</v>
      </c>
    </row>
    <row r="3767" spans="13:16" x14ac:dyDescent="0.25">
      <c r="M3767">
        <v>0.83990887937636505</v>
      </c>
      <c r="N3767">
        <v>0.83989908622520704</v>
      </c>
      <c r="O3767" s="1">
        <v>1.5900745873546599E-9</v>
      </c>
      <c r="P3767" s="2">
        <f t="shared" si="114"/>
        <v>6.0315289840082956E-2</v>
      </c>
    </row>
    <row r="3768" spans="13:16" x14ac:dyDescent="0.25">
      <c r="M3768">
        <v>0.99528890687756599</v>
      </c>
      <c r="N3768">
        <v>0.99527807808301005</v>
      </c>
      <c r="O3768" s="1">
        <v>1.6585624277676899E-9</v>
      </c>
      <c r="P3768" s="2">
        <f t="shared" si="114"/>
        <v>7.0701463852987895E-2</v>
      </c>
    </row>
    <row r="3769" spans="13:16" x14ac:dyDescent="0.25">
      <c r="M3769">
        <v>0.84003536497708398</v>
      </c>
      <c r="N3769">
        <v>0.83997862551672997</v>
      </c>
      <c r="O3769" s="1">
        <v>9.8860229448868602E-10</v>
      </c>
      <c r="P3769" s="2">
        <f t="shared" si="114"/>
        <v>3.2564827931426068</v>
      </c>
    </row>
    <row r="3770" spans="13:16" x14ac:dyDescent="0.25">
      <c r="M3770">
        <v>0.99530863747939802</v>
      </c>
      <c r="N3770">
        <v>0.99521458378028504</v>
      </c>
      <c r="O3770" s="1">
        <v>1.81677507073088E-9</v>
      </c>
      <c r="P3770" s="2">
        <f t="shared" si="114"/>
        <v>4.8691213674980878</v>
      </c>
    </row>
    <row r="3771" spans="13:16" x14ac:dyDescent="0.25">
      <c r="M3771">
        <v>0.84000952528870498</v>
      </c>
      <c r="N3771">
        <v>0.8399706517694</v>
      </c>
      <c r="O3771" s="1">
        <v>8.4856369539497495E-10</v>
      </c>
      <c r="P3771" s="2">
        <f t="shared" si="114"/>
        <v>1.7808333202983428</v>
      </c>
    </row>
    <row r="3772" spans="13:16" x14ac:dyDescent="0.25">
      <c r="M3772">
        <v>0.99526278543700397</v>
      </c>
      <c r="N3772">
        <v>0.99522094857708898</v>
      </c>
      <c r="O3772" s="1">
        <v>8.6082774860416303E-10</v>
      </c>
      <c r="P3772" s="2">
        <f t="shared" si="114"/>
        <v>2.0333020751069468</v>
      </c>
    </row>
    <row r="3773" spans="13:16" x14ac:dyDescent="0.25">
      <c r="M3773">
        <v>0.84005585120137005</v>
      </c>
      <c r="N3773">
        <v>0.84000788366833101</v>
      </c>
      <c r="O3773" s="1">
        <v>2.0282081584726301E-9</v>
      </c>
      <c r="P3773" s="2">
        <f t="shared" si="114"/>
        <v>1.134441855112176</v>
      </c>
    </row>
    <row r="3774" spans="13:16" x14ac:dyDescent="0.25">
      <c r="M3774">
        <v>0.99524954096387896</v>
      </c>
      <c r="N3774">
        <v>0.99519123023336697</v>
      </c>
      <c r="O3774" s="1">
        <v>2.4137745322328398E-9</v>
      </c>
      <c r="P3774" s="2">
        <f t="shared" si="114"/>
        <v>1.4086408019628343</v>
      </c>
    </row>
    <row r="3775" spans="13:16" x14ac:dyDescent="0.25">
      <c r="M3775">
        <v>0.84009035184478098</v>
      </c>
      <c r="N3775">
        <v>0.84007918078233002</v>
      </c>
      <c r="O3775" s="1">
        <v>1.7650172074135001E-9</v>
      </c>
      <c r="P3775" s="2">
        <f t="shared" si="114"/>
        <v>7.0703353915875844E-2</v>
      </c>
    </row>
    <row r="3776" spans="13:16" x14ac:dyDescent="0.25">
      <c r="M3776">
        <v>0.99515027198997497</v>
      </c>
      <c r="N3776">
        <v>0.99513432733217799</v>
      </c>
      <c r="O3776" s="1">
        <v>2.5059510559129901E-9</v>
      </c>
      <c r="P3776" s="2">
        <f t="shared" si="114"/>
        <v>0.10145134784763953</v>
      </c>
    </row>
    <row r="3777" spans="13:16" x14ac:dyDescent="0.25">
      <c r="M3777">
        <v>0.84001678594392704</v>
      </c>
      <c r="N3777">
        <v>0.84010308327271699</v>
      </c>
      <c r="O3777" s="1">
        <v>2.2262902516369398E-9</v>
      </c>
      <c r="P3777" s="2">
        <f t="shared" si="114"/>
        <v>3.3451293921829905</v>
      </c>
    </row>
    <row r="3778" spans="13:16" x14ac:dyDescent="0.25">
      <c r="M3778">
        <v>0.99502341368761305</v>
      </c>
      <c r="N3778">
        <v>0.99511525233756204</v>
      </c>
      <c r="O3778" s="1">
        <v>2.1066929144452899E-9</v>
      </c>
      <c r="P3778" s="2">
        <f t="shared" si="114"/>
        <v>4.0035913951297157</v>
      </c>
    </row>
    <row r="3779" spans="13:16" x14ac:dyDescent="0.25">
      <c r="M3779">
        <v>0.83998037689941096</v>
      </c>
      <c r="N3779">
        <v>0.84010062123962104</v>
      </c>
      <c r="O3779" s="1">
        <v>4.4665050659841997E-9</v>
      </c>
      <c r="P3779" s="2">
        <f t="shared" ref="P3779:P3842" si="115">(M3779-N3779)^2/O3779</f>
        <v>3.2371398081846805</v>
      </c>
    </row>
    <row r="3780" spans="13:16" x14ac:dyDescent="0.25">
      <c r="M3780">
        <v>0.99504467276224495</v>
      </c>
      <c r="N3780">
        <v>0.99511721708116296</v>
      </c>
      <c r="O3780" s="1">
        <v>1.8613903593401399E-9</v>
      </c>
      <c r="P3780" s="2">
        <f t="shared" si="115"/>
        <v>2.8272834770368509</v>
      </c>
    </row>
    <row r="3781" spans="13:16" x14ac:dyDescent="0.25">
      <c r="M3781">
        <v>8.7844266350000009</v>
      </c>
      <c r="N3781">
        <v>8.7849794641959793</v>
      </c>
      <c r="O3781" s="1">
        <v>2.7435305148334598E-7</v>
      </c>
      <c r="P3781" s="2">
        <f t="shared" si="115"/>
        <v>1.1139665415557161</v>
      </c>
    </row>
    <row r="3782" spans="13:16" x14ac:dyDescent="0.25">
      <c r="M3782">
        <v>3.5853562299999999</v>
      </c>
      <c r="N3782">
        <v>3.5855690083865301</v>
      </c>
      <c r="O3782" s="1">
        <v>4.5262409368420501E-8</v>
      </c>
      <c r="P3782" s="2">
        <f t="shared" si="115"/>
        <v>1.0002702552991423</v>
      </c>
    </row>
    <row r="3783" spans="13:16" x14ac:dyDescent="0.25">
      <c r="M3783">
        <v>4.1906415299999997</v>
      </c>
      <c r="N3783">
        <v>4.1909799755164503</v>
      </c>
      <c r="O3783" s="1">
        <v>7.73344951855926E-8</v>
      </c>
      <c r="P3783" s="2">
        <f t="shared" si="115"/>
        <v>1.4811678453528265</v>
      </c>
    </row>
    <row r="3784" spans="13:16" x14ac:dyDescent="0.25">
      <c r="M3784">
        <v>8.7876711350000001</v>
      </c>
      <c r="N3784">
        <v>8.7876825562900507</v>
      </c>
      <c r="O3784" s="1">
        <v>1.7057302943348701E-7</v>
      </c>
      <c r="P3784" s="2">
        <f t="shared" si="115"/>
        <v>7.6475083343079055E-4</v>
      </c>
    </row>
    <row r="3785" spans="13:16" x14ac:dyDescent="0.25">
      <c r="M3785">
        <v>3.5863967899999998</v>
      </c>
      <c r="N3785">
        <v>3.5863054629731499</v>
      </c>
      <c r="O3785" s="1">
        <v>2.7308074842102199E-8</v>
      </c>
      <c r="P3785" s="2">
        <f t="shared" si="115"/>
        <v>0.30542709002615481</v>
      </c>
    </row>
    <row r="3786" spans="13:16" x14ac:dyDescent="0.25">
      <c r="M3786">
        <v>4.1914737300000002</v>
      </c>
      <c r="N3786">
        <v>4.1914622464478599</v>
      </c>
      <c r="O3786" s="1">
        <v>4.6743236182826403E-8</v>
      </c>
      <c r="P3786" s="2">
        <f t="shared" si="115"/>
        <v>2.8211989696965106E-3</v>
      </c>
    </row>
    <row r="3787" spans="13:16" x14ac:dyDescent="0.25">
      <c r="M3787">
        <v>8.7906541300000001</v>
      </c>
      <c r="N3787">
        <v>8.7902955481804206</v>
      </c>
      <c r="O3787" s="1">
        <v>1.5455659607201301E-7</v>
      </c>
      <c r="P3787" s="2">
        <f t="shared" si="115"/>
        <v>0.83193422086640523</v>
      </c>
    </row>
    <row r="3788" spans="13:16" x14ac:dyDescent="0.25">
      <c r="M3788">
        <v>3.5874305350000002</v>
      </c>
      <c r="N3788">
        <v>3.5870172982723401</v>
      </c>
      <c r="O3788" s="1">
        <v>1.5732818519389801E-8</v>
      </c>
      <c r="P3788" s="2">
        <f t="shared" si="115"/>
        <v>10.854036921407396</v>
      </c>
    </row>
    <row r="3789" spans="13:16" x14ac:dyDescent="0.25">
      <c r="M3789">
        <v>4.1921755300000001</v>
      </c>
      <c r="N3789">
        <v>4.1919283539305798</v>
      </c>
      <c r="O3789" s="1">
        <v>2.6807996238231801E-8</v>
      </c>
      <c r="P3789" s="2">
        <f t="shared" si="115"/>
        <v>2.2790218541928744</v>
      </c>
    </row>
    <row r="3790" spans="13:16" x14ac:dyDescent="0.25">
      <c r="M3790">
        <v>8.7910205700000006</v>
      </c>
      <c r="N3790">
        <v>8.7907764985112706</v>
      </c>
      <c r="O3790" s="1">
        <v>2.4011970139052902E-7</v>
      </c>
      <c r="P3790" s="2">
        <f t="shared" si="115"/>
        <v>0.24808831289512648</v>
      </c>
    </row>
    <row r="3791" spans="13:16" x14ac:dyDescent="0.25">
      <c r="M3791">
        <v>3.58723803</v>
      </c>
      <c r="N3791">
        <v>3.5871483118407799</v>
      </c>
      <c r="O3791" s="1">
        <v>3.8641451972294598E-8</v>
      </c>
      <c r="P3791" s="2">
        <f t="shared" si="115"/>
        <v>0.20830863445851161</v>
      </c>
    </row>
    <row r="3792" spans="13:16" x14ac:dyDescent="0.25">
      <c r="M3792">
        <v>4.1921395950000004</v>
      </c>
      <c r="N3792">
        <v>4.1920141367652102</v>
      </c>
      <c r="O3792" s="1">
        <v>4.2577081189757199E-8</v>
      </c>
      <c r="P3792" s="2">
        <f t="shared" si="115"/>
        <v>0.3696770242784026</v>
      </c>
    </row>
    <row r="3793" spans="13:16" x14ac:dyDescent="0.25">
      <c r="M3793">
        <v>8.7947999550000002</v>
      </c>
      <c r="N3793">
        <v>8.7947510424515105</v>
      </c>
      <c r="O3793" s="1">
        <v>1.54814565400269E-7</v>
      </c>
      <c r="P3793" s="2">
        <f t="shared" si="115"/>
        <v>1.5453567909276905E-2</v>
      </c>
    </row>
    <row r="3794" spans="13:16" x14ac:dyDescent="0.25">
      <c r="M3794">
        <v>3.5882335950000002</v>
      </c>
      <c r="N3794">
        <v>3.5882309087130002</v>
      </c>
      <c r="O3794" s="1">
        <v>2.1854746563711399E-8</v>
      </c>
      <c r="P3794" s="2">
        <f t="shared" si="115"/>
        <v>3.3018629729160214E-4</v>
      </c>
    </row>
    <row r="3795" spans="13:16" x14ac:dyDescent="0.25">
      <c r="M3795">
        <v>4.1927490000000001</v>
      </c>
      <c r="N3795">
        <v>4.1927229284016798</v>
      </c>
      <c r="O3795" s="1">
        <v>3.2074756786706502E-8</v>
      </c>
      <c r="P3795" s="2">
        <f t="shared" si="115"/>
        <v>2.1191999786380852E-2</v>
      </c>
    </row>
    <row r="3796" spans="13:16" x14ac:dyDescent="0.25">
      <c r="M3796">
        <v>8.7958343049999996</v>
      </c>
      <c r="N3796">
        <v>8.7965285237666908</v>
      </c>
      <c r="O3796" s="1">
        <v>1.2164715548338501E-7</v>
      </c>
      <c r="P3796" s="2">
        <f t="shared" si="115"/>
        <v>3.9617835214572437</v>
      </c>
    </row>
    <row r="3797" spans="13:16" x14ac:dyDescent="0.25">
      <c r="M3797">
        <v>3.5884822500000002</v>
      </c>
      <c r="N3797">
        <v>3.5887150111755401</v>
      </c>
      <c r="O3797" s="1">
        <v>2.4100524681439401E-8</v>
      </c>
      <c r="P3797" s="2">
        <f t="shared" si="115"/>
        <v>2.2479910937565442</v>
      </c>
    </row>
    <row r="3798" spans="13:16" x14ac:dyDescent="0.25">
      <c r="M3798">
        <v>4.1926673900000004</v>
      </c>
      <c r="N3798">
        <v>4.1930398467730798</v>
      </c>
      <c r="O3798" s="1">
        <v>2.16951552299221E-8</v>
      </c>
      <c r="P3798" s="2">
        <f t="shared" si="115"/>
        <v>6.3942408497446479</v>
      </c>
    </row>
    <row r="3799" spans="13:16" x14ac:dyDescent="0.25">
      <c r="M3799">
        <v>8.7983522749999992</v>
      </c>
      <c r="N3799">
        <v>8.7984219886358108</v>
      </c>
      <c r="O3799" s="1">
        <v>9.0579414397517697E-8</v>
      </c>
      <c r="P3799" s="2">
        <f t="shared" si="115"/>
        <v>5.3654476024222165E-2</v>
      </c>
    </row>
    <row r="3800" spans="13:16" x14ac:dyDescent="0.25">
      <c r="M3800">
        <v>3.5892287399999998</v>
      </c>
      <c r="N3800">
        <v>3.5892306663427398</v>
      </c>
      <c r="O3800" s="1">
        <v>1.6710051102493599E-8</v>
      </c>
      <c r="P3800" s="2">
        <f t="shared" si="115"/>
        <v>2.2206971894613717E-4</v>
      </c>
    </row>
    <row r="3801" spans="13:16" x14ac:dyDescent="0.25">
      <c r="M3801">
        <v>4.1933103599999999</v>
      </c>
      <c r="N3801">
        <v>4.1933774004924302</v>
      </c>
      <c r="O3801" s="1">
        <v>2.59470747589974E-8</v>
      </c>
      <c r="P3801" s="2">
        <f t="shared" si="115"/>
        <v>0.17321519543329555</v>
      </c>
    </row>
    <row r="3802" spans="13:16" x14ac:dyDescent="0.25">
      <c r="M3802">
        <v>8.7999413999999998</v>
      </c>
      <c r="N3802">
        <v>8.7993715838519595</v>
      </c>
      <c r="O3802" s="1">
        <v>2.09781819445981E-7</v>
      </c>
      <c r="P3802" s="2">
        <f t="shared" si="115"/>
        <v>1.5477530103655937</v>
      </c>
    </row>
    <row r="3803" spans="13:16" x14ac:dyDescent="0.25">
      <c r="M3803">
        <v>3.5896948399999999</v>
      </c>
      <c r="N3803">
        <v>3.5894892596692798</v>
      </c>
      <c r="O3803" s="1">
        <v>3.22803963102526E-8</v>
      </c>
      <c r="P3803" s="2">
        <f t="shared" si="115"/>
        <v>1.3092550652974988</v>
      </c>
    </row>
    <row r="3804" spans="13:16" x14ac:dyDescent="0.25">
      <c r="M3804">
        <v>4.1939010100000003</v>
      </c>
      <c r="N3804">
        <v>4.1935466705878</v>
      </c>
      <c r="O3804" s="1">
        <v>4.7181979606642398E-8</v>
      </c>
      <c r="P3804" s="2">
        <f t="shared" si="115"/>
        <v>2.6611096033958179</v>
      </c>
    </row>
    <row r="3805" spans="13:16" x14ac:dyDescent="0.25">
      <c r="M3805">
        <v>8.8030400150000006</v>
      </c>
      <c r="N3805">
        <v>8.8022844038569996</v>
      </c>
      <c r="O3805" s="1">
        <v>2.0476479314543999E-7</v>
      </c>
      <c r="P3805" s="2">
        <f t="shared" si="115"/>
        <v>2.7883123395223781</v>
      </c>
    </row>
    <row r="3806" spans="13:16" x14ac:dyDescent="0.25">
      <c r="M3806">
        <v>3.5906279950000002</v>
      </c>
      <c r="N3806">
        <v>3.59028241958781</v>
      </c>
      <c r="O3806" s="1">
        <v>4.36544717714657E-8</v>
      </c>
      <c r="P3806" s="2">
        <f t="shared" si="115"/>
        <v>2.7356273175307702</v>
      </c>
    </row>
    <row r="3807" spans="13:16" x14ac:dyDescent="0.25">
      <c r="M3807">
        <v>4.1944666550000003</v>
      </c>
      <c r="N3807">
        <v>4.1940658239959898</v>
      </c>
      <c r="O3807" s="1">
        <v>4.3380115150958697E-8</v>
      </c>
      <c r="P3807" s="2">
        <f t="shared" si="115"/>
        <v>3.703666834837203</v>
      </c>
    </row>
    <row r="3808" spans="13:16" x14ac:dyDescent="0.25">
      <c r="M3808">
        <v>8.8035725849999995</v>
      </c>
      <c r="N3808">
        <v>8.8040425636524198</v>
      </c>
      <c r="O3808" s="1">
        <v>1.67875770098305E-7</v>
      </c>
      <c r="P3808" s="2">
        <f t="shared" si="115"/>
        <v>1.3157344481662028</v>
      </c>
    </row>
    <row r="3809" spans="13:16" x14ac:dyDescent="0.25">
      <c r="M3809">
        <v>3.5903905549999999</v>
      </c>
      <c r="N3809">
        <v>3.59076112368703</v>
      </c>
      <c r="O3809" s="1">
        <v>3.3379548004157099E-8</v>
      </c>
      <c r="P3809" s="2">
        <f t="shared" si="115"/>
        <v>4.1139308354361575</v>
      </c>
    </row>
    <row r="3810" spans="13:16" x14ac:dyDescent="0.25">
      <c r="M3810">
        <v>4.1940360099999996</v>
      </c>
      <c r="N3810">
        <v>4.1943791296772597</v>
      </c>
      <c r="O3810" s="1">
        <v>5.4774228083109699E-8</v>
      </c>
      <c r="P3810" s="2">
        <f t="shared" si="115"/>
        <v>2.1493888100883738</v>
      </c>
    </row>
    <row r="3811" spans="13:16" x14ac:dyDescent="0.25">
      <c r="M3811">
        <v>8.8052097000000007</v>
      </c>
      <c r="N3811">
        <v>8.8060036305515599</v>
      </c>
      <c r="O3811" s="1">
        <v>2.2154686193907199E-7</v>
      </c>
      <c r="P3811" s="2">
        <f t="shared" si="115"/>
        <v>2.8451123847216553</v>
      </c>
    </row>
    <row r="3812" spans="13:16" x14ac:dyDescent="0.25">
      <c r="M3812">
        <v>3.5908330749999999</v>
      </c>
      <c r="N3812">
        <v>3.5912950369577601</v>
      </c>
      <c r="O3812" s="1">
        <v>5.5104469078948198E-8</v>
      </c>
      <c r="P3812" s="2">
        <f t="shared" si="115"/>
        <v>3.8728047649247581</v>
      </c>
    </row>
    <row r="3813" spans="13:16" x14ac:dyDescent="0.25">
      <c r="M3813">
        <v>4.194244555</v>
      </c>
      <c r="N3813">
        <v>4.1947285473868199</v>
      </c>
      <c r="O3813" s="1">
        <v>5.9082907173122603E-8</v>
      </c>
      <c r="P3813" s="2">
        <f t="shared" si="115"/>
        <v>3.9647444871522866</v>
      </c>
    </row>
    <row r="3814" spans="13:16" x14ac:dyDescent="0.25">
      <c r="M3814">
        <v>8.8076691799999995</v>
      </c>
      <c r="N3814">
        <v>8.8075168571464602</v>
      </c>
      <c r="O3814" s="1">
        <v>2.1354446873129299E-7</v>
      </c>
      <c r="P3814" s="2">
        <f t="shared" si="115"/>
        <v>0.10865302130385678</v>
      </c>
    </row>
    <row r="3815" spans="13:16" x14ac:dyDescent="0.25">
      <c r="M3815">
        <v>3.591757495</v>
      </c>
      <c r="N3815">
        <v>3.5917069957632299</v>
      </c>
      <c r="O3815" s="1">
        <v>4.5716004901657902E-8</v>
      </c>
      <c r="P3815" s="2">
        <f t="shared" si="115"/>
        <v>5.5782934660220766E-2</v>
      </c>
    </row>
    <row r="3816" spans="13:16" x14ac:dyDescent="0.25">
      <c r="M3816">
        <v>4.1951238850000001</v>
      </c>
      <c r="N3816">
        <v>4.1949981368031599</v>
      </c>
      <c r="O3816" s="1">
        <v>5.39405988518009E-8</v>
      </c>
      <c r="P3816" s="2">
        <f t="shared" si="115"/>
        <v>0.29314856240294995</v>
      </c>
    </row>
    <row r="3817" spans="13:16" x14ac:dyDescent="0.25">
      <c r="M3817">
        <v>8.8097158950000001</v>
      </c>
      <c r="N3817">
        <v>8.8100646798354703</v>
      </c>
      <c r="O3817" s="1">
        <v>1.67143064735466E-7</v>
      </c>
      <c r="P3817" s="2">
        <f t="shared" si="115"/>
        <v>0.72782476285508857</v>
      </c>
    </row>
    <row r="3818" spans="13:16" x14ac:dyDescent="0.25">
      <c r="M3818">
        <v>3.5921071499999999</v>
      </c>
      <c r="N3818">
        <v>3.5924005584840502</v>
      </c>
      <c r="O3818" s="1">
        <v>3.8102849722989203E-8</v>
      </c>
      <c r="P3818" s="2">
        <f t="shared" si="115"/>
        <v>2.2593727014785032</v>
      </c>
    </row>
    <row r="3819" spans="13:16" x14ac:dyDescent="0.25">
      <c r="M3819">
        <v>4.1952228749999998</v>
      </c>
      <c r="N3819">
        <v>4.1954519795521801</v>
      </c>
      <c r="O3819" s="1">
        <v>3.4935958497232397E-8</v>
      </c>
      <c r="P3819" s="2">
        <f t="shared" si="115"/>
        <v>1.502431823471666</v>
      </c>
    </row>
    <row r="3820" spans="13:16" x14ac:dyDescent="0.25">
      <c r="M3820">
        <v>8.8107581600000007</v>
      </c>
      <c r="N3820">
        <v>8.8109800645379206</v>
      </c>
      <c r="O3820" s="1">
        <v>1.85572755534627E-7</v>
      </c>
      <c r="P3820" s="2">
        <f t="shared" si="115"/>
        <v>0.26534942485276369</v>
      </c>
    </row>
    <row r="3821" spans="13:16" x14ac:dyDescent="0.25">
      <c r="M3821">
        <v>3.592462185</v>
      </c>
      <c r="N3821">
        <v>3.5926497262235899</v>
      </c>
      <c r="O3821" s="1">
        <v>2.5898015693905801E-8</v>
      </c>
      <c r="P3821" s="2">
        <f t="shared" si="115"/>
        <v>1.358085150665292</v>
      </c>
    </row>
    <row r="3822" spans="13:16" x14ac:dyDescent="0.25">
      <c r="M3822">
        <v>4.1954652100000001</v>
      </c>
      <c r="N3822">
        <v>4.1956150166415798</v>
      </c>
      <c r="O3822" s="1">
        <v>4.4792734675901498E-8</v>
      </c>
      <c r="P3822" s="2">
        <f t="shared" si="115"/>
        <v>0.50101941807685657</v>
      </c>
    </row>
    <row r="3823" spans="13:16" x14ac:dyDescent="0.25">
      <c r="M3823">
        <v>8.8129422549999994</v>
      </c>
      <c r="N3823">
        <v>8.8142223654671401</v>
      </c>
      <c r="O3823" s="1">
        <v>2.39571753821307E-7</v>
      </c>
      <c r="P3823" s="2">
        <f t="shared" si="115"/>
        <v>6.8400501392392492</v>
      </c>
    </row>
    <row r="3824" spans="13:16" x14ac:dyDescent="0.25">
      <c r="M3824">
        <v>3.5928075850000001</v>
      </c>
      <c r="N3824">
        <v>3.5935322114058099</v>
      </c>
      <c r="O3824" s="1">
        <v>5.2389808048470097E-8</v>
      </c>
      <c r="P3824" s="2">
        <f t="shared" si="115"/>
        <v>10.022625536460904</v>
      </c>
    </row>
    <row r="3825" spans="13:16" x14ac:dyDescent="0.25">
      <c r="M3825">
        <v>4.1955463899999996</v>
      </c>
      <c r="N3825">
        <v>4.1961924102189601</v>
      </c>
      <c r="O3825" s="1">
        <v>5.8298867916895099E-8</v>
      </c>
      <c r="P3825" s="2">
        <f t="shared" si="115"/>
        <v>7.1586659950344576</v>
      </c>
    </row>
    <row r="3826" spans="13:16" x14ac:dyDescent="0.25">
      <c r="M3826">
        <v>8.8159658200000006</v>
      </c>
      <c r="N3826">
        <v>8.8156429612892904</v>
      </c>
      <c r="O3826" s="1">
        <v>2.5677138269252802E-7</v>
      </c>
      <c r="P3826" s="2">
        <f t="shared" si="115"/>
        <v>0.40595546897959706</v>
      </c>
    </row>
    <row r="3827" spans="13:16" x14ac:dyDescent="0.25">
      <c r="M3827">
        <v>3.5937292099999998</v>
      </c>
      <c r="N3827">
        <v>3.5939188332982202</v>
      </c>
      <c r="O3827" s="1">
        <v>4.9383319828253498E-8</v>
      </c>
      <c r="P3827" s="2">
        <f t="shared" si="115"/>
        <v>0.72812025098801714</v>
      </c>
    </row>
    <row r="3828" spans="13:16" x14ac:dyDescent="0.25">
      <c r="M3828">
        <v>4.1967121949999999</v>
      </c>
      <c r="N3828">
        <v>4.1964453500627599</v>
      </c>
      <c r="O3828" s="1">
        <v>6.6101146619105795E-8</v>
      </c>
      <c r="P3828" s="2">
        <f t="shared" si="115"/>
        <v>1.0772312459412883</v>
      </c>
    </row>
    <row r="3829" spans="13:16" x14ac:dyDescent="0.25">
      <c r="M3829">
        <v>8.8143026899999999</v>
      </c>
      <c r="N3829">
        <v>8.8161911091004495</v>
      </c>
      <c r="O3829" s="1">
        <v>2.4282882093628001E-7</v>
      </c>
      <c r="P3829" s="2">
        <f t="shared" si="115"/>
        <v>14.685763762278164</v>
      </c>
    </row>
    <row r="3830" spans="13:16" x14ac:dyDescent="0.25">
      <c r="M3830">
        <v>3.593099</v>
      </c>
      <c r="N3830">
        <v>3.59406800878764</v>
      </c>
      <c r="O3830" s="1">
        <v>3.9586439556784699E-8</v>
      </c>
      <c r="P3830" s="2">
        <f t="shared" si="115"/>
        <v>23.719688889336055</v>
      </c>
    </row>
    <row r="3831" spans="13:16" x14ac:dyDescent="0.25">
      <c r="M3831">
        <v>4.1955837850000002</v>
      </c>
      <c r="N3831">
        <v>4.1965429420226199</v>
      </c>
      <c r="O3831" s="1">
        <v>5.1732193200829799E-8</v>
      </c>
      <c r="P3831" s="2">
        <f t="shared" si="115"/>
        <v>17.783552892669242</v>
      </c>
    </row>
    <row r="3832" spans="13:16" x14ac:dyDescent="0.25">
      <c r="M3832">
        <v>8.8160808399999997</v>
      </c>
      <c r="N3832">
        <v>8.8165010386274503</v>
      </c>
      <c r="O3832" s="1">
        <v>1.1283322539609201E-7</v>
      </c>
      <c r="P3832" s="2">
        <f t="shared" si="115"/>
        <v>1.5648483493361336</v>
      </c>
    </row>
    <row r="3833" spans="13:16" x14ac:dyDescent="0.25">
      <c r="M3833">
        <v>3.5938652750000002</v>
      </c>
      <c r="N3833">
        <v>3.5941523530830199</v>
      </c>
      <c r="O3833" s="1">
        <v>3.33791835387803E-8</v>
      </c>
      <c r="P3833" s="2">
        <f t="shared" si="115"/>
        <v>2.469018622176526</v>
      </c>
    </row>
    <row r="3834" spans="13:16" x14ac:dyDescent="0.25">
      <c r="M3834">
        <v>4.1963994299999996</v>
      </c>
      <c r="N3834">
        <v>4.19659812003838</v>
      </c>
      <c r="O3834" s="1">
        <v>3.0785027484764102E-8</v>
      </c>
      <c r="P3834" s="2">
        <f t="shared" si="115"/>
        <v>1.2823679098914331</v>
      </c>
    </row>
    <row r="3835" spans="13:16" x14ac:dyDescent="0.25">
      <c r="M3835">
        <v>8.8170880050000005</v>
      </c>
      <c r="N3835">
        <v>8.8175586538776294</v>
      </c>
      <c r="O3835" s="1">
        <v>1.2120213775489101E-7</v>
      </c>
      <c r="P3835" s="2">
        <f t="shared" si="115"/>
        <v>1.8276110480933698</v>
      </c>
    </row>
    <row r="3836" spans="13:16" x14ac:dyDescent="0.25">
      <c r="M3836">
        <v>3.5939244050000001</v>
      </c>
      <c r="N3836">
        <v>3.5944401653289302</v>
      </c>
      <c r="O3836" s="1">
        <v>2.5441986729917499E-8</v>
      </c>
      <c r="P3836" s="2">
        <f t="shared" si="115"/>
        <v>10.455500968611997</v>
      </c>
    </row>
    <row r="3837" spans="13:16" x14ac:dyDescent="0.25">
      <c r="M3837">
        <v>4.1967075349999998</v>
      </c>
      <c r="N3837">
        <v>4.1967864024473496</v>
      </c>
      <c r="O3837" s="1">
        <v>3.8801272979227498E-8</v>
      </c>
      <c r="P3837" s="2">
        <f t="shared" si="115"/>
        <v>0.16030593261194478</v>
      </c>
    </row>
    <row r="3838" spans="13:16" x14ac:dyDescent="0.25">
      <c r="M3838">
        <v>8.8153065799999997</v>
      </c>
      <c r="N3838">
        <v>8.8166442584526497</v>
      </c>
      <c r="O3838" s="1">
        <v>1.4235212529639899E-7</v>
      </c>
      <c r="P3838" s="2">
        <f t="shared" si="115"/>
        <v>12.570122426751817</v>
      </c>
    </row>
    <row r="3839" spans="13:16" x14ac:dyDescent="0.25">
      <c r="M3839">
        <v>3.5933572850000002</v>
      </c>
      <c r="N3839">
        <v>3.5941913286274101</v>
      </c>
      <c r="O3839" s="1">
        <v>3.2062155029084702E-8</v>
      </c>
      <c r="P3839" s="2">
        <f t="shared" si="115"/>
        <v>21.696257528293053</v>
      </c>
    </row>
    <row r="3840" spans="13:16" x14ac:dyDescent="0.25">
      <c r="M3840">
        <v>4.1958505949999996</v>
      </c>
      <c r="N3840">
        <v>4.1966236176368801</v>
      </c>
      <c r="O3840" s="1">
        <v>3.8321924015233E-8</v>
      </c>
      <c r="P3840" s="2">
        <f t="shared" si="115"/>
        <v>15.593267104547168</v>
      </c>
    </row>
    <row r="3841" spans="13:16" x14ac:dyDescent="0.25">
      <c r="M3841">
        <v>0.84012826962751097</v>
      </c>
      <c r="N3841">
        <v>0.84013941324002706</v>
      </c>
      <c r="O3841" s="1">
        <v>7.4482497610022999E-10</v>
      </c>
      <c r="P3841" s="2">
        <f t="shared" si="115"/>
        <v>0.16672386653683807</v>
      </c>
    </row>
    <row r="3842" spans="13:16" x14ac:dyDescent="0.25">
      <c r="M3842">
        <v>0.99502742049608295</v>
      </c>
      <c r="N3842">
        <v>0.995040239205357</v>
      </c>
      <c r="O3842" s="1">
        <v>8.5830960632470701E-10</v>
      </c>
      <c r="P3842" s="2">
        <f t="shared" si="115"/>
        <v>0.19144526199157164</v>
      </c>
    </row>
    <row r="3843" spans="13:16" x14ac:dyDescent="0.25">
      <c r="M3843">
        <v>0.84011609382460395</v>
      </c>
      <c r="N3843">
        <v>0.84011661667955495</v>
      </c>
      <c r="O3843" s="1">
        <v>7.3277597064957301E-10</v>
      </c>
      <c r="P3843" s="2">
        <f t="shared" ref="P3843:P3874" si="116">(M3843-N3843)^2/O3843</f>
        <v>3.7307077570329709E-4</v>
      </c>
    </row>
    <row r="3844" spans="13:16" x14ac:dyDescent="0.25">
      <c r="M3844">
        <v>0.99505775690028497</v>
      </c>
      <c r="N3844">
        <v>0.99505842945249001</v>
      </c>
      <c r="O3844" s="1">
        <v>9.938890997053261E-10</v>
      </c>
      <c r="P3844" s="2">
        <f t="shared" si="116"/>
        <v>4.5510758558140623E-4</v>
      </c>
    </row>
    <row r="3845" spans="13:16" x14ac:dyDescent="0.25">
      <c r="M3845">
        <v>0.840155022814153</v>
      </c>
      <c r="N3845">
        <v>0.84009477940211996</v>
      </c>
      <c r="O3845" s="1">
        <v>7.95443049180299E-10</v>
      </c>
      <c r="P3845" s="2">
        <f t="shared" si="116"/>
        <v>4.5625751549678828</v>
      </c>
    </row>
    <row r="3846" spans="13:16" x14ac:dyDescent="0.25">
      <c r="M3846">
        <v>0.995163931854114</v>
      </c>
      <c r="N3846">
        <v>0.99507585502574303</v>
      </c>
      <c r="O3846" s="1">
        <v>1.3621428139198E-9</v>
      </c>
      <c r="P3846" s="2">
        <f t="shared" si="116"/>
        <v>5.6950913051228751</v>
      </c>
    </row>
    <row r="3847" spans="13:16" x14ac:dyDescent="0.25">
      <c r="M3847">
        <v>0.84008332676668396</v>
      </c>
      <c r="N3847">
        <v>0.84007056662536295</v>
      </c>
      <c r="O3847" s="1">
        <v>1.0714977064189699E-9</v>
      </c>
      <c r="P3847" s="2">
        <f t="shared" si="116"/>
        <v>0.15195665427631541</v>
      </c>
    </row>
    <row r="3848" spans="13:16" x14ac:dyDescent="0.25">
      <c r="M3848">
        <v>0.99511193151814503</v>
      </c>
      <c r="N3848">
        <v>0.995095177071329</v>
      </c>
      <c r="O3848" s="1">
        <v>1.6107539727203801E-9</v>
      </c>
      <c r="P3848" s="2">
        <f t="shared" si="116"/>
        <v>0.17427334829868529</v>
      </c>
    </row>
    <row r="3849" spans="13:16" x14ac:dyDescent="0.25">
      <c r="M3849">
        <v>0.84008827516889795</v>
      </c>
      <c r="N3849">
        <v>0.84007348260228698</v>
      </c>
      <c r="O3849" s="1">
        <v>9.2692905748378996E-10</v>
      </c>
      <c r="P3849" s="2">
        <f t="shared" si="116"/>
        <v>0.23606987522202547</v>
      </c>
    </row>
    <row r="3850" spans="13:16" x14ac:dyDescent="0.25">
      <c r="M3850">
        <v>0.99511326493737295</v>
      </c>
      <c r="N3850">
        <v>0.99509285004230097</v>
      </c>
      <c r="O3850" s="1">
        <v>1.42545865994866E-9</v>
      </c>
      <c r="P3850" s="2">
        <f t="shared" si="116"/>
        <v>0.29237462475072634</v>
      </c>
    </row>
    <row r="3851" spans="13:16" x14ac:dyDescent="0.25">
      <c r="M3851">
        <v>0.84011867994432199</v>
      </c>
      <c r="N3851">
        <v>0.84007340622367599</v>
      </c>
      <c r="O3851" s="1">
        <v>8.1625396810271005E-10</v>
      </c>
      <c r="P3851" s="2">
        <f t="shared" si="116"/>
        <v>2.511117692813591</v>
      </c>
    </row>
    <row r="3852" spans="13:16" x14ac:dyDescent="0.25">
      <c r="M3852">
        <v>0.99513907328201401</v>
      </c>
      <c r="N3852">
        <v>0.99509291099434105</v>
      </c>
      <c r="O3852" s="1">
        <v>7.7123961420116796E-10</v>
      </c>
      <c r="P3852" s="2">
        <f t="shared" si="116"/>
        <v>2.7630282002669926</v>
      </c>
    </row>
    <row r="3853" spans="13:16" x14ac:dyDescent="0.25">
      <c r="M3853">
        <v>0.840026202319474</v>
      </c>
      <c r="N3853">
        <v>0.83999632977676297</v>
      </c>
      <c r="O3853" s="1">
        <v>8.2830494995822298E-10</v>
      </c>
      <c r="P3853" s="2">
        <f t="shared" si="116"/>
        <v>1.0773433239379622</v>
      </c>
    </row>
    <row r="3854" spans="13:16" x14ac:dyDescent="0.25">
      <c r="M3854">
        <v>0.99519859623650497</v>
      </c>
      <c r="N3854">
        <v>0.99515442465263704</v>
      </c>
      <c r="O3854" s="1">
        <v>1.49697370328816E-9</v>
      </c>
      <c r="P3854" s="2">
        <f t="shared" si="116"/>
        <v>1.3033821617015395</v>
      </c>
    </row>
    <row r="3855" spans="13:16" x14ac:dyDescent="0.25">
      <c r="M3855">
        <v>0.83998120399579701</v>
      </c>
      <c r="N3855">
        <v>0.83997546249718802</v>
      </c>
      <c r="O3855" s="1">
        <v>5.3650929164367197E-10</v>
      </c>
      <c r="P3855" s="2">
        <f t="shared" si="116"/>
        <v>6.1443122776220757E-2</v>
      </c>
    </row>
    <row r="3856" spans="13:16" x14ac:dyDescent="0.25">
      <c r="M3856">
        <v>0.99518042139322305</v>
      </c>
      <c r="N3856">
        <v>0.99517108016818301</v>
      </c>
      <c r="O3856" s="1">
        <v>1.1131032783154901E-9</v>
      </c>
      <c r="P3856" s="2">
        <f t="shared" si="116"/>
        <v>7.8392083599546108E-2</v>
      </c>
    </row>
    <row r="3857" spans="13:16" x14ac:dyDescent="0.25">
      <c r="M3857">
        <v>0.83999555066279996</v>
      </c>
      <c r="N3857">
        <v>0.83997365640269595</v>
      </c>
      <c r="O3857" s="1">
        <v>6.5503740657270502E-10</v>
      </c>
      <c r="P3857" s="2">
        <f t="shared" si="116"/>
        <v>0.73180343701349959</v>
      </c>
    </row>
    <row r="3858" spans="13:16" x14ac:dyDescent="0.25">
      <c r="M3858">
        <v>0.99521051635807201</v>
      </c>
      <c r="N3858">
        <v>0.99517252176071602</v>
      </c>
      <c r="O3858" s="1">
        <v>1.5742650616740999E-9</v>
      </c>
      <c r="P3858" s="2">
        <f t="shared" si="116"/>
        <v>0.91699261032203971</v>
      </c>
    </row>
    <row r="3859" spans="13:16" x14ac:dyDescent="0.25">
      <c r="M3859">
        <v>0.83997581158823498</v>
      </c>
      <c r="N3859">
        <v>0.83992219878838004</v>
      </c>
      <c r="O3859" s="1">
        <v>5.8638910541041303E-10</v>
      </c>
      <c r="P3859" s="2">
        <f t="shared" si="116"/>
        <v>4.9017491658106263</v>
      </c>
    </row>
    <row r="3860" spans="13:16" x14ac:dyDescent="0.25">
      <c r="M3860">
        <v>0.99528181781598102</v>
      </c>
      <c r="N3860">
        <v>0.99521359649381202</v>
      </c>
      <c r="O3860" s="1">
        <v>7.8850144147191498E-10</v>
      </c>
      <c r="P3860" s="2">
        <f t="shared" si="116"/>
        <v>5.9025241473212011</v>
      </c>
    </row>
    <row r="3861" spans="13:16" x14ac:dyDescent="0.25">
      <c r="M3861">
        <v>0.83994149767344095</v>
      </c>
      <c r="N3861">
        <v>0.83990816895554898</v>
      </c>
      <c r="O3861" s="1">
        <v>5.6407890564989902E-10</v>
      </c>
      <c r="P3861" s="2">
        <f t="shared" si="116"/>
        <v>1.96923413585646</v>
      </c>
    </row>
    <row r="3862" spans="13:16" x14ac:dyDescent="0.25">
      <c r="M3862">
        <v>0.99526482514245695</v>
      </c>
      <c r="N3862">
        <v>0.99522479618209203</v>
      </c>
      <c r="O3862" s="1">
        <v>7.1691741500771502E-10</v>
      </c>
      <c r="P3862" s="2">
        <f t="shared" si="116"/>
        <v>2.2350101062608614</v>
      </c>
    </row>
    <row r="3863" spans="13:16" x14ac:dyDescent="0.25">
      <c r="M3863">
        <v>0.83990982223146904</v>
      </c>
      <c r="N3863">
        <v>0.83989307409359404</v>
      </c>
      <c r="O3863" s="1">
        <v>5.9040481318469899E-10</v>
      </c>
      <c r="P3863" s="2">
        <f t="shared" si="116"/>
        <v>0.47509795993526516</v>
      </c>
    </row>
    <row r="3864" spans="13:16" x14ac:dyDescent="0.25">
      <c r="M3864">
        <v>0.99525845698654603</v>
      </c>
      <c r="N3864">
        <v>0.99523684640795695</v>
      </c>
      <c r="O3864" s="1">
        <v>8.7201287005720495E-10</v>
      </c>
      <c r="P3864" s="2">
        <f t="shared" si="116"/>
        <v>0.53556217229198433</v>
      </c>
    </row>
    <row r="3865" spans="13:16" x14ac:dyDescent="0.25">
      <c r="M3865">
        <v>0.83991054650069297</v>
      </c>
      <c r="N3865">
        <v>0.839878397588395</v>
      </c>
      <c r="O3865" s="1">
        <v>6.05328658819826E-10</v>
      </c>
      <c r="P3865" s="2">
        <f t="shared" si="116"/>
        <v>1.7074238050409845</v>
      </c>
    </row>
    <row r="3866" spans="13:16" x14ac:dyDescent="0.25">
      <c r="M3866">
        <v>0.99528753917563595</v>
      </c>
      <c r="N3866">
        <v>0.99524856300724096</v>
      </c>
      <c r="O3866" s="1">
        <v>7.8134967526257897E-10</v>
      </c>
      <c r="P3866" s="2">
        <f t="shared" si="116"/>
        <v>1.9442533232563026</v>
      </c>
    </row>
    <row r="3867" spans="13:16" x14ac:dyDescent="0.25">
      <c r="M3867">
        <v>0.83991019399918898</v>
      </c>
      <c r="N3867">
        <v>0.83991484880148204</v>
      </c>
      <c r="O3867" s="1">
        <v>7.7952147280151902E-10</v>
      </c>
      <c r="P3867" s="2">
        <f t="shared" si="116"/>
        <v>2.7795493958094285E-2</v>
      </c>
    </row>
    <row r="3868" spans="13:16" x14ac:dyDescent="0.25">
      <c r="M3868">
        <v>0.99521387335086098</v>
      </c>
      <c r="N3868">
        <v>0.99521946377785198</v>
      </c>
      <c r="O3868" s="1">
        <v>1.03714723757199E-9</v>
      </c>
      <c r="P3868" s="2">
        <f t="shared" si="116"/>
        <v>3.0133497742174008E-2</v>
      </c>
    </row>
    <row r="3869" spans="13:16" x14ac:dyDescent="0.25">
      <c r="M3869">
        <v>0.839833859919068</v>
      </c>
      <c r="N3869">
        <v>0.83983684561562999</v>
      </c>
      <c r="O3869" s="1">
        <v>9.0184359059670403E-10</v>
      </c>
      <c r="P3869" s="2">
        <f t="shared" si="116"/>
        <v>9.8846230690122338E-3</v>
      </c>
    </row>
    <row r="3870" spans="13:16" x14ac:dyDescent="0.25">
      <c r="M3870">
        <v>0.99527829092985798</v>
      </c>
      <c r="N3870">
        <v>0.99528173678294896</v>
      </c>
      <c r="O3870" s="1">
        <v>1.10192745565245E-9</v>
      </c>
      <c r="P3870" s="2">
        <f t="shared" si="116"/>
        <v>1.0775576435355323E-2</v>
      </c>
    </row>
    <row r="3871" spans="13:16" x14ac:dyDescent="0.25">
      <c r="M3871">
        <v>0.83985426605076496</v>
      </c>
      <c r="N3871">
        <v>0.83984540722941703</v>
      </c>
      <c r="O3871" s="1">
        <v>6.5362359529754902E-10</v>
      </c>
      <c r="P3871" s="2">
        <f t="shared" si="116"/>
        <v>0.12006713992461626</v>
      </c>
    </row>
    <row r="3872" spans="13:16" x14ac:dyDescent="0.25">
      <c r="M3872">
        <v>0.99528565474152497</v>
      </c>
      <c r="N3872">
        <v>0.99527490123765205</v>
      </c>
      <c r="O3872" s="1">
        <v>8.4552505087501797E-10</v>
      </c>
      <c r="P3872" s="2">
        <f t="shared" si="116"/>
        <v>0.13676454106852032</v>
      </c>
    </row>
    <row r="3873" spans="13:16" x14ac:dyDescent="0.25">
      <c r="M3873">
        <v>0.83988375693138195</v>
      </c>
      <c r="N3873">
        <v>0.83984611142006105</v>
      </c>
      <c r="O3873" s="1">
        <v>8.1354571534639004E-10</v>
      </c>
      <c r="P3873" s="2">
        <f t="shared" si="116"/>
        <v>1.7419851102147195</v>
      </c>
    </row>
    <row r="3874" spans="13:16" x14ac:dyDescent="0.25">
      <c r="M3874">
        <v>0.995310987225004</v>
      </c>
      <c r="N3874">
        <v>0.995274339020911</v>
      </c>
      <c r="O3874" s="1">
        <v>7.42782828533906E-10</v>
      </c>
      <c r="P3874" s="2">
        <f t="shared" si="116"/>
        <v>1.8081878197058261</v>
      </c>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1" zoomScaleNormal="100" zoomScalePageLayoutView="125" workbookViewId="0">
      <selection activeCell="E31" sqref="E31"/>
    </sheetView>
  </sheetViews>
  <sheetFormatPr defaultColWidth="11" defaultRowHeight="15.75" x14ac:dyDescent="0.25"/>
  <sheetData>
    <row r="1" spans="1:5" x14ac:dyDescent="0.25">
      <c r="B1" t="s">
        <v>15</v>
      </c>
      <c r="C1" t="s">
        <v>13</v>
      </c>
      <c r="D1" t="s">
        <v>14</v>
      </c>
      <c r="E1" t="s">
        <v>12</v>
      </c>
    </row>
    <row r="2" spans="1:5" x14ac:dyDescent="0.25">
      <c r="A2" t="s">
        <v>20</v>
      </c>
      <c r="B2" t="s">
        <v>16</v>
      </c>
      <c r="C2" s="1">
        <v>8.97309845570583E-5</v>
      </c>
      <c r="D2" s="6">
        <v>1.83740315747712E-5</v>
      </c>
      <c r="E2" s="1"/>
    </row>
    <row r="3" spans="1:5" x14ac:dyDescent="0.25">
      <c r="B3" t="s">
        <v>17</v>
      </c>
      <c r="C3">
        <v>3.8307456351070702E-4</v>
      </c>
      <c r="D3" s="6">
        <v>3.4434401976574E-4</v>
      </c>
      <c r="E3" s="1"/>
    </row>
    <row r="4" spans="1:5" x14ac:dyDescent="0.25">
      <c r="B4" t="s">
        <v>18</v>
      </c>
      <c r="C4">
        <v>2.9137676628996799E-4</v>
      </c>
      <c r="D4" s="6">
        <v>2.8652003642351499E-4</v>
      </c>
      <c r="E4" s="1"/>
    </row>
    <row r="5" spans="1:5" x14ac:dyDescent="0.25">
      <c r="B5" t="s">
        <v>19</v>
      </c>
      <c r="C5">
        <v>7.32466884417166E-4</v>
      </c>
      <c r="D5" s="6">
        <v>7.1165414381015003E-4</v>
      </c>
      <c r="E5" s="1"/>
    </row>
    <row r="6" spans="1:5" x14ac:dyDescent="0.25">
      <c r="A6" t="s">
        <v>21</v>
      </c>
      <c r="B6" t="s">
        <v>16</v>
      </c>
      <c r="C6">
        <v>1.0529586047890401E-4</v>
      </c>
      <c r="D6" s="6">
        <v>1.8745529850475399E-5</v>
      </c>
      <c r="E6" s="1"/>
    </row>
    <row r="7" spans="1:5" x14ac:dyDescent="0.25">
      <c r="B7" t="s">
        <v>17</v>
      </c>
      <c r="C7">
        <v>4.8799602214304497E-4</v>
      </c>
      <c r="D7" s="6">
        <v>3.4004212927503402E-4</v>
      </c>
      <c r="E7" s="1"/>
    </row>
    <row r="8" spans="1:5" x14ac:dyDescent="0.25">
      <c r="B8" t="s">
        <v>18</v>
      </c>
      <c r="C8">
        <v>4.3695471921287798E-4</v>
      </c>
      <c r="D8" s="6">
        <v>2.8182415846192199E-4</v>
      </c>
      <c r="E8" s="1"/>
    </row>
    <row r="9" spans="1:5" x14ac:dyDescent="0.25">
      <c r="B9" t="s">
        <v>19</v>
      </c>
      <c r="C9">
        <v>1.0535737624485001E-3</v>
      </c>
      <c r="D9" s="6">
        <v>6.8494804530709196E-4</v>
      </c>
      <c r="E9" s="1"/>
    </row>
    <row r="10" spans="1:5" x14ac:dyDescent="0.25">
      <c r="A10" t="s">
        <v>22</v>
      </c>
      <c r="B10" t="s">
        <v>23</v>
      </c>
      <c r="C10">
        <v>491.54851977814297</v>
      </c>
      <c r="D10" s="6">
        <v>8.5119747216958502E-2</v>
      </c>
      <c r="E10" s="5">
        <f t="shared" ref="E10:E29" si="0">D10/C10*10^6</f>
        <v>173.16652129351689</v>
      </c>
    </row>
    <row r="11" spans="1:5" x14ac:dyDescent="0.25">
      <c r="A11" t="s">
        <v>24</v>
      </c>
      <c r="B11" t="s">
        <v>23</v>
      </c>
      <c r="C11">
        <v>137.841201969531</v>
      </c>
      <c r="D11" s="6">
        <v>2.35590068866409E-2</v>
      </c>
      <c r="E11" s="5">
        <f t="shared" si="0"/>
        <v>170.91411384999734</v>
      </c>
    </row>
    <row r="12" spans="1:5" x14ac:dyDescent="0.25">
      <c r="A12" t="s">
        <v>20</v>
      </c>
      <c r="B12" t="s">
        <v>25</v>
      </c>
      <c r="C12">
        <v>0.99506179731383804</v>
      </c>
      <c r="D12" s="6">
        <v>1.0749503851026E-4</v>
      </c>
      <c r="E12" s="5">
        <f t="shared" si="0"/>
        <v>108.02850516464612</v>
      </c>
    </row>
    <row r="13" spans="1:5" x14ac:dyDescent="0.25">
      <c r="B13" t="s">
        <v>23</v>
      </c>
      <c r="C13">
        <v>3.0799283913299199E-3</v>
      </c>
      <c r="D13" s="6">
        <v>7.9544357908008098E-7</v>
      </c>
      <c r="E13" s="5">
        <f t="shared" si="0"/>
        <v>258.26690689279525</v>
      </c>
    </row>
    <row r="14" spans="1:5" x14ac:dyDescent="0.25">
      <c r="A14" t="s">
        <v>26</v>
      </c>
      <c r="B14" t="s">
        <v>29</v>
      </c>
      <c r="C14">
        <v>5.9007342981267703E-2</v>
      </c>
      <c r="D14" s="6">
        <v>2.1848328577436199E-5</v>
      </c>
      <c r="E14" s="5">
        <f t="shared" si="0"/>
        <v>370.26457172240589</v>
      </c>
    </row>
    <row r="15" spans="1:5" x14ac:dyDescent="0.25">
      <c r="B15" t="s">
        <v>30</v>
      </c>
      <c r="C15">
        <v>0.91468284422490498</v>
      </c>
      <c r="D15" s="6">
        <v>1.45316253343172E-4</v>
      </c>
      <c r="E15" s="5">
        <f t="shared" si="0"/>
        <v>158.87064490239985</v>
      </c>
    </row>
    <row r="16" spans="1:5" x14ac:dyDescent="0.25">
      <c r="B16" t="s">
        <v>31</v>
      </c>
      <c r="C16">
        <v>2.1680996690596799</v>
      </c>
      <c r="D16" s="6">
        <v>7.8779025404809996E-4</v>
      </c>
      <c r="E16" s="5">
        <f t="shared" si="0"/>
        <v>363.35518393846263</v>
      </c>
    </row>
    <row r="17" spans="1:5" x14ac:dyDescent="0.25">
      <c r="A17" t="s">
        <v>27</v>
      </c>
      <c r="B17" t="s">
        <v>29</v>
      </c>
      <c r="C17">
        <v>2.7205848126947301E-2</v>
      </c>
      <c r="D17" s="6">
        <v>1.02017340648871E-5</v>
      </c>
      <c r="E17" s="5">
        <f t="shared" si="0"/>
        <v>374.98312926264987</v>
      </c>
    </row>
    <row r="18" spans="1:5" x14ac:dyDescent="0.25">
      <c r="B18" t="s">
        <v>30</v>
      </c>
      <c r="C18">
        <v>0.46696701566451498</v>
      </c>
      <c r="D18" s="6">
        <v>8.1635642502342996E-5</v>
      </c>
      <c r="E18" s="5">
        <f t="shared" si="0"/>
        <v>174.82100397641966</v>
      </c>
    </row>
    <row r="19" spans="1:5" x14ac:dyDescent="0.25">
      <c r="B19" t="s">
        <v>31</v>
      </c>
      <c r="C19">
        <v>1.0002496085489001</v>
      </c>
      <c r="D19" s="6">
        <v>3.8028743987336499E-4</v>
      </c>
      <c r="E19" s="5">
        <f t="shared" si="0"/>
        <v>380.19254056501194</v>
      </c>
    </row>
    <row r="20" spans="1:5" x14ac:dyDescent="0.25">
      <c r="A20" t="s">
        <v>28</v>
      </c>
      <c r="B20" t="s">
        <v>29</v>
      </c>
      <c r="C20">
        <v>5.48860080719294E-2</v>
      </c>
      <c r="D20" s="6">
        <v>2.0939470247175801E-5</v>
      </c>
      <c r="E20" s="5">
        <f t="shared" si="0"/>
        <v>381.50834762357164</v>
      </c>
    </row>
    <row r="21" spans="1:5" x14ac:dyDescent="0.25">
      <c r="B21" t="s">
        <v>30</v>
      </c>
      <c r="C21">
        <v>0.85672017893300401</v>
      </c>
      <c r="D21" s="6">
        <v>1.4748012225128499E-4</v>
      </c>
      <c r="E21" s="5">
        <f t="shared" si="0"/>
        <v>172.14503157257604</v>
      </c>
    </row>
    <row r="22" spans="1:5" x14ac:dyDescent="0.25">
      <c r="B22" t="s">
        <v>31</v>
      </c>
      <c r="C22">
        <v>2.1022726577570401</v>
      </c>
      <c r="D22" s="6">
        <v>7.8200190799312497E-4</v>
      </c>
      <c r="E22" s="5">
        <f t="shared" si="0"/>
        <v>371.97929826450752</v>
      </c>
    </row>
    <row r="23" spans="1:5" x14ac:dyDescent="0.25">
      <c r="A23" t="s">
        <v>32</v>
      </c>
      <c r="B23" t="s">
        <v>35</v>
      </c>
      <c r="C23">
        <v>1.6716898190592799E-2</v>
      </c>
      <c r="D23" s="6">
        <v>3.85511474378974E-6</v>
      </c>
      <c r="E23" s="5">
        <f t="shared" si="0"/>
        <v>230.61184556110726</v>
      </c>
    </row>
    <row r="24" spans="1:5" x14ac:dyDescent="0.25">
      <c r="A24" t="s">
        <v>33</v>
      </c>
      <c r="B24" t="s">
        <v>35</v>
      </c>
      <c r="C24">
        <v>9.4040433935873802E-2</v>
      </c>
      <c r="D24" s="6">
        <v>1.8033135415751801E-5</v>
      </c>
      <c r="E24" s="5">
        <f t="shared" si="0"/>
        <v>191.75938116202869</v>
      </c>
    </row>
    <row r="25" spans="1:5" x14ac:dyDescent="0.25">
      <c r="A25" t="s">
        <v>34</v>
      </c>
      <c r="B25" t="s">
        <v>35</v>
      </c>
      <c r="C25">
        <v>4.9815379013243802E-2</v>
      </c>
      <c r="D25" s="6">
        <v>1.1743196296371801E-5</v>
      </c>
      <c r="E25" s="5">
        <f t="shared" si="0"/>
        <v>235.73435611620624</v>
      </c>
    </row>
    <row r="26" spans="1:5" x14ac:dyDescent="0.25">
      <c r="A26" t="s">
        <v>21</v>
      </c>
      <c r="B26" t="s">
        <v>36</v>
      </c>
      <c r="C26">
        <v>0.99923702440724005</v>
      </c>
      <c r="D26" s="6">
        <v>5.3077184834809596E-4</v>
      </c>
      <c r="E26" s="5">
        <f t="shared" si="0"/>
        <v>531.17712352878084</v>
      </c>
    </row>
    <row r="27" spans="1:5" x14ac:dyDescent="0.25">
      <c r="A27" t="s">
        <v>37</v>
      </c>
      <c r="B27" t="s">
        <v>38</v>
      </c>
      <c r="C27">
        <v>100.23258614597199</v>
      </c>
      <c r="D27" s="6">
        <v>4.6580160607714097E-2</v>
      </c>
      <c r="E27" s="5">
        <f t="shared" si="0"/>
        <v>464.72073004160427</v>
      </c>
    </row>
    <row r="29" spans="1:5" x14ac:dyDescent="0.25">
      <c r="C29" s="1">
        <v>252856244.08425301</v>
      </c>
      <c r="D29" s="1">
        <v>69338.050191892296</v>
      </c>
      <c r="E29" s="5">
        <f t="shared" si="0"/>
        <v>274.2192522989011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0"/>
  <sheetViews>
    <sheetView zoomScale="125" zoomScaleNormal="125" zoomScalePageLayoutView="125" workbookViewId="0">
      <selection activeCell="P17" sqref="P17"/>
    </sheetView>
  </sheetViews>
  <sheetFormatPr defaultColWidth="11" defaultRowHeight="15.75" x14ac:dyDescent="0.25"/>
  <cols>
    <col min="2" max="2" width="19.5" bestFit="1" customWidth="1"/>
    <col min="3" max="3" width="13.875" bestFit="1" customWidth="1"/>
    <col min="7" max="7" width="13.875" bestFit="1" customWidth="1"/>
    <col min="10" max="13" width="17.125" bestFit="1" customWidth="1"/>
    <col min="14" max="16" width="13.375" bestFit="1" customWidth="1"/>
    <col min="17" max="18" width="17.125" bestFit="1" customWidth="1"/>
    <col min="19" max="19" width="13.375" bestFit="1" customWidth="1"/>
    <col min="20" max="20" width="13.375" customWidth="1"/>
  </cols>
  <sheetData>
    <row r="1" spans="2:20" x14ac:dyDescent="0.25">
      <c r="B1" t="s">
        <v>39</v>
      </c>
    </row>
    <row r="2" spans="2:20" x14ac:dyDescent="0.25">
      <c r="H2" s="105" t="s">
        <v>66</v>
      </c>
      <c r="I2" s="105"/>
      <c r="J2" s="106" t="s">
        <v>73</v>
      </c>
      <c r="K2" s="106"/>
      <c r="L2" s="106"/>
      <c r="M2" s="106"/>
      <c r="O2" t="s">
        <v>78</v>
      </c>
      <c r="Q2" s="106" t="s">
        <v>73</v>
      </c>
      <c r="R2" s="106"/>
      <c r="S2" s="106"/>
      <c r="T2" s="106"/>
    </row>
    <row r="3" spans="2:20" ht="15" customHeight="1" x14ac:dyDescent="0.25">
      <c r="B3" t="s">
        <v>40</v>
      </c>
      <c r="C3" t="s">
        <v>41</v>
      </c>
      <c r="E3" t="s">
        <v>42</v>
      </c>
      <c r="H3" s="105"/>
      <c r="I3" s="105"/>
      <c r="J3" t="s">
        <v>49</v>
      </c>
      <c r="K3" t="s">
        <v>50</v>
      </c>
      <c r="L3" t="s">
        <v>51</v>
      </c>
      <c r="M3" t="s">
        <v>52</v>
      </c>
      <c r="Q3" t="s">
        <v>49</v>
      </c>
      <c r="R3" t="s">
        <v>50</v>
      </c>
      <c r="S3" t="s">
        <v>51</v>
      </c>
      <c r="T3" t="s">
        <v>52</v>
      </c>
    </row>
    <row r="4" spans="2:20" x14ac:dyDescent="0.25">
      <c r="B4" s="7">
        <v>0.9950621757</v>
      </c>
      <c r="C4" s="6">
        <v>100.232904412124</v>
      </c>
      <c r="E4">
        <f>(C5-C4)/(B5-B4)</f>
        <v>154.99418058765488</v>
      </c>
      <c r="G4" s="13"/>
      <c r="H4" t="s">
        <v>67</v>
      </c>
      <c r="I4" t="s">
        <v>23</v>
      </c>
      <c r="J4" s="15">
        <v>-1.019579663670948</v>
      </c>
      <c r="K4" s="14">
        <v>2.3910777804362002E-3</v>
      </c>
      <c r="L4" s="14">
        <v>0.8392991518080356</v>
      </c>
      <c r="M4" s="14">
        <v>-0.84015693002147118</v>
      </c>
      <c r="O4" s="107" t="s">
        <v>73</v>
      </c>
      <c r="P4" t="s">
        <v>49</v>
      </c>
      <c r="Q4" s="24">
        <v>6.4000000000000002E-9</v>
      </c>
      <c r="R4" s="25">
        <v>0</v>
      </c>
      <c r="S4" s="25">
        <v>0</v>
      </c>
      <c r="T4" s="26">
        <v>0</v>
      </c>
    </row>
    <row r="5" spans="2:20" ht="15" customHeight="1" x14ac:dyDescent="0.25">
      <c r="B5" s="7">
        <v>0.99506119999999998</v>
      </c>
      <c r="C5">
        <v>100.232753184302</v>
      </c>
      <c r="H5" t="s">
        <v>68</v>
      </c>
      <c r="I5" t="s">
        <v>23</v>
      </c>
      <c r="J5" s="16">
        <v>-135.28723643286665</v>
      </c>
      <c r="K5" s="11">
        <v>0</v>
      </c>
      <c r="L5" s="11">
        <v>434.4940799417364</v>
      </c>
      <c r="M5" s="11">
        <v>-3.1521123468698766</v>
      </c>
      <c r="O5" s="107"/>
      <c r="P5" t="s">
        <v>50</v>
      </c>
      <c r="Q5" s="27">
        <v>0</v>
      </c>
      <c r="R5" s="18">
        <v>5.7600000000000002E-14</v>
      </c>
      <c r="S5" s="17">
        <v>0</v>
      </c>
      <c r="T5" s="28">
        <v>0</v>
      </c>
    </row>
    <row r="6" spans="2:20" x14ac:dyDescent="0.25">
      <c r="B6" s="7"/>
      <c r="H6" t="s">
        <v>69</v>
      </c>
      <c r="I6" t="s">
        <v>23</v>
      </c>
      <c r="J6" s="16">
        <v>-482.6548415151932</v>
      </c>
      <c r="K6" s="11">
        <v>0</v>
      </c>
      <c r="L6" s="11">
        <v>1656.1170440875153</v>
      </c>
      <c r="M6" s="11">
        <v>-3.3845968474622623</v>
      </c>
      <c r="O6" s="107"/>
      <c r="P6" t="s">
        <v>51</v>
      </c>
      <c r="Q6" s="27">
        <v>0</v>
      </c>
      <c r="R6" s="17">
        <v>0</v>
      </c>
      <c r="S6" s="18">
        <v>1.369E-15</v>
      </c>
      <c r="T6" s="28">
        <v>0</v>
      </c>
    </row>
    <row r="7" spans="2:20" ht="15" customHeight="1" x14ac:dyDescent="0.25">
      <c r="B7" s="7" t="s">
        <v>43</v>
      </c>
      <c r="C7" t="s">
        <v>41</v>
      </c>
      <c r="E7" t="s">
        <v>46</v>
      </c>
      <c r="H7" t="s">
        <v>72</v>
      </c>
      <c r="I7" t="s">
        <v>55</v>
      </c>
      <c r="J7">
        <v>-134.15417772644128</v>
      </c>
      <c r="K7">
        <v>0</v>
      </c>
      <c r="L7">
        <v>308.30362798695762</v>
      </c>
      <c r="M7">
        <v>-2.2367059397019937</v>
      </c>
      <c r="O7" s="107"/>
      <c r="P7" t="s">
        <v>52</v>
      </c>
      <c r="Q7" s="29">
        <v>0</v>
      </c>
      <c r="R7" s="30">
        <v>0</v>
      </c>
      <c r="S7" s="30">
        <v>0</v>
      </c>
      <c r="T7" s="31">
        <v>3.6099999999999999E-14</v>
      </c>
    </row>
    <row r="8" spans="2:20" x14ac:dyDescent="0.25">
      <c r="B8" s="7">
        <v>3.0799297000000002E-3</v>
      </c>
      <c r="C8" s="6">
        <f>$C$4</f>
        <v>100.232904412124</v>
      </c>
      <c r="E8">
        <f>(C9-C8)/(B9-B8)</f>
        <v>140.93096695949154</v>
      </c>
    </row>
    <row r="9" spans="2:20" ht="15" customHeight="1" x14ac:dyDescent="0.25">
      <c r="B9" s="7">
        <v>3.0799266E-3</v>
      </c>
      <c r="C9" s="6">
        <v>100.232903975238</v>
      </c>
      <c r="H9" s="105" t="s">
        <v>75</v>
      </c>
      <c r="I9" s="105"/>
      <c r="J9" t="s">
        <v>67</v>
      </c>
      <c r="K9" t="s">
        <v>68</v>
      </c>
      <c r="L9" t="s">
        <v>69</v>
      </c>
      <c r="M9" t="s">
        <v>72</v>
      </c>
    </row>
    <row r="10" spans="2:20" x14ac:dyDescent="0.25">
      <c r="B10" s="7"/>
      <c r="H10" s="105"/>
      <c r="I10" s="105"/>
      <c r="J10" t="s">
        <v>23</v>
      </c>
      <c r="K10" t="s">
        <v>23</v>
      </c>
      <c r="L10" t="s">
        <v>23</v>
      </c>
      <c r="M10" s="9" t="s">
        <v>55</v>
      </c>
    </row>
    <row r="11" spans="2:20" x14ac:dyDescent="0.25">
      <c r="B11" s="7" t="s">
        <v>44</v>
      </c>
      <c r="E11" t="s">
        <v>47</v>
      </c>
      <c r="H11" s="105" t="s">
        <v>20</v>
      </c>
      <c r="I11" t="s">
        <v>53</v>
      </c>
      <c r="J11" s="21">
        <v>-0.52790499999999996</v>
      </c>
      <c r="K11" s="19">
        <v>-9.7934999999999993E-4</v>
      </c>
      <c r="L11" s="14">
        <v>0</v>
      </c>
      <c r="M11">
        <v>0</v>
      </c>
    </row>
    <row r="12" spans="2:20" ht="15" customHeight="1" x14ac:dyDescent="0.25">
      <c r="B12" s="7">
        <v>137.84136219999999</v>
      </c>
      <c r="C12">
        <f>$C$4</f>
        <v>100.232904412124</v>
      </c>
      <c r="E12">
        <f>(C13-C12)/(B13-B12)</f>
        <v>2.2902327743793891E-2</v>
      </c>
      <c r="H12" s="105"/>
      <c r="I12" t="s">
        <v>54</v>
      </c>
      <c r="J12" s="22">
        <v>1.760186E-3</v>
      </c>
      <c r="K12" s="20">
        <v>8.22529E-6</v>
      </c>
      <c r="L12" s="11">
        <v>0</v>
      </c>
      <c r="M12">
        <v>0</v>
      </c>
    </row>
    <row r="13" spans="2:20" x14ac:dyDescent="0.25">
      <c r="B13" s="7">
        <v>137.84122429999999</v>
      </c>
      <c r="C13">
        <v>100.232901253893</v>
      </c>
      <c r="H13" t="s">
        <v>71</v>
      </c>
      <c r="I13" t="s">
        <v>56</v>
      </c>
      <c r="J13" s="16">
        <v>0</v>
      </c>
      <c r="K13" s="11">
        <v>0</v>
      </c>
      <c r="L13" s="11">
        <v>0</v>
      </c>
      <c r="M13" s="23">
        <v>1</v>
      </c>
    </row>
    <row r="14" spans="2:20" ht="15" customHeight="1" x14ac:dyDescent="0.25">
      <c r="H14" t="s">
        <v>60</v>
      </c>
      <c r="I14" t="s">
        <v>70</v>
      </c>
      <c r="J14" s="16">
        <v>0</v>
      </c>
      <c r="K14">
        <f>-4.8519100522975*10^-6</f>
        <v>-4.8519100522974997E-6</v>
      </c>
      <c r="L14" s="23">
        <v>0</v>
      </c>
      <c r="M14" s="23">
        <v>0</v>
      </c>
    </row>
    <row r="15" spans="2:20" x14ac:dyDescent="0.25">
      <c r="B15" s="7" t="s">
        <v>45</v>
      </c>
      <c r="E15" t="s">
        <v>48</v>
      </c>
      <c r="H15" t="s">
        <v>61</v>
      </c>
      <c r="I15" t="s">
        <v>70</v>
      </c>
      <c r="J15" s="16">
        <v>0</v>
      </c>
      <c r="K15">
        <f>-8.62488785450637*10^-7</f>
        <v>-8.6248878545063707E-7</v>
      </c>
      <c r="L15" s="23">
        <v>0</v>
      </c>
      <c r="M15" s="23">
        <v>0</v>
      </c>
    </row>
    <row r="16" spans="2:20" x14ac:dyDescent="0.25">
      <c r="B16" s="7">
        <v>491.54806459999998</v>
      </c>
      <c r="C16">
        <f>$C$4</f>
        <v>100.232904412124</v>
      </c>
      <c r="E16">
        <f>(C17-C16)/(B17-B16)</f>
        <v>2.2461586171146941E-4</v>
      </c>
      <c r="H16" t="s">
        <v>62</v>
      </c>
      <c r="I16" t="s">
        <v>70</v>
      </c>
      <c r="J16" s="16">
        <v>0</v>
      </c>
      <c r="K16" s="11">
        <v>0</v>
      </c>
      <c r="L16">
        <f>-2.03161*10^-7</f>
        <v>-2.03161E-7</v>
      </c>
      <c r="M16" s="23">
        <v>0</v>
      </c>
    </row>
    <row r="17" spans="2:18" x14ac:dyDescent="0.25">
      <c r="B17" s="7">
        <v>491.54757000000001</v>
      </c>
      <c r="C17">
        <v>100.232904301029</v>
      </c>
      <c r="H17" t="s">
        <v>67</v>
      </c>
      <c r="I17" t="s">
        <v>23</v>
      </c>
      <c r="J17" s="16">
        <v>1</v>
      </c>
      <c r="K17" s="23">
        <v>0</v>
      </c>
      <c r="L17" s="11">
        <v>0</v>
      </c>
      <c r="M17" s="23">
        <v>0</v>
      </c>
    </row>
    <row r="18" spans="2:18" x14ac:dyDescent="0.25">
      <c r="H18" t="s">
        <v>68</v>
      </c>
      <c r="I18" t="s">
        <v>23</v>
      </c>
      <c r="J18" s="16">
        <v>0</v>
      </c>
      <c r="K18" s="23">
        <v>1</v>
      </c>
      <c r="L18" s="23">
        <v>0</v>
      </c>
      <c r="M18" s="23">
        <v>0</v>
      </c>
    </row>
    <row r="19" spans="2:18" ht="15" customHeight="1" x14ac:dyDescent="0.25">
      <c r="B19" t="s">
        <v>57</v>
      </c>
      <c r="E19" t="s">
        <v>48</v>
      </c>
      <c r="H19" t="s">
        <v>69</v>
      </c>
      <c r="I19" t="s">
        <v>23</v>
      </c>
      <c r="J19" s="16">
        <v>0</v>
      </c>
      <c r="K19" s="23">
        <v>0</v>
      </c>
      <c r="L19" s="23">
        <v>1</v>
      </c>
      <c r="M19" s="23">
        <v>0</v>
      </c>
    </row>
    <row r="20" spans="2:18" ht="15" customHeight="1" x14ac:dyDescent="0.25">
      <c r="B20">
        <v>9.4040436509986003E-2</v>
      </c>
      <c r="C20">
        <f>$C$4</f>
        <v>100.232904412124</v>
      </c>
      <c r="E20">
        <f>(C21-C20)/(B21-B20)</f>
        <v>-485.82394246185567</v>
      </c>
    </row>
    <row r="21" spans="2:18" ht="15" customHeight="1" x14ac:dyDescent="0.25">
      <c r="B21" s="13">
        <v>9.4040341999999999E-2</v>
      </c>
      <c r="C21">
        <v>100.232950327338</v>
      </c>
    </row>
    <row r="22" spans="2:18" x14ac:dyDescent="0.25">
      <c r="H22" s="105" t="s">
        <v>76</v>
      </c>
      <c r="I22" s="105"/>
      <c r="J22" t="s">
        <v>20</v>
      </c>
      <c r="L22" t="s">
        <v>71</v>
      </c>
      <c r="M22" t="s">
        <v>60</v>
      </c>
      <c r="N22" t="s">
        <v>61</v>
      </c>
      <c r="O22" t="s">
        <v>62</v>
      </c>
      <c r="P22" t="s">
        <v>67</v>
      </c>
      <c r="Q22" t="s">
        <v>68</v>
      </c>
      <c r="R22" t="s">
        <v>69</v>
      </c>
    </row>
    <row r="23" spans="2:18" ht="15" customHeight="1" x14ac:dyDescent="0.25">
      <c r="B23" t="s">
        <v>59</v>
      </c>
      <c r="E23" t="s">
        <v>48</v>
      </c>
      <c r="H23" s="105"/>
      <c r="I23" s="105"/>
      <c r="J23" t="s">
        <v>53</v>
      </c>
      <c r="K23" t="s">
        <v>54</v>
      </c>
      <c r="L23" t="s">
        <v>56</v>
      </c>
      <c r="M23" t="s">
        <v>70</v>
      </c>
      <c r="N23" t="s">
        <v>70</v>
      </c>
      <c r="O23" t="s">
        <v>70</v>
      </c>
      <c r="P23" t="s">
        <v>23</v>
      </c>
      <c r="Q23" t="s">
        <v>23</v>
      </c>
      <c r="R23" t="s">
        <v>23</v>
      </c>
    </row>
    <row r="24" spans="2:18" x14ac:dyDescent="0.25">
      <c r="B24">
        <v>1.6716884888449E-2</v>
      </c>
      <c r="C24">
        <f>$C$4</f>
        <v>100.232904412124</v>
      </c>
      <c r="E24">
        <f>(C25-C24)/(B25-B24)</f>
        <v>-1489.6131672026611</v>
      </c>
      <c r="H24" s="105" t="s">
        <v>20</v>
      </c>
      <c r="I24" t="s">
        <v>53</v>
      </c>
      <c r="J24" s="15">
        <v>1</v>
      </c>
      <c r="K24" s="14">
        <v>0</v>
      </c>
      <c r="L24" s="14">
        <v>0</v>
      </c>
      <c r="M24" s="14">
        <v>0</v>
      </c>
      <c r="N24" s="14">
        <v>0</v>
      </c>
      <c r="O24" s="14">
        <v>0</v>
      </c>
      <c r="P24" s="14">
        <v>0</v>
      </c>
      <c r="Q24" s="14">
        <v>0</v>
      </c>
      <c r="R24" s="14">
        <v>0</v>
      </c>
    </row>
    <row r="25" spans="2:18" x14ac:dyDescent="0.25">
      <c r="B25" s="13">
        <v>1.6716867999999999E-2</v>
      </c>
      <c r="C25">
        <v>100.23292956938</v>
      </c>
      <c r="H25" s="105"/>
      <c r="I25" t="s">
        <v>54</v>
      </c>
      <c r="J25" s="16">
        <v>0</v>
      </c>
      <c r="K25" s="11">
        <v>1</v>
      </c>
      <c r="L25" s="11">
        <v>0</v>
      </c>
      <c r="M25" s="11">
        <v>0</v>
      </c>
      <c r="N25" s="11">
        <v>0</v>
      </c>
      <c r="O25" s="11">
        <v>0</v>
      </c>
      <c r="P25" s="11">
        <v>0</v>
      </c>
      <c r="Q25" s="11">
        <v>0</v>
      </c>
      <c r="R25" s="11">
        <v>0</v>
      </c>
    </row>
    <row r="26" spans="2:18" x14ac:dyDescent="0.25">
      <c r="H26" s="105"/>
      <c r="I26" t="s">
        <v>74</v>
      </c>
      <c r="J26" s="16">
        <f>E4</f>
        <v>154.99418058765488</v>
      </c>
      <c r="K26" s="11">
        <f>E8</f>
        <v>140.93096695949154</v>
      </c>
      <c r="L26" s="11">
        <v>0</v>
      </c>
      <c r="M26" s="11">
        <f>E20</f>
        <v>-485.82394246185567</v>
      </c>
      <c r="N26" s="11">
        <f>E24</f>
        <v>-1489.6131672026611</v>
      </c>
      <c r="O26" s="11">
        <f>E28</f>
        <v>-595.07021758393932</v>
      </c>
      <c r="P26" s="11">
        <v>0</v>
      </c>
      <c r="Q26" s="11">
        <f>E12</f>
        <v>2.2902327743793891E-2</v>
      </c>
      <c r="R26" s="11">
        <f>E16</f>
        <v>2.2461586171146941E-4</v>
      </c>
    </row>
    <row r="27" spans="2:18" x14ac:dyDescent="0.25">
      <c r="B27" t="s">
        <v>58</v>
      </c>
      <c r="E27" t="s">
        <v>48</v>
      </c>
      <c r="H27" t="s">
        <v>71</v>
      </c>
      <c r="I27" t="s">
        <v>56</v>
      </c>
      <c r="J27" s="16">
        <v>0</v>
      </c>
      <c r="K27" s="11">
        <v>0</v>
      </c>
      <c r="L27" s="11">
        <v>1</v>
      </c>
      <c r="M27" s="11">
        <v>0</v>
      </c>
      <c r="N27" s="11">
        <v>0</v>
      </c>
      <c r="O27" s="11">
        <v>0</v>
      </c>
      <c r="P27" s="11">
        <v>0</v>
      </c>
      <c r="Q27" s="11">
        <v>0</v>
      </c>
      <c r="R27" s="11">
        <v>0</v>
      </c>
    </row>
    <row r="28" spans="2:18" x14ac:dyDescent="0.25">
      <c r="B28">
        <v>4.9815398771648998E-2</v>
      </c>
      <c r="C28">
        <f>$C$4</f>
        <v>100.232904412124</v>
      </c>
      <c r="E28">
        <f>(C29-C28)/(B29-B28)</f>
        <v>-595.07021758393932</v>
      </c>
      <c r="H28" t="s">
        <v>60</v>
      </c>
      <c r="I28" t="s">
        <v>70</v>
      </c>
      <c r="J28" s="16">
        <v>0</v>
      </c>
      <c r="K28" s="11">
        <v>0</v>
      </c>
      <c r="L28" s="11">
        <v>0</v>
      </c>
      <c r="M28" s="11">
        <v>1</v>
      </c>
      <c r="N28" s="11">
        <v>0</v>
      </c>
      <c r="O28" s="11">
        <v>0</v>
      </c>
      <c r="P28" s="11">
        <v>0</v>
      </c>
      <c r="Q28" s="11">
        <v>0</v>
      </c>
      <c r="R28" s="11">
        <v>0</v>
      </c>
    </row>
    <row r="29" spans="2:18" x14ac:dyDescent="0.25">
      <c r="B29" s="13">
        <v>4.9815349000000002E-2</v>
      </c>
      <c r="C29">
        <v>100.23293402975</v>
      </c>
      <c r="H29" t="s">
        <v>61</v>
      </c>
      <c r="I29" t="s">
        <v>70</v>
      </c>
      <c r="J29" s="16">
        <v>0</v>
      </c>
      <c r="K29" s="11">
        <v>0</v>
      </c>
      <c r="L29" s="11">
        <v>0</v>
      </c>
      <c r="M29" s="11">
        <v>0</v>
      </c>
      <c r="N29" s="11">
        <v>1</v>
      </c>
      <c r="O29" s="11">
        <v>0</v>
      </c>
      <c r="P29" s="11">
        <v>0</v>
      </c>
      <c r="Q29" s="11">
        <v>0</v>
      </c>
      <c r="R29" s="11">
        <v>0</v>
      </c>
    </row>
    <row r="30" spans="2:18" x14ac:dyDescent="0.25">
      <c r="H30" t="s">
        <v>62</v>
      </c>
      <c r="I30" t="s">
        <v>70</v>
      </c>
      <c r="J30" s="16">
        <v>0</v>
      </c>
      <c r="K30" s="11">
        <v>0</v>
      </c>
      <c r="L30" s="11">
        <v>0</v>
      </c>
      <c r="M30" s="11">
        <v>0</v>
      </c>
      <c r="N30" s="11">
        <v>0</v>
      </c>
      <c r="O30" s="11">
        <v>1</v>
      </c>
      <c r="P30" s="11">
        <v>0</v>
      </c>
      <c r="Q30" s="11">
        <v>0</v>
      </c>
      <c r="R30" s="11">
        <v>0</v>
      </c>
    </row>
    <row r="31" spans="2:18" x14ac:dyDescent="0.25">
      <c r="B31" t="s">
        <v>63</v>
      </c>
      <c r="H31" t="s">
        <v>67</v>
      </c>
      <c r="I31" t="s">
        <v>23</v>
      </c>
      <c r="J31" s="16">
        <v>0</v>
      </c>
      <c r="K31" s="11">
        <v>0</v>
      </c>
      <c r="L31" s="11">
        <v>0</v>
      </c>
      <c r="M31" s="11">
        <v>0</v>
      </c>
      <c r="N31" s="11">
        <v>0</v>
      </c>
      <c r="O31" s="11">
        <v>0</v>
      </c>
      <c r="P31" s="11">
        <v>1</v>
      </c>
      <c r="Q31" s="11">
        <v>0</v>
      </c>
      <c r="R31" s="11">
        <v>0</v>
      </c>
    </row>
    <row r="32" spans="2:18" x14ac:dyDescent="0.25">
      <c r="B32">
        <f>-4.8519100522975*10^-6</f>
        <v>-4.8519100522974997E-6</v>
      </c>
      <c r="H32" t="s">
        <v>68</v>
      </c>
      <c r="I32" t="s">
        <v>23</v>
      </c>
      <c r="J32" s="16">
        <v>0</v>
      </c>
      <c r="K32" s="11">
        <v>0</v>
      </c>
      <c r="L32" s="11">
        <v>0</v>
      </c>
      <c r="M32" s="11">
        <v>0</v>
      </c>
      <c r="N32" s="11">
        <v>0</v>
      </c>
      <c r="O32" s="11">
        <v>0</v>
      </c>
      <c r="P32" s="11">
        <v>0</v>
      </c>
      <c r="Q32" s="11">
        <v>1</v>
      </c>
      <c r="R32" s="11">
        <v>0</v>
      </c>
    </row>
    <row r="33" spans="2:19" x14ac:dyDescent="0.25">
      <c r="H33" t="s">
        <v>69</v>
      </c>
      <c r="I33" t="s">
        <v>23</v>
      </c>
      <c r="J33" s="16">
        <v>0</v>
      </c>
      <c r="K33" s="11">
        <v>0</v>
      </c>
      <c r="L33" s="11">
        <v>0</v>
      </c>
      <c r="M33" s="11">
        <v>0</v>
      </c>
      <c r="N33" s="11">
        <v>0</v>
      </c>
      <c r="O33" s="11">
        <v>0</v>
      </c>
      <c r="P33" s="11">
        <v>0</v>
      </c>
      <c r="Q33" s="11">
        <v>0</v>
      </c>
      <c r="R33" s="11">
        <v>1</v>
      </c>
    </row>
    <row r="34" spans="2:19" x14ac:dyDescent="0.25">
      <c r="B34" t="s">
        <v>64</v>
      </c>
    </row>
    <row r="35" spans="2:19" ht="15" customHeight="1" x14ac:dyDescent="0.25">
      <c r="B35">
        <f>-8.62488785450637*10^-7</f>
        <v>-8.6248878545063707E-7</v>
      </c>
      <c r="H35" s="105" t="s">
        <v>77</v>
      </c>
      <c r="I35" s="105"/>
      <c r="J35" s="106" t="s">
        <v>73</v>
      </c>
      <c r="K35" s="106"/>
      <c r="L35" s="106"/>
      <c r="M35" s="106"/>
    </row>
    <row r="36" spans="2:19" x14ac:dyDescent="0.25">
      <c r="H36" s="105"/>
      <c r="I36" s="105"/>
      <c r="J36" t="s">
        <v>49</v>
      </c>
      <c r="K36" t="s">
        <v>50</v>
      </c>
      <c r="L36" t="s">
        <v>51</v>
      </c>
      <c r="M36" t="s">
        <v>52</v>
      </c>
    </row>
    <row r="37" spans="2:19" ht="15" customHeight="1" x14ac:dyDescent="0.25">
      <c r="B37" t="s">
        <v>65</v>
      </c>
      <c r="H37" s="105" t="s">
        <v>20</v>
      </c>
      <c r="I37" t="s">
        <v>53</v>
      </c>
      <c r="J37">
        <f t="array" ref="J37:M46">MMULT(MMULT(J24:R33,J11:M19),J4:M7)</f>
        <v>0.67073475735073973</v>
      </c>
      <c r="K37">
        <v>-1.2622619156811721E-3</v>
      </c>
      <c r="L37">
        <v>-0.86859199592616054</v>
      </c>
      <c r="M37">
        <v>0.44661006536989173</v>
      </c>
    </row>
    <row r="38" spans="2:19" x14ac:dyDescent="0.25">
      <c r="B38">
        <f>-2.03161*10^-7</f>
        <v>-2.03161E-7</v>
      </c>
      <c r="H38" s="105"/>
      <c r="I38" t="s">
        <v>54</v>
      </c>
      <c r="J38">
        <v>-2.9074266028372049E-3</v>
      </c>
      <c r="K38">
        <v>4.2087416340348733E-6</v>
      </c>
      <c r="L38">
        <v>5.0511624276283439E-3</v>
      </c>
      <c r="M38">
        <v>-1.5047595041923585E-3</v>
      </c>
    </row>
    <row r="39" spans="2:19" x14ac:dyDescent="0.25">
      <c r="H39" s="105"/>
      <c r="I39" t="s">
        <v>74</v>
      </c>
      <c r="J39">
        <v>99.792373339253629</v>
      </c>
      <c r="K39">
        <v>-0.1950501092798396</v>
      </c>
      <c r="L39">
        <v>-121.80930196074014</v>
      </c>
      <c r="M39">
        <v>68.925053955475221</v>
      </c>
    </row>
    <row r="40" spans="2:19" ht="15" customHeight="1" x14ac:dyDescent="0.25">
      <c r="H40" t="s">
        <v>71</v>
      </c>
      <c r="I40" t="s">
        <v>56</v>
      </c>
      <c r="J40">
        <v>-134.15417772644128</v>
      </c>
      <c r="K40">
        <v>0</v>
      </c>
      <c r="L40">
        <v>308.30362798695762</v>
      </c>
      <c r="M40">
        <v>-2.2367059397019937</v>
      </c>
    </row>
    <row r="41" spans="2:19" x14ac:dyDescent="0.25">
      <c r="H41" t="s">
        <v>60</v>
      </c>
      <c r="I41" t="s">
        <v>70</v>
      </c>
      <c r="J41">
        <v>6.5640150239617428E-4</v>
      </c>
      <c r="K41">
        <v>0</v>
      </c>
      <c r="L41">
        <v>-2.1081261941330643E-3</v>
      </c>
      <c r="M41">
        <v>1.5293765581749018E-5</v>
      </c>
    </row>
    <row r="42" spans="2:19" x14ac:dyDescent="0.25">
      <c r="H42" t="s">
        <v>61</v>
      </c>
      <c r="I42" t="s">
        <v>70</v>
      </c>
      <c r="J42">
        <v>1.1668372423795633E-4</v>
      </c>
      <c r="K42">
        <v>0</v>
      </c>
      <c r="L42">
        <v>-3.7474627129444022E-4</v>
      </c>
      <c r="M42">
        <v>2.7186615496557573E-6</v>
      </c>
    </row>
    <row r="43" spans="2:19" x14ac:dyDescent="0.25">
      <c r="H43" t="s">
        <v>62</v>
      </c>
      <c r="I43" t="s">
        <v>70</v>
      </c>
      <c r="J43">
        <v>9.8056640257068172E-5</v>
      </c>
      <c r="K43">
        <v>0</v>
      </c>
      <c r="L43">
        <v>-3.3645839479386371E-4</v>
      </c>
      <c r="M43">
        <v>6.8761808012728071E-7</v>
      </c>
    </row>
    <row r="44" spans="2:19" x14ac:dyDescent="0.25">
      <c r="H44" t="s">
        <v>67</v>
      </c>
      <c r="I44" t="s">
        <v>23</v>
      </c>
      <c r="J44">
        <v>-1.019579663670948</v>
      </c>
      <c r="K44">
        <v>2.3910777804362002E-3</v>
      </c>
      <c r="L44">
        <v>0.8392991518080356</v>
      </c>
      <c r="M44">
        <v>-0.84015693002147118</v>
      </c>
    </row>
    <row r="45" spans="2:19" x14ac:dyDescent="0.25">
      <c r="H45" t="s">
        <v>68</v>
      </c>
      <c r="I45" t="s">
        <v>23</v>
      </c>
      <c r="J45">
        <v>-135.28723643286665</v>
      </c>
      <c r="K45">
        <v>0</v>
      </c>
      <c r="L45">
        <v>434.4940799417364</v>
      </c>
      <c r="M45">
        <v>-3.1521123468698766</v>
      </c>
    </row>
    <row r="46" spans="2:19" x14ac:dyDescent="0.25">
      <c r="H46" t="s">
        <v>69</v>
      </c>
      <c r="I46" t="s">
        <v>23</v>
      </c>
      <c r="J46">
        <v>-482.6548415151932</v>
      </c>
      <c r="K46">
        <v>0</v>
      </c>
      <c r="L46">
        <v>1656.1170440875153</v>
      </c>
      <c r="M46">
        <v>-3.3845968474622623</v>
      </c>
    </row>
    <row r="48" spans="2:19" x14ac:dyDescent="0.25">
      <c r="H48" s="104" t="s">
        <v>79</v>
      </c>
      <c r="I48" s="104"/>
      <c r="J48" s="105" t="s">
        <v>20</v>
      </c>
      <c r="K48" s="105"/>
      <c r="L48" s="105"/>
      <c r="M48" t="s">
        <v>71</v>
      </c>
      <c r="N48" t="s">
        <v>60</v>
      </c>
      <c r="O48" t="s">
        <v>61</v>
      </c>
      <c r="P48" t="s">
        <v>62</v>
      </c>
      <c r="Q48" t="s">
        <v>67</v>
      </c>
      <c r="R48" t="s">
        <v>68</v>
      </c>
      <c r="S48" t="s">
        <v>69</v>
      </c>
    </row>
    <row r="49" spans="8:20" x14ac:dyDescent="0.25">
      <c r="H49" s="104"/>
      <c r="I49" s="104"/>
      <c r="J49" t="s">
        <v>53</v>
      </c>
      <c r="K49" t="s">
        <v>54</v>
      </c>
      <c r="L49" t="s">
        <v>74</v>
      </c>
      <c r="M49" t="s">
        <v>56</v>
      </c>
      <c r="N49" t="s">
        <v>70</v>
      </c>
      <c r="O49" t="s">
        <v>70</v>
      </c>
      <c r="P49" t="s">
        <v>70</v>
      </c>
      <c r="Q49" t="s">
        <v>23</v>
      </c>
      <c r="R49" t="s">
        <v>23</v>
      </c>
      <c r="S49" t="s">
        <v>23</v>
      </c>
    </row>
    <row r="50" spans="8:20" x14ac:dyDescent="0.25">
      <c r="H50" s="105" t="s">
        <v>20</v>
      </c>
      <c r="I50" t="s">
        <v>53</v>
      </c>
      <c r="J50" s="32">
        <f t="array" ref="J50:S59">MMULT(MMULT(J37:M46,Q4:T7),TRANSPOSE(J37:M46))</f>
        <v>2.8792729676599879E-9</v>
      </c>
      <c r="K50" s="33">
        <v>-1.2480747559928543E-11</v>
      </c>
      <c r="L50" s="33">
        <v>4.2838022134042057E-7</v>
      </c>
      <c r="M50" s="34">
        <v>-5.7588436967373319E-7</v>
      </c>
      <c r="N50">
        <v>2.8177390889335262E-12</v>
      </c>
      <c r="O50">
        <v>5.008889980102308E-13</v>
      </c>
      <c r="P50">
        <v>4.2092839075020814E-13</v>
      </c>
      <c r="Q50">
        <v>-4.3767666609175898E-9</v>
      </c>
      <c r="R50">
        <v>-5.8074841836757809E-7</v>
      </c>
      <c r="S50">
        <v>-2.0718956431116605E-6</v>
      </c>
    </row>
    <row r="51" spans="8:20" x14ac:dyDescent="0.25">
      <c r="H51" s="105"/>
      <c r="I51" t="s">
        <v>54</v>
      </c>
      <c r="J51" s="35">
        <v>-1.2480747559928543E-11</v>
      </c>
      <c r="K51" s="36">
        <v>5.4100145156956635E-14</v>
      </c>
      <c r="L51" s="36">
        <v>-1.8568941929414628E-9</v>
      </c>
      <c r="M51" s="37">
        <v>2.4962801747373503E-9</v>
      </c>
      <c r="N51">
        <v>-1.2214026225902242E-14</v>
      </c>
      <c r="O51">
        <v>-2.1711986684609546E-15</v>
      </c>
      <c r="P51">
        <v>-1.8245942645731024E-15</v>
      </c>
      <c r="Q51">
        <v>1.8971910885579771E-11</v>
      </c>
      <c r="R51">
        <v>2.517364521240165E-9</v>
      </c>
      <c r="S51">
        <v>8.9810262037157842E-9</v>
      </c>
    </row>
    <row r="52" spans="8:20" x14ac:dyDescent="0.25">
      <c r="H52" s="105"/>
      <c r="I52" t="s">
        <v>74</v>
      </c>
      <c r="J52" s="35">
        <v>4.2838022134042051E-7</v>
      </c>
      <c r="K52" s="36">
        <v>-1.8568941929414626E-9</v>
      </c>
      <c r="L52" s="36">
        <v>6.373470558443197E-5</v>
      </c>
      <c r="M52" s="37">
        <v>-8.5680465224791883E-5</v>
      </c>
      <c r="N52">
        <v>4.1922511783894648E-10</v>
      </c>
      <c r="O52">
        <v>7.4522602195417343E-11</v>
      </c>
      <c r="P52">
        <v>6.2626008876425858E-11</v>
      </c>
      <c r="Q52">
        <v>-6.5117838691506172E-7</v>
      </c>
      <c r="R52">
        <v>-8.6404140497294037E-5</v>
      </c>
      <c r="S52">
        <v>-3.0825802627682398E-4</v>
      </c>
    </row>
    <row r="53" spans="8:20" x14ac:dyDescent="0.25">
      <c r="H53" t="s">
        <v>71</v>
      </c>
      <c r="I53" t="s">
        <v>56</v>
      </c>
      <c r="J53" s="38">
        <v>-5.7588436967373319E-7</v>
      </c>
      <c r="K53" s="39">
        <v>2.4962801747373503E-9</v>
      </c>
      <c r="L53" s="39">
        <v>-8.5680465224791897E-5</v>
      </c>
      <c r="M53" s="40">
        <v>1.1518312807492451E-4</v>
      </c>
      <c r="N53">
        <v>-5.6357851540590077E-10</v>
      </c>
      <c r="O53">
        <v>-1.0018325649469479E-10</v>
      </c>
      <c r="P53">
        <v>-8.4190272907279843E-11</v>
      </c>
      <c r="Q53">
        <v>8.7539799908039344E-7</v>
      </c>
      <c r="R53">
        <v>1.1615601058783689E-4</v>
      </c>
      <c r="S53">
        <v>4.1440174495734831E-4</v>
      </c>
    </row>
    <row r="54" spans="8:20" x14ac:dyDescent="0.25">
      <c r="H54" t="s">
        <v>60</v>
      </c>
      <c r="I54" t="s">
        <v>70</v>
      </c>
      <c r="J54">
        <v>2.8177390889335258E-12</v>
      </c>
      <c r="K54">
        <v>-1.2214026225902242E-14</v>
      </c>
      <c r="L54">
        <v>4.1922511783894653E-10</v>
      </c>
      <c r="M54">
        <v>-5.6357851540590077E-10</v>
      </c>
      <c r="N54">
        <v>2.7575288595750673E-15</v>
      </c>
      <c r="O54">
        <v>4.9018586315584677E-16</v>
      </c>
      <c r="P54">
        <v>4.1193393770872407E-16</v>
      </c>
      <c r="Q54">
        <v>-4.2832260735885785E-12</v>
      </c>
      <c r="R54">
        <v>-5.6833882529815421E-10</v>
      </c>
      <c r="S54">
        <v>-2.0276231053633525E-9</v>
      </c>
    </row>
    <row r="55" spans="8:20" x14ac:dyDescent="0.25">
      <c r="H55" t="s">
        <v>61</v>
      </c>
      <c r="I55" t="s">
        <v>70</v>
      </c>
      <c r="J55">
        <v>5.008889980102308E-13</v>
      </c>
      <c r="K55">
        <v>-2.1711986684609542E-15</v>
      </c>
      <c r="L55">
        <v>7.4522602195417343E-11</v>
      </c>
      <c r="M55">
        <v>-1.0018325649469479E-10</v>
      </c>
      <c r="N55">
        <v>4.9018586315584677E-16</v>
      </c>
      <c r="O55">
        <v>8.7136778135069043E-17</v>
      </c>
      <c r="P55">
        <v>7.3226502097263308E-17</v>
      </c>
      <c r="Q55">
        <v>-7.6139796785198074E-13</v>
      </c>
      <c r="R55">
        <v>-1.0102946218546068E-10</v>
      </c>
      <c r="S55">
        <v>-3.6043582231463368E-10</v>
      </c>
    </row>
    <row r="56" spans="8:20" x14ac:dyDescent="0.25">
      <c r="H56" t="s">
        <v>62</v>
      </c>
      <c r="I56" t="s">
        <v>70</v>
      </c>
      <c r="J56">
        <v>4.2092839075020814E-13</v>
      </c>
      <c r="K56">
        <v>-1.8245942645731024E-15</v>
      </c>
      <c r="L56">
        <v>6.2626008876425858E-11</v>
      </c>
      <c r="M56">
        <v>-8.4190272907279843E-11</v>
      </c>
      <c r="N56">
        <v>4.1193393770872407E-16</v>
      </c>
      <c r="O56">
        <v>7.3226502097263308E-17</v>
      </c>
      <c r="P56">
        <v>6.1536825064115091E-17</v>
      </c>
      <c r="Q56">
        <v>-6.3985036772773326E-13</v>
      </c>
      <c r="R56">
        <v>-8.4901396206564696E-11</v>
      </c>
      <c r="S56">
        <v>-3.0289684075248247E-10</v>
      </c>
    </row>
    <row r="57" spans="8:20" x14ac:dyDescent="0.25">
      <c r="H57" t="s">
        <v>67</v>
      </c>
      <c r="I57" t="s">
        <v>23</v>
      </c>
      <c r="J57">
        <v>-4.376766660917589E-9</v>
      </c>
      <c r="K57">
        <v>1.8971910885579771E-11</v>
      </c>
      <c r="L57">
        <v>-6.5117838691506172E-7</v>
      </c>
      <c r="M57">
        <v>8.7539799908039334E-7</v>
      </c>
      <c r="N57">
        <v>-4.2832260735885785E-12</v>
      </c>
      <c r="O57">
        <v>-7.6139796785198074E-13</v>
      </c>
      <c r="P57">
        <v>-6.3985036772773326E-13</v>
      </c>
      <c r="Q57">
        <v>6.6530996660195987E-9</v>
      </c>
      <c r="R57">
        <v>8.8279173097208689E-7</v>
      </c>
      <c r="S57">
        <v>3.1494743958128434E-6</v>
      </c>
    </row>
    <row r="58" spans="8:20" x14ac:dyDescent="0.25">
      <c r="H58" t="s">
        <v>68</v>
      </c>
      <c r="I58" t="s">
        <v>23</v>
      </c>
      <c r="J58">
        <v>-5.8074841836757798E-7</v>
      </c>
      <c r="K58">
        <v>2.517364521240165E-9</v>
      </c>
      <c r="L58">
        <v>-8.6404140497294037E-5</v>
      </c>
      <c r="M58">
        <v>1.1615601058783689E-4</v>
      </c>
      <c r="N58">
        <v>-5.6833882529815421E-10</v>
      </c>
      <c r="O58">
        <v>-1.0102946218546068E-10</v>
      </c>
      <c r="P58">
        <v>-8.4901396206564696E-11</v>
      </c>
      <c r="Q58">
        <v>8.8279173097208689E-7</v>
      </c>
      <c r="R58">
        <v>1.1713713139200337E-4</v>
      </c>
      <c r="S58">
        <v>4.1790203930166061E-4</v>
      </c>
    </row>
    <row r="59" spans="8:20" x14ac:dyDescent="0.25">
      <c r="H59" t="s">
        <v>69</v>
      </c>
      <c r="I59" t="s">
        <v>23</v>
      </c>
      <c r="J59">
        <v>-2.0718956431116605E-6</v>
      </c>
      <c r="K59">
        <v>8.9810262037157842E-9</v>
      </c>
      <c r="L59">
        <v>-3.0825802627682403E-4</v>
      </c>
      <c r="M59">
        <v>4.1440174495734831E-4</v>
      </c>
      <c r="N59">
        <v>-2.0276231053633525E-9</v>
      </c>
      <c r="O59">
        <v>-3.6043582231463368E-10</v>
      </c>
      <c r="P59">
        <v>-3.0289684075248247E-10</v>
      </c>
      <c r="Q59">
        <v>3.1494743958128434E-6</v>
      </c>
      <c r="R59">
        <v>4.1790203930166067E-4</v>
      </c>
      <c r="S59">
        <v>1.4909202098457991E-3</v>
      </c>
    </row>
    <row r="61" spans="8:20" x14ac:dyDescent="0.25">
      <c r="H61" s="104" t="s">
        <v>80</v>
      </c>
      <c r="I61" s="104"/>
      <c r="J61" s="105" t="s">
        <v>20</v>
      </c>
      <c r="K61" s="105"/>
      <c r="L61" s="105"/>
      <c r="M61" t="s">
        <v>71</v>
      </c>
      <c r="O61" s="104" t="s">
        <v>82</v>
      </c>
      <c r="P61" s="104"/>
      <c r="Q61" s="105" t="s">
        <v>20</v>
      </c>
      <c r="R61" s="105"/>
      <c r="S61" s="105"/>
      <c r="T61" t="s">
        <v>71</v>
      </c>
    </row>
    <row r="62" spans="8:20" x14ac:dyDescent="0.25">
      <c r="H62" s="104"/>
      <c r="I62" s="104"/>
      <c r="J62" t="s">
        <v>53</v>
      </c>
      <c r="K62" t="s">
        <v>54</v>
      </c>
      <c r="L62" t="s">
        <v>74</v>
      </c>
      <c r="M62" t="s">
        <v>56</v>
      </c>
      <c r="O62" s="104"/>
      <c r="P62" s="104"/>
      <c r="Q62" t="s">
        <v>53</v>
      </c>
      <c r="R62" t="s">
        <v>54</v>
      </c>
      <c r="S62" t="s">
        <v>74</v>
      </c>
      <c r="T62" t="s">
        <v>56</v>
      </c>
    </row>
    <row r="63" spans="8:20" x14ac:dyDescent="0.25">
      <c r="H63" s="105" t="s">
        <v>20</v>
      </c>
      <c r="I63" t="s">
        <v>53</v>
      </c>
      <c r="J63" s="32">
        <f t="shared" ref="J63:L65" si="0">J72</f>
        <v>2.63279397374706E-9</v>
      </c>
      <c r="K63" s="33">
        <f t="shared" si="0"/>
        <v>-1.0856742219426099E-11</v>
      </c>
      <c r="L63" s="33">
        <f t="shared" si="0"/>
        <v>2.9881616656379899E-7</v>
      </c>
      <c r="M63" s="34">
        <f>M50</f>
        <v>-5.7588436967373319E-7</v>
      </c>
      <c r="O63" s="105" t="s">
        <v>20</v>
      </c>
      <c r="P63" t="s">
        <v>53</v>
      </c>
      <c r="Q63">
        <v>1</v>
      </c>
    </row>
    <row r="64" spans="8:20" x14ac:dyDescent="0.25">
      <c r="H64" s="105"/>
      <c r="I64" t="s">
        <v>54</v>
      </c>
      <c r="J64" s="35">
        <f t="shared" si="0"/>
        <v>-1.0856742219426099E-11</v>
      </c>
      <c r="K64" s="36">
        <f t="shared" si="0"/>
        <v>1.4470219489247401E-13</v>
      </c>
      <c r="L64" s="36">
        <f t="shared" si="0"/>
        <v>-1.20977438181932E-9</v>
      </c>
      <c r="M64" s="37">
        <f t="shared" ref="M64:M65" si="1">M51</f>
        <v>2.4962801747373503E-9</v>
      </c>
      <c r="O64" s="105"/>
      <c r="P64" t="s">
        <v>54</v>
      </c>
      <c r="Q64" s="3">
        <f>J64/SQRT(J63*K64)</f>
        <v>-0.55622887363504447</v>
      </c>
      <c r="R64">
        <v>1</v>
      </c>
    </row>
    <row r="65" spans="8:20" x14ac:dyDescent="0.25">
      <c r="H65" s="105"/>
      <c r="I65" t="s">
        <v>74</v>
      </c>
      <c r="J65" s="35">
        <f t="shared" si="0"/>
        <v>2.9881616656379899E-7</v>
      </c>
      <c r="K65" s="36">
        <f t="shared" si="0"/>
        <v>-1.20977438181932E-9</v>
      </c>
      <c r="L65" s="36">
        <f t="shared" si="0"/>
        <v>5.4743151005675998E-4</v>
      </c>
      <c r="M65" s="37">
        <f t="shared" si="1"/>
        <v>-8.5680465224791883E-5</v>
      </c>
      <c r="O65" s="105"/>
      <c r="P65" t="s">
        <v>74</v>
      </c>
      <c r="Q65" s="3">
        <f>J65/SQRT(J63*L65)</f>
        <v>0.24890335842385489</v>
      </c>
      <c r="R65" s="3">
        <f>K65/SQRT(K64*L65)</f>
        <v>-0.13592580960847844</v>
      </c>
      <c r="S65">
        <v>1</v>
      </c>
    </row>
    <row r="66" spans="8:20" x14ac:dyDescent="0.25">
      <c r="H66" t="s">
        <v>71</v>
      </c>
      <c r="I66" t="s">
        <v>56</v>
      </c>
      <c r="J66" s="38">
        <f>J53</f>
        <v>-5.7588436967373319E-7</v>
      </c>
      <c r="K66" s="39">
        <f t="shared" ref="K66:L66" si="2">K53</f>
        <v>2.4962801747373503E-9</v>
      </c>
      <c r="L66" s="39">
        <f t="shared" si="2"/>
        <v>-8.5680465224791897E-5</v>
      </c>
      <c r="M66" s="40">
        <v>4.0002429282022501E-4</v>
      </c>
      <c r="O66" t="s">
        <v>71</v>
      </c>
      <c r="P66" t="s">
        <v>56</v>
      </c>
      <c r="Q66" s="3">
        <f>J66/SQRT(J63*M66)</f>
        <v>-0.56115607726255845</v>
      </c>
      <c r="R66" s="3">
        <f>K66/SQRT(K64*M66)</f>
        <v>0.32810480095941874</v>
      </c>
      <c r="S66" s="3">
        <f>L66/SQRT(L65*M66)</f>
        <v>-0.18309384163106796</v>
      </c>
      <c r="T66">
        <v>1</v>
      </c>
    </row>
    <row r="70" spans="8:20" x14ac:dyDescent="0.25">
      <c r="H70" s="108" t="s">
        <v>81</v>
      </c>
      <c r="I70" s="108"/>
      <c r="J70" s="105" t="s">
        <v>20</v>
      </c>
      <c r="K70" s="105"/>
      <c r="L70" s="105"/>
    </row>
    <row r="71" spans="8:20" x14ac:dyDescent="0.25">
      <c r="H71" s="108"/>
      <c r="I71" s="108"/>
      <c r="J71" t="s">
        <v>53</v>
      </c>
      <c r="K71" t="s">
        <v>54</v>
      </c>
      <c r="L71" t="s">
        <v>74</v>
      </c>
    </row>
    <row r="72" spans="8:20" x14ac:dyDescent="0.25">
      <c r="H72" s="105" t="s">
        <v>20</v>
      </c>
      <c r="I72" t="s">
        <v>53</v>
      </c>
      <c r="J72" s="1">
        <v>2.63279397374706E-9</v>
      </c>
      <c r="K72" s="1">
        <v>-1.0856742219426099E-11</v>
      </c>
      <c r="L72" s="1">
        <f>J74</f>
        <v>2.9881616656379899E-7</v>
      </c>
    </row>
    <row r="73" spans="8:20" x14ac:dyDescent="0.25">
      <c r="H73" s="105"/>
      <c r="I73" t="s">
        <v>54</v>
      </c>
      <c r="J73" s="1">
        <v>-1.0856742219426099E-11</v>
      </c>
      <c r="K73" s="1">
        <v>1.4470219489247401E-13</v>
      </c>
      <c r="L73" s="1">
        <f>K74</f>
        <v>-1.20977438181932E-9</v>
      </c>
    </row>
    <row r="74" spans="8:20" x14ac:dyDescent="0.25">
      <c r="H74" s="105"/>
      <c r="I74" t="s">
        <v>74</v>
      </c>
      <c r="J74" s="1">
        <v>2.9881616656379899E-7</v>
      </c>
      <c r="K74" s="1">
        <v>-1.20977438181932E-9</v>
      </c>
      <c r="L74">
        <v>5.4743151005675998E-4</v>
      </c>
    </row>
    <row r="81" spans="9:13" x14ac:dyDescent="0.25">
      <c r="I81" t="s">
        <v>84</v>
      </c>
      <c r="J81" t="s">
        <v>53</v>
      </c>
      <c r="K81" t="s">
        <v>54</v>
      </c>
      <c r="L81" t="s">
        <v>83</v>
      </c>
      <c r="M81" t="s">
        <v>41</v>
      </c>
    </row>
    <row r="82" spans="9:13" x14ac:dyDescent="0.25">
      <c r="I82" t="s">
        <v>53</v>
      </c>
      <c r="J82" s="1">
        <v>2.63279397374706E-9</v>
      </c>
      <c r="K82" s="1">
        <v>-1.0856742219426099E-11</v>
      </c>
      <c r="L82" s="1">
        <v>1.0808684454761899E-9</v>
      </c>
      <c r="M82" s="1">
        <v>2.9881616656379899E-7</v>
      </c>
    </row>
    <row r="83" spans="9:13" x14ac:dyDescent="0.25">
      <c r="I83" t="s">
        <v>54</v>
      </c>
      <c r="J83" s="1">
        <v>-1.0856742219426099E-11</v>
      </c>
      <c r="K83" s="1">
        <v>1.4470219489247401E-13</v>
      </c>
      <c r="L83" s="1">
        <v>-4.6832630889642904E-12</v>
      </c>
      <c r="M83" s="1">
        <v>-1.20977438181932E-9</v>
      </c>
    </row>
    <row r="84" spans="9:13" x14ac:dyDescent="0.25">
      <c r="I84" t="s">
        <v>83</v>
      </c>
      <c r="J84" s="1">
        <v>1.0808684454761899E-9</v>
      </c>
      <c r="K84" s="1">
        <v>-4.6832630889642904E-12</v>
      </c>
      <c r="L84" s="1">
        <v>7.5457528433183603E-8</v>
      </c>
      <c r="M84" s="1">
        <v>-5.9301227471348703E-6</v>
      </c>
    </row>
    <row r="85" spans="9:13" x14ac:dyDescent="0.25">
      <c r="I85" t="s">
        <v>41</v>
      </c>
      <c r="J85" s="1">
        <v>2.9881616656379899E-7</v>
      </c>
      <c r="K85" s="1">
        <v>-1.20977438181932E-9</v>
      </c>
      <c r="L85" s="1">
        <v>-5.9301227619394003E-6</v>
      </c>
      <c r="M85">
        <v>5.4863340785532403E-4</v>
      </c>
    </row>
    <row r="87" spans="9:13" x14ac:dyDescent="0.25">
      <c r="I87" t="s">
        <v>66</v>
      </c>
      <c r="J87" t="s">
        <v>53</v>
      </c>
      <c r="K87" t="s">
        <v>54</v>
      </c>
      <c r="L87" t="s">
        <v>83</v>
      </c>
      <c r="M87" t="s">
        <v>41</v>
      </c>
    </row>
    <row r="88" spans="9:13" x14ac:dyDescent="0.25">
      <c r="I88" t="s">
        <v>53</v>
      </c>
      <c r="J88" s="1">
        <v>1</v>
      </c>
      <c r="K88" s="1">
        <v>0</v>
      </c>
      <c r="L88" s="1">
        <v>0</v>
      </c>
      <c r="M88" s="1">
        <v>0</v>
      </c>
    </row>
    <row r="89" spans="9:13" x14ac:dyDescent="0.25">
      <c r="I89" t="s">
        <v>54</v>
      </c>
      <c r="J89" s="1">
        <v>0</v>
      </c>
      <c r="K89" s="1">
        <v>1</v>
      </c>
      <c r="L89" s="1">
        <v>0</v>
      </c>
      <c r="M89" s="1">
        <v>0</v>
      </c>
    </row>
    <row r="90" spans="9:13" x14ac:dyDescent="0.25">
      <c r="I90" t="s">
        <v>41</v>
      </c>
      <c r="J90" s="1">
        <v>0</v>
      </c>
      <c r="K90" s="1">
        <v>0</v>
      </c>
      <c r="L90" s="1">
        <v>0</v>
      </c>
      <c r="M90" s="1">
        <v>1</v>
      </c>
    </row>
    <row r="91" spans="9:13" x14ac:dyDescent="0.25">
      <c r="I91" t="s">
        <v>85</v>
      </c>
      <c r="J91" s="1">
        <v>0</v>
      </c>
      <c r="K91" s="1">
        <v>0</v>
      </c>
      <c r="L91">
        <f>-1/(3*1.0075)</f>
        <v>-0.33085194375516958</v>
      </c>
      <c r="M91" s="1">
        <v>0</v>
      </c>
    </row>
    <row r="94" spans="9:13" x14ac:dyDescent="0.25">
      <c r="I94" t="s">
        <v>86</v>
      </c>
      <c r="J94" t="s">
        <v>53</v>
      </c>
      <c r="K94" t="s">
        <v>54</v>
      </c>
      <c r="L94" t="s">
        <v>41</v>
      </c>
      <c r="M94" t="s">
        <v>85</v>
      </c>
    </row>
    <row r="95" spans="9:13" x14ac:dyDescent="0.25">
      <c r="I95" s="8" t="s">
        <v>53</v>
      </c>
      <c r="J95" s="41">
        <f t="array" ref="J95:M98">MMULT(MMULT(J88:M91,J82:M85),TRANSPOSE(J88:M91))</f>
        <v>2.63279397374706E-9</v>
      </c>
      <c r="K95" s="41">
        <v>-1.0856742219426099E-11</v>
      </c>
      <c r="L95" s="41">
        <v>2.9881616656379899E-7</v>
      </c>
      <c r="M95" s="41">
        <v>-3.5760742612942597E-10</v>
      </c>
    </row>
    <row r="96" spans="9:13" x14ac:dyDescent="0.25">
      <c r="I96" s="8" t="s">
        <v>54</v>
      </c>
      <c r="J96" s="41">
        <v>-1.0856742219426099E-11</v>
      </c>
      <c r="K96" s="41">
        <v>1.4470219489247401E-13</v>
      </c>
      <c r="L96" s="41">
        <v>-1.20977438181932E-9</v>
      </c>
      <c r="M96" s="41">
        <v>1.5494666961006752E-12</v>
      </c>
    </row>
    <row r="97" spans="9:13" x14ac:dyDescent="0.25">
      <c r="I97" s="8" t="s">
        <v>41</v>
      </c>
      <c r="J97" s="41">
        <v>2.9881616656379899E-7</v>
      </c>
      <c r="K97" s="41">
        <v>-1.20977438181932E-9</v>
      </c>
      <c r="L97" s="41">
        <v>5.4863340785532403E-4</v>
      </c>
      <c r="M97" s="41">
        <v>1.9619926424944252E-6</v>
      </c>
    </row>
    <row r="98" spans="9:13" x14ac:dyDescent="0.25">
      <c r="I98" s="8" t="s">
        <v>85</v>
      </c>
      <c r="J98" s="41">
        <v>-3.5760742612942597E-10</v>
      </c>
      <c r="K98" s="41">
        <v>1.5494666961006752E-12</v>
      </c>
      <c r="L98" s="41">
        <v>1.9619926375963179E-6</v>
      </c>
      <c r="M98" s="41">
        <v>8.2598080903489737E-9</v>
      </c>
    </row>
    <row r="100" spans="9:13" x14ac:dyDescent="0.25">
      <c r="J100">
        <f>J98/SQRT(J95*M98)</f>
        <v>-7.6685475131952896E-2</v>
      </c>
      <c r="K100">
        <f>K98/SQRT(K96*M98)</f>
        <v>4.4818746735222584E-2</v>
      </c>
      <c r="L100">
        <f>L98/SQRT(L97*M98)</f>
        <v>0.92166112598293437</v>
      </c>
    </row>
  </sheetData>
  <mergeCells count="23">
    <mergeCell ref="H50:H52"/>
    <mergeCell ref="H61:I62"/>
    <mergeCell ref="J61:L61"/>
    <mergeCell ref="H63:H65"/>
    <mergeCell ref="H72:H74"/>
    <mergeCell ref="H70:I71"/>
    <mergeCell ref="J70:L70"/>
    <mergeCell ref="O61:P62"/>
    <mergeCell ref="O63:O65"/>
    <mergeCell ref="Q61:S61"/>
    <mergeCell ref="H11:H12"/>
    <mergeCell ref="J2:M2"/>
    <mergeCell ref="H24:H26"/>
    <mergeCell ref="H2:I3"/>
    <mergeCell ref="H9:I10"/>
    <mergeCell ref="H22:I23"/>
    <mergeCell ref="H37:H39"/>
    <mergeCell ref="H35:I36"/>
    <mergeCell ref="J35:M35"/>
    <mergeCell ref="Q2:T2"/>
    <mergeCell ref="O4:O7"/>
    <mergeCell ref="H48:I49"/>
    <mergeCell ref="J48:L48"/>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 defaultRowHeight="15.75" x14ac:dyDescent="0.25"/>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3"/>
  <sheetViews>
    <sheetView topLeftCell="A79" workbookViewId="0">
      <selection activeCell="C93" sqref="C93"/>
    </sheetView>
  </sheetViews>
  <sheetFormatPr defaultRowHeight="15.75" x14ac:dyDescent="0.25"/>
  <cols>
    <col min="2" max="2" width="10.125" customWidth="1"/>
    <col min="3" max="3" width="11.875" bestFit="1" customWidth="1"/>
    <col min="17" max="25" width="15.125" customWidth="1"/>
    <col min="32" max="32" width="10.75" customWidth="1"/>
    <col min="33" max="33" width="11.875" bestFit="1" customWidth="1"/>
    <col min="36" max="42" width="12.5" bestFit="1" customWidth="1"/>
    <col min="43" max="43" width="11.875" bestFit="1" customWidth="1"/>
    <col min="44" max="44" width="12.5" bestFit="1" customWidth="1"/>
    <col min="47" max="53" width="15.125" bestFit="1" customWidth="1"/>
    <col min="54" max="54" width="14.5" bestFit="1" customWidth="1"/>
    <col min="55" max="55" width="14.75" bestFit="1" customWidth="1"/>
  </cols>
  <sheetData>
    <row r="1" spans="11:38" ht="15.75" customHeight="1" x14ac:dyDescent="0.25">
      <c r="K1" s="110" t="s">
        <v>93</v>
      </c>
      <c r="L1" s="110"/>
      <c r="M1" s="106" t="s">
        <v>20</v>
      </c>
      <c r="N1" s="106"/>
      <c r="O1" s="106"/>
      <c r="P1" s="106"/>
      <c r="Q1" s="106" t="s">
        <v>21</v>
      </c>
      <c r="R1" s="106"/>
      <c r="S1" s="106"/>
      <c r="T1" s="106"/>
      <c r="U1" t="s">
        <v>89</v>
      </c>
      <c r="V1" t="s">
        <v>90</v>
      </c>
      <c r="W1" s="106" t="s">
        <v>91</v>
      </c>
      <c r="X1" s="106"/>
      <c r="Y1" s="106" t="s">
        <v>26</v>
      </c>
      <c r="Z1" s="106"/>
      <c r="AA1" s="106"/>
      <c r="AB1" s="106" t="s">
        <v>27</v>
      </c>
      <c r="AC1" s="106"/>
      <c r="AD1" s="106"/>
      <c r="AE1" s="106" t="s">
        <v>92</v>
      </c>
      <c r="AF1" s="106"/>
      <c r="AG1" s="106"/>
      <c r="AH1" s="10" t="s">
        <v>61</v>
      </c>
      <c r="AI1" s="10" t="s">
        <v>60</v>
      </c>
      <c r="AJ1" s="10" t="s">
        <v>62</v>
      </c>
      <c r="AK1" s="106" t="s">
        <v>91</v>
      </c>
      <c r="AL1" s="106"/>
    </row>
    <row r="2" spans="11:38" x14ac:dyDescent="0.25">
      <c r="K2" s="110"/>
      <c r="L2" s="110"/>
      <c r="M2" t="s">
        <v>16</v>
      </c>
      <c r="N2" t="s">
        <v>17</v>
      </c>
      <c r="O2" t="s">
        <v>18</v>
      </c>
      <c r="P2" t="s">
        <v>19</v>
      </c>
      <c r="Q2" t="s">
        <v>16</v>
      </c>
      <c r="R2" t="s">
        <v>17</v>
      </c>
      <c r="S2" t="s">
        <v>18</v>
      </c>
      <c r="T2" t="s">
        <v>19</v>
      </c>
      <c r="U2" t="s">
        <v>23</v>
      </c>
      <c r="V2" t="s">
        <v>23</v>
      </c>
      <c r="W2" t="s">
        <v>25</v>
      </c>
      <c r="X2" t="s">
        <v>23</v>
      </c>
      <c r="Y2" t="s">
        <v>29</v>
      </c>
      <c r="Z2" t="s">
        <v>30</v>
      </c>
      <c r="AA2" t="s">
        <v>31</v>
      </c>
      <c r="AB2" t="s">
        <v>29</v>
      </c>
      <c r="AC2" t="s">
        <v>30</v>
      </c>
      <c r="AD2" t="s">
        <v>31</v>
      </c>
      <c r="AE2" t="s">
        <v>29</v>
      </c>
      <c r="AF2" t="s">
        <v>30</v>
      </c>
      <c r="AG2" t="s">
        <v>31</v>
      </c>
      <c r="AH2" t="s">
        <v>70</v>
      </c>
      <c r="AI2" t="s">
        <v>70</v>
      </c>
      <c r="AJ2" t="s">
        <v>70</v>
      </c>
      <c r="AK2" t="s">
        <v>36</v>
      </c>
      <c r="AL2" t="s">
        <v>38</v>
      </c>
    </row>
    <row r="3" spans="11:38" ht="15.75" customHeight="1" x14ac:dyDescent="0.25">
      <c r="K3" s="107" t="s">
        <v>20</v>
      </c>
      <c r="L3" t="s">
        <v>16</v>
      </c>
      <c r="M3" s="46">
        <f>covAll!C3</f>
        <v>8.4401259077672205E-11</v>
      </c>
      <c r="N3" s="44">
        <f>covAll!D3</f>
        <v>1.55416031925672E-9</v>
      </c>
      <c r="O3" s="44">
        <f>covAll!E3</f>
        <v>1.3041691008029899E-9</v>
      </c>
      <c r="P3" s="44">
        <f>covAll!F3</f>
        <v>3.1932364132018999E-9</v>
      </c>
      <c r="Q3" s="44">
        <f>covAll!G3</f>
        <v>2.0206837533478099E-12</v>
      </c>
      <c r="R3" s="44">
        <f>covAll!H3</f>
        <v>3.4280094182598698E-11</v>
      </c>
      <c r="S3" s="44">
        <f>covAll!I3</f>
        <v>2.9582366625899502E-11</v>
      </c>
      <c r="T3" s="44">
        <f>covAll!J3</f>
        <v>7.0834597723109595E-11</v>
      </c>
      <c r="U3" s="44">
        <f>covAll!K3</f>
        <v>3.4511768718235002E-9</v>
      </c>
      <c r="V3" s="44">
        <f>covAll!L3</f>
        <v>3.60411214207655E-9</v>
      </c>
      <c r="W3" s="44">
        <f>covAll!M3</f>
        <v>-1.2805694858873E-11</v>
      </c>
      <c r="X3" s="44">
        <f>covAll!N3</f>
        <v>-4.8913092254087399E-15</v>
      </c>
      <c r="Y3" s="44">
        <f>covAll!O3</f>
        <v>-3.7990667121890198E-13</v>
      </c>
      <c r="Z3" s="44">
        <f>covAll!P3</f>
        <v>3.7607470820352802E-12</v>
      </c>
      <c r="AA3" s="44">
        <f>covAll!Q3</f>
        <v>1.5201563720946699E-11</v>
      </c>
      <c r="AB3" s="44">
        <f>covAll!R3</f>
        <v>1.5110590848249301E-13</v>
      </c>
      <c r="AC3" s="44">
        <f>covAll!S3</f>
        <v>-1.0398825082839299E-12</v>
      </c>
      <c r="AD3" s="44">
        <f>covAll!T3</f>
        <v>1.7431024207519499E-13</v>
      </c>
      <c r="AE3" s="44">
        <f>covAll!U3</f>
        <v>1.26308767525865E-13</v>
      </c>
      <c r="AF3" s="44">
        <f>covAll!V3</f>
        <v>-1.7534031731342499E-13</v>
      </c>
      <c r="AG3" s="44">
        <f>covAll!W3</f>
        <v>1.3100978045243599E-11</v>
      </c>
      <c r="AH3" s="44">
        <f>covAll!X3</f>
        <v>-1.89361216059655E-13</v>
      </c>
      <c r="AI3" s="44">
        <f>covAll!Y3</f>
        <v>-8.8776237142555295E-13</v>
      </c>
      <c r="AJ3" s="44">
        <f>covAll!Z3</f>
        <v>-5.1921039688549697E-13</v>
      </c>
      <c r="AK3" s="44">
        <f>covAll!AA3</f>
        <v>2.8302868237776899E-11</v>
      </c>
      <c r="AL3" s="44">
        <f>covAll!AB3</f>
        <v>-5.7932655887560996E-9</v>
      </c>
    </row>
    <row r="4" spans="11:38" x14ac:dyDescent="0.25">
      <c r="K4" s="107"/>
      <c r="L4" t="s">
        <v>17</v>
      </c>
      <c r="M4" s="47">
        <f>covAll!C4</f>
        <v>1.55416031925672E-9</v>
      </c>
      <c r="N4" s="45">
        <f>covAll!D4</f>
        <v>2.96432009871071E-8</v>
      </c>
      <c r="O4" s="45">
        <f>covAll!E4</f>
        <v>2.4477356887950001E-8</v>
      </c>
      <c r="P4" s="45">
        <f>covAll!F4</f>
        <v>6.0583378017892395E-8</v>
      </c>
      <c r="Q4" s="45">
        <f>covAll!G4</f>
        <v>4.0956018313098501E-11</v>
      </c>
      <c r="R4" s="45">
        <f>covAll!H4</f>
        <v>7.0629014924019097E-10</v>
      </c>
      <c r="S4" s="45">
        <f>covAll!I4</f>
        <v>6.0856147397871202E-10</v>
      </c>
      <c r="T4" s="45">
        <f>covAll!J4</f>
        <v>1.46915062118881E-9</v>
      </c>
      <c r="U4" s="45">
        <f>covAll!K4</f>
        <v>6.0096316989209802E-8</v>
      </c>
      <c r="V4" s="45">
        <f>covAll!L4</f>
        <v>6.5224032204546995E-8</v>
      </c>
      <c r="W4" s="45">
        <f>covAll!M4</f>
        <v>-2.3167409190867199E-10</v>
      </c>
      <c r="X4" s="45">
        <f>covAll!N4</f>
        <v>2.2899376775817599E-14</v>
      </c>
      <c r="Y4" s="45">
        <f>covAll!O4</f>
        <v>1.17329364196046E-12</v>
      </c>
      <c r="Z4" s="45">
        <f>covAll!P4</f>
        <v>8.8824130776260307E-12</v>
      </c>
      <c r="AA4" s="45">
        <f>covAll!Q4</f>
        <v>-5.7742547559387199E-11</v>
      </c>
      <c r="AB4" s="45">
        <f>covAll!R4</f>
        <v>7.6716014453030905E-12</v>
      </c>
      <c r="AC4" s="45">
        <f>covAll!S4</f>
        <v>-3.8574071906485798E-11</v>
      </c>
      <c r="AD4" s="45">
        <f>covAll!T4</f>
        <v>-9.4826056285775206E-11</v>
      </c>
      <c r="AE4" s="45">
        <f>covAll!U4</f>
        <v>1.2084213428397501E-11</v>
      </c>
      <c r="AF4" s="45">
        <f>covAll!V4</f>
        <v>-6.2983465907484704E-11</v>
      </c>
      <c r="AG4" s="45">
        <f>covAll!W4</f>
        <v>-1.5680445536807499E-10</v>
      </c>
      <c r="AH4" s="45">
        <f>covAll!X4</f>
        <v>-2.0025418163843799E-12</v>
      </c>
      <c r="AI4" s="45">
        <f>covAll!Y4</f>
        <v>-1.44323751503872E-11</v>
      </c>
      <c r="AJ4" s="45">
        <f>covAll!Z4</f>
        <v>-3.4922031052906902E-12</v>
      </c>
      <c r="AK4" s="45">
        <f>covAll!AA4</f>
        <v>7.3438293664634899E-10</v>
      </c>
      <c r="AL4" s="45">
        <f>covAll!AB4</f>
        <v>-1.27525182298306E-7</v>
      </c>
    </row>
    <row r="5" spans="11:38" x14ac:dyDescent="0.25">
      <c r="K5" s="107"/>
      <c r="L5" t="s">
        <v>18</v>
      </c>
      <c r="M5" s="47">
        <f>covAll!C5</f>
        <v>1.3041691008029899E-9</v>
      </c>
      <c r="N5" s="45">
        <f>covAll!D5</f>
        <v>2.4477356887950001E-8</v>
      </c>
      <c r="O5" s="45">
        <f>covAll!E5</f>
        <v>2.05234328180331E-8</v>
      </c>
      <c r="P5" s="45">
        <f>covAll!F5</f>
        <v>5.0614290086508102E-8</v>
      </c>
      <c r="Q5" s="45">
        <f>covAll!G5</f>
        <v>3.4993790071701499E-11</v>
      </c>
      <c r="R5" s="45">
        <f>covAll!H5</f>
        <v>6.0702033280199705E-10</v>
      </c>
      <c r="S5" s="45">
        <f>covAll!I5</f>
        <v>5.2137398315738198E-10</v>
      </c>
      <c r="T5" s="45">
        <f>covAll!J5</f>
        <v>1.25753243881695E-9</v>
      </c>
      <c r="U5" s="45">
        <f>covAll!K5</f>
        <v>4.3662818016138698E-8</v>
      </c>
      <c r="V5" s="45">
        <f>covAll!L5</f>
        <v>5.4669682313650302E-8</v>
      </c>
      <c r="W5" s="45">
        <f>covAll!M5</f>
        <v>-1.9789095734097799E-10</v>
      </c>
      <c r="X5" s="45">
        <f>covAll!N5</f>
        <v>-2.38972450737579E-15</v>
      </c>
      <c r="Y5" s="45">
        <f>covAll!O5</f>
        <v>6.4940111194771798E-13</v>
      </c>
      <c r="Z5" s="45">
        <f>covAll!P5</f>
        <v>6.7097010663047103E-12</v>
      </c>
      <c r="AA5" s="45">
        <f>covAll!Q5</f>
        <v>-3.25227369227612E-11</v>
      </c>
      <c r="AB5" s="45">
        <f>covAll!R5</f>
        <v>6.7188019200498098E-12</v>
      </c>
      <c r="AC5" s="45">
        <f>covAll!S5</f>
        <v>-2.4440006752823801E-11</v>
      </c>
      <c r="AD5" s="45">
        <f>covAll!T5</f>
        <v>-7.2843307655229596E-11</v>
      </c>
      <c r="AE5" s="45">
        <f>covAll!U5</f>
        <v>8.7644765056342194E-12</v>
      </c>
      <c r="AF5" s="45">
        <f>covAll!V5</f>
        <v>-5.2497344841684699E-11</v>
      </c>
      <c r="AG5" s="45">
        <f>covAll!W5</f>
        <v>-1.21801536314926E-10</v>
      </c>
      <c r="AH5" s="45">
        <f>covAll!X5</f>
        <v>-1.4669724279417799E-12</v>
      </c>
      <c r="AI5" s="45">
        <f>covAll!Y5</f>
        <v>-1.0773308973031E-11</v>
      </c>
      <c r="AJ5" s="45">
        <f>covAll!Z5</f>
        <v>-3.1505417158367802E-12</v>
      </c>
      <c r="AK5" s="45">
        <f>covAll!AA5</f>
        <v>6.2238337509856096E-10</v>
      </c>
      <c r="AL5" s="45">
        <f>covAll!AB5</f>
        <v>-1.01270850319871E-7</v>
      </c>
    </row>
    <row r="6" spans="11:38" x14ac:dyDescent="0.25">
      <c r="K6" s="107"/>
      <c r="L6" t="s">
        <v>19</v>
      </c>
      <c r="M6" s="47">
        <f>covAll!C6</f>
        <v>3.1932364132018999E-9</v>
      </c>
      <c r="N6" s="45">
        <f>covAll!D6</f>
        <v>6.0583378017892395E-8</v>
      </c>
      <c r="O6" s="45">
        <f>covAll!E6</f>
        <v>5.0614290086508102E-8</v>
      </c>
      <c r="P6" s="45">
        <f>covAll!F6</f>
        <v>1.26612905100539E-7</v>
      </c>
      <c r="Q6" s="45">
        <f>covAll!G6</f>
        <v>8.3566948602299903E-11</v>
      </c>
      <c r="R6" s="45">
        <f>covAll!H6</f>
        <v>1.44186183481024E-9</v>
      </c>
      <c r="S6" s="45">
        <f>covAll!I6</f>
        <v>1.24002389852991E-9</v>
      </c>
      <c r="T6" s="45">
        <f>covAll!J6</f>
        <v>2.9980738377796102E-9</v>
      </c>
      <c r="U6" s="45">
        <f>covAll!K6</f>
        <v>3.80179822755706E-8</v>
      </c>
      <c r="V6" s="45">
        <f>covAll!L6</f>
        <v>1.1278996807307201E-7</v>
      </c>
      <c r="W6" s="45">
        <f>covAll!M6</f>
        <v>-4.05316154658364E-10</v>
      </c>
      <c r="X6" s="45">
        <f>covAll!N6</f>
        <v>-1.54318091227254E-13</v>
      </c>
      <c r="Y6" s="45">
        <f>covAll!O6</f>
        <v>2.82004015370126E-11</v>
      </c>
      <c r="Z6" s="45">
        <f>covAll!P6</f>
        <v>-1.61002234505465E-10</v>
      </c>
      <c r="AA6" s="45">
        <f>covAll!Q6</f>
        <v>-1.06678093797147E-9</v>
      </c>
      <c r="AB6" s="45">
        <f>covAll!R6</f>
        <v>2.9807682640447702E-11</v>
      </c>
      <c r="AC6" s="45">
        <f>covAll!S6</f>
        <v>-1.52514867938717E-10</v>
      </c>
      <c r="AD6" s="45">
        <f>covAll!T6</f>
        <v>-6.3397534188604298E-10</v>
      </c>
      <c r="AE6" s="45">
        <f>covAll!U6</f>
        <v>4.4902622634633403E-11</v>
      </c>
      <c r="AF6" s="45">
        <f>covAll!V6</f>
        <v>-2.9339106125165602E-10</v>
      </c>
      <c r="AG6" s="45">
        <f>covAll!W6</f>
        <v>-1.26911520659682E-9</v>
      </c>
      <c r="AH6" s="45">
        <f>covAll!X6</f>
        <v>1.00141804769503E-12</v>
      </c>
      <c r="AI6" s="45">
        <f>covAll!Y6</f>
        <v>-8.9572811404856602E-12</v>
      </c>
      <c r="AJ6" s="45">
        <f>covAll!Z6</f>
        <v>3.0481589479372402E-12</v>
      </c>
      <c r="AK6" s="45">
        <f>covAll!AA6</f>
        <v>2.2038505529541698E-9</v>
      </c>
      <c r="AL6" s="45">
        <f>covAll!AB6</f>
        <v>-2.8391472361696899E-7</v>
      </c>
    </row>
    <row r="7" spans="11:38" ht="15.75" customHeight="1" x14ac:dyDescent="0.25">
      <c r="K7" s="107" t="s">
        <v>21</v>
      </c>
      <c r="L7" t="s">
        <v>16</v>
      </c>
      <c r="M7" s="47">
        <f>covAll!C7</f>
        <v>2.0206837533478099E-12</v>
      </c>
      <c r="N7" s="45">
        <f>covAll!D7</f>
        <v>4.0956018313098501E-11</v>
      </c>
      <c r="O7" s="45">
        <f>covAll!E7</f>
        <v>3.4993790071701499E-11</v>
      </c>
      <c r="P7" s="45">
        <f>covAll!F7</f>
        <v>8.3566948602299903E-11</v>
      </c>
      <c r="Q7" s="45">
        <f>covAll!G7</f>
        <v>8.7848722343766502E-11</v>
      </c>
      <c r="R7" s="45">
        <f>covAll!H7</f>
        <v>1.59088583462917E-9</v>
      </c>
      <c r="S7" s="45">
        <f>covAll!I7</f>
        <v>1.3195772345904301E-9</v>
      </c>
      <c r="T7" s="45">
        <f>covAll!J7</f>
        <v>3.2029349979360501E-9</v>
      </c>
      <c r="U7" s="45">
        <f>covAll!K7</f>
        <v>-1.0413433701677001E-9</v>
      </c>
      <c r="V7" s="45">
        <f>covAll!L7</f>
        <v>-4.2772698702986601E-10</v>
      </c>
      <c r="W7" s="45">
        <f>covAll!M7</f>
        <v>4.6109639518923001E-13</v>
      </c>
      <c r="X7" s="45">
        <f>covAll!N7</f>
        <v>5.5238194610287197E-14</v>
      </c>
      <c r="Y7" s="45">
        <f>covAll!O7</f>
        <v>1.6928660814852301E-12</v>
      </c>
      <c r="Z7" s="45">
        <f>covAll!P7</f>
        <v>-1.04821219133278E-11</v>
      </c>
      <c r="AA7" s="45">
        <f>covAll!Q7</f>
        <v>-6.0022770291549203E-11</v>
      </c>
      <c r="AB7" s="45">
        <f>covAll!R7</f>
        <v>4.2634161435867802E-13</v>
      </c>
      <c r="AC7" s="45">
        <f>covAll!S7</f>
        <v>-1.07704405708573E-11</v>
      </c>
      <c r="AD7" s="45">
        <f>covAll!T7</f>
        <v>-5.07658302216432E-11</v>
      </c>
      <c r="AE7" s="45">
        <f>covAll!U7</f>
        <v>1.3565402496660199E-12</v>
      </c>
      <c r="AF7" s="45">
        <f>covAll!V7</f>
        <v>-1.49013638739684E-11</v>
      </c>
      <c r="AG7" s="45">
        <f>covAll!W7</f>
        <v>-6.6227578692498003E-11</v>
      </c>
      <c r="AH7" s="45">
        <f>covAll!X7</f>
        <v>7.9686086334954099E-14</v>
      </c>
      <c r="AI7" s="45">
        <f>covAll!Y7</f>
        <v>1.2574539088527201E-12</v>
      </c>
      <c r="AJ7" s="45">
        <f>covAll!Z7</f>
        <v>2.2737161111034601E-12</v>
      </c>
      <c r="AK7" s="45">
        <f>covAll!AA7</f>
        <v>1.7989513735451599E-11</v>
      </c>
      <c r="AL7" s="45">
        <f>covAll!AB7</f>
        <v>-1.36240371281332E-9</v>
      </c>
    </row>
    <row r="8" spans="11:38" x14ac:dyDescent="0.25">
      <c r="K8" s="107"/>
      <c r="L8" t="s">
        <v>17</v>
      </c>
      <c r="M8" s="47">
        <f>covAll!C8</f>
        <v>3.4280094182598698E-11</v>
      </c>
      <c r="N8" s="45">
        <f>covAll!D8</f>
        <v>7.0629014924019097E-10</v>
      </c>
      <c r="O8" s="45">
        <f>covAll!E8</f>
        <v>6.0702033280199705E-10</v>
      </c>
      <c r="P8" s="45">
        <f>covAll!F8</f>
        <v>1.44186183481024E-9</v>
      </c>
      <c r="Q8" s="45">
        <f>covAll!G8</f>
        <v>1.59088583462917E-9</v>
      </c>
      <c r="R8" s="45">
        <f>covAll!H8</f>
        <v>2.89071624204747E-8</v>
      </c>
      <c r="S8" s="45">
        <f>covAll!I8</f>
        <v>2.3940041647645701E-8</v>
      </c>
      <c r="T8" s="45">
        <f>covAll!J8</f>
        <v>5.8160208934298099E-8</v>
      </c>
      <c r="U8" s="45">
        <f>covAll!K8</f>
        <v>-1.93479398583659E-8</v>
      </c>
      <c r="V8" s="45">
        <f>covAll!L8</f>
        <v>-8.1360571029288803E-9</v>
      </c>
      <c r="W8" s="45">
        <f>covAll!M8</f>
        <v>1.5724233703089099E-11</v>
      </c>
      <c r="X8" s="45">
        <f>covAll!N8</f>
        <v>1.1283288580120799E-12</v>
      </c>
      <c r="Y8" s="45">
        <f>covAll!O8</f>
        <v>3.1847587585539301E-11</v>
      </c>
      <c r="Z8" s="45">
        <f>covAll!P8</f>
        <v>-1.9413496020137099E-10</v>
      </c>
      <c r="AA8" s="45">
        <f>covAll!Q8</f>
        <v>-1.1238860634877601E-9</v>
      </c>
      <c r="AB8" s="45">
        <f>covAll!R8</f>
        <v>8.3536162146489106E-12</v>
      </c>
      <c r="AC8" s="45">
        <f>covAll!S8</f>
        <v>-2.0020140066951399E-10</v>
      </c>
      <c r="AD8" s="45">
        <f>covAll!T8</f>
        <v>-9.3694741770302908E-10</v>
      </c>
      <c r="AE8" s="45">
        <f>covAll!U8</f>
        <v>2.55429708727572E-11</v>
      </c>
      <c r="AF8" s="45">
        <f>covAll!V8</f>
        <v>-2.7724439353173803E-10</v>
      </c>
      <c r="AG8" s="45">
        <f>covAll!W8</f>
        <v>-1.2525554995339901E-9</v>
      </c>
      <c r="AH8" s="45">
        <f>covAll!X8</f>
        <v>1.7967596711700301E-12</v>
      </c>
      <c r="AI8" s="45">
        <f>covAll!Y8</f>
        <v>2.4772325563349401E-11</v>
      </c>
      <c r="AJ8" s="45">
        <f>covAll!Z8</f>
        <v>4.1258938303669301E-11</v>
      </c>
      <c r="AK8" s="45">
        <f>covAll!AA8</f>
        <v>3.5607402058311199E-10</v>
      </c>
      <c r="AL8" s="45">
        <f>covAll!AB8</f>
        <v>-2.65823538390996E-8</v>
      </c>
    </row>
    <row r="9" spans="11:38" x14ac:dyDescent="0.25">
      <c r="K9" s="107"/>
      <c r="L9" t="s">
        <v>18</v>
      </c>
      <c r="M9" s="47">
        <f>covAll!C9</f>
        <v>2.9582366625899502E-11</v>
      </c>
      <c r="N9" s="45">
        <f>covAll!D9</f>
        <v>6.0856147397871202E-10</v>
      </c>
      <c r="O9" s="45">
        <f>covAll!E9</f>
        <v>5.2137398315738198E-10</v>
      </c>
      <c r="P9" s="45">
        <f>covAll!F9</f>
        <v>1.24002389852991E-9</v>
      </c>
      <c r="Q9" s="45">
        <f>covAll!G9</f>
        <v>1.3195772345904301E-9</v>
      </c>
      <c r="R9" s="45">
        <f>covAll!H9</f>
        <v>2.3940041647645701E-8</v>
      </c>
      <c r="S9" s="45">
        <f>covAll!I9</f>
        <v>1.9856214073192601E-8</v>
      </c>
      <c r="T9" s="45">
        <f>covAll!J9</f>
        <v>4.8225750472980098E-8</v>
      </c>
      <c r="U9" s="45">
        <f>covAll!K9</f>
        <v>-1.1940629499550199E-8</v>
      </c>
      <c r="V9" s="45">
        <f>covAll!L9</f>
        <v>-5.0733975799127E-9</v>
      </c>
      <c r="W9" s="45">
        <f>covAll!M9</f>
        <v>6.7713277574953803E-12</v>
      </c>
      <c r="X9" s="45">
        <f>covAll!N9</f>
        <v>9.0507676087214699E-13</v>
      </c>
      <c r="Y9" s="45">
        <f>covAll!O9</f>
        <v>2.6790185465949901E-11</v>
      </c>
      <c r="Z9" s="45">
        <f>covAll!P9</f>
        <v>-1.64871767965524E-10</v>
      </c>
      <c r="AA9" s="45">
        <f>covAll!Q9</f>
        <v>-9.4307706253857796E-10</v>
      </c>
      <c r="AB9" s="45">
        <f>covAll!R9</f>
        <v>6.8317152992695797E-12</v>
      </c>
      <c r="AC9" s="45">
        <f>covAll!S9</f>
        <v>-1.6613192888334199E-10</v>
      </c>
      <c r="AD9" s="45">
        <f>covAll!T9</f>
        <v>-7.7809227177888502E-10</v>
      </c>
      <c r="AE9" s="45">
        <f>covAll!U9</f>
        <v>2.16682744561754E-11</v>
      </c>
      <c r="AF9" s="45">
        <f>covAll!V9</f>
        <v>-2.3366394413623701E-10</v>
      </c>
      <c r="AG9" s="45">
        <f>covAll!W9</f>
        <v>-1.0487836448713E-9</v>
      </c>
      <c r="AH9" s="45">
        <f>covAll!X9</f>
        <v>1.4538142857358399E-12</v>
      </c>
      <c r="AI9" s="45">
        <f>covAll!Y9</f>
        <v>2.0021393275879499E-11</v>
      </c>
      <c r="AJ9" s="45">
        <f>covAll!Z9</f>
        <v>3.4465114400772401E-11</v>
      </c>
      <c r="AK9" s="45">
        <f>covAll!AA9</f>
        <v>2.90303104950524E-10</v>
      </c>
      <c r="AL9" s="45">
        <f>covAll!AB9</f>
        <v>-2.2469068206986499E-8</v>
      </c>
    </row>
    <row r="10" spans="11:38" x14ac:dyDescent="0.25">
      <c r="K10" s="107"/>
      <c r="L10" t="s">
        <v>19</v>
      </c>
      <c r="M10" s="47">
        <f>covAll!C10</f>
        <v>7.0834597723109595E-11</v>
      </c>
      <c r="N10" s="45">
        <f>covAll!D10</f>
        <v>1.46915062118881E-9</v>
      </c>
      <c r="O10" s="45">
        <f>covAll!E10</f>
        <v>1.25753243881695E-9</v>
      </c>
      <c r="P10" s="45">
        <f>covAll!F10</f>
        <v>2.9980738377796102E-9</v>
      </c>
      <c r="Q10" s="45">
        <f>covAll!G10</f>
        <v>3.2029349979360501E-9</v>
      </c>
      <c r="R10" s="45">
        <f>covAll!H10</f>
        <v>5.8160208934298099E-8</v>
      </c>
      <c r="S10" s="45">
        <f>covAll!I10</f>
        <v>4.8225750472980098E-8</v>
      </c>
      <c r="T10" s="45">
        <f>covAll!J10</f>
        <v>1.17288456192502E-7</v>
      </c>
      <c r="U10" s="45">
        <f>covAll!K10</f>
        <v>-5.3169321940938803E-8</v>
      </c>
      <c r="V10" s="45">
        <f>covAll!L10</f>
        <v>-1.7021053219791799E-8</v>
      </c>
      <c r="W10" s="45">
        <f>covAll!M10</f>
        <v>4.1774129427629798E-11</v>
      </c>
      <c r="X10" s="45">
        <f>covAll!N10</f>
        <v>2.2958490404189201E-12</v>
      </c>
      <c r="Y10" s="45">
        <f>covAll!O10</f>
        <v>6.5933467726535198E-11</v>
      </c>
      <c r="Z10" s="45">
        <f>covAll!P10</f>
        <v>-3.9868407996763402E-10</v>
      </c>
      <c r="AA10" s="45">
        <f>covAll!Q10</f>
        <v>-2.3101609364378698E-9</v>
      </c>
      <c r="AB10" s="45">
        <f>covAll!R10</f>
        <v>1.6666516642513501E-11</v>
      </c>
      <c r="AC10" s="45">
        <f>covAll!S10</f>
        <v>-3.9809666380982599E-10</v>
      </c>
      <c r="AD10" s="45">
        <f>covAll!T10</f>
        <v>-1.8866169854077301E-9</v>
      </c>
      <c r="AE10" s="45">
        <f>covAll!U10</f>
        <v>5.2867495099967997E-11</v>
      </c>
      <c r="AF10" s="45">
        <f>covAll!V10</f>
        <v>-5.7403646166489399E-10</v>
      </c>
      <c r="AG10" s="45">
        <f>covAll!W10</f>
        <v>-2.5821351905693102E-9</v>
      </c>
      <c r="AH10" s="45">
        <f>covAll!X10</f>
        <v>3.6226965859704101E-12</v>
      </c>
      <c r="AI10" s="45">
        <f>covAll!Y10</f>
        <v>4.81115271450252E-11</v>
      </c>
      <c r="AJ10" s="45">
        <f>covAll!Z10</f>
        <v>8.3495967696413996E-11</v>
      </c>
      <c r="AK10" s="45">
        <f>covAll!AA10</f>
        <v>6.8800921461308596E-10</v>
      </c>
      <c r="AL10" s="45">
        <f>covAll!AB10</f>
        <v>-4.93400786471754E-8</v>
      </c>
    </row>
    <row r="11" spans="11:38" x14ac:dyDescent="0.25">
      <c r="K11" t="s">
        <v>89</v>
      </c>
      <c r="L11" t="s">
        <v>23</v>
      </c>
      <c r="M11" s="47">
        <f>covAll!C11</f>
        <v>3.4511768718235002E-9</v>
      </c>
      <c r="N11" s="45">
        <f>covAll!D11</f>
        <v>6.0096316989209802E-8</v>
      </c>
      <c r="O11" s="45">
        <f>covAll!E11</f>
        <v>4.3662818016138698E-8</v>
      </c>
      <c r="P11" s="45">
        <f>covAll!F11</f>
        <v>3.80179822755706E-8</v>
      </c>
      <c r="Q11" s="45">
        <f>covAll!G11</f>
        <v>-1.0413433701677001E-9</v>
      </c>
      <c r="R11" s="45">
        <f>covAll!H11</f>
        <v>-1.93479398583659E-8</v>
      </c>
      <c r="S11" s="45">
        <f>covAll!I11</f>
        <v>-1.1940629499550199E-8</v>
      </c>
      <c r="T11" s="45">
        <f>covAll!J11</f>
        <v>-5.3169321940938803E-8</v>
      </c>
      <c r="U11" s="45">
        <f>covAll!K11</f>
        <v>1.81134284156973E-3</v>
      </c>
      <c r="V11" s="45">
        <f>covAll!L11</f>
        <v>4.1507187261643401E-4</v>
      </c>
      <c r="W11" s="45">
        <f>covAll!M11</f>
        <v>-2.0409677422621001E-6</v>
      </c>
      <c r="X11" s="45">
        <f>covAll!N11</f>
        <v>8.8730767311662306E-9</v>
      </c>
      <c r="Y11" s="45">
        <f>covAll!O11</f>
        <v>1.2401865939377501E-8</v>
      </c>
      <c r="Z11" s="45">
        <f>covAll!P11</f>
        <v>-8.0622522686843605E-8</v>
      </c>
      <c r="AA11" s="45">
        <f>covAll!Q11</f>
        <v>-4.3685561389302099E-7</v>
      </c>
      <c r="AB11" s="45">
        <f>covAll!R11</f>
        <v>3.4948631852662402E-9</v>
      </c>
      <c r="AC11" s="45">
        <f>covAll!S11</f>
        <v>-3.7757072211500999E-8</v>
      </c>
      <c r="AD11" s="45">
        <f>covAll!T11</f>
        <v>-1.5674446071313E-7</v>
      </c>
      <c r="AE11" s="45">
        <f>covAll!U11</f>
        <v>9.7579239038499097E-9</v>
      </c>
      <c r="AF11" s="45">
        <f>covAll!V11</f>
        <v>-7.4030033442272505E-8</v>
      </c>
      <c r="AG11" s="45">
        <f>covAll!W11</f>
        <v>-3.7703090195560999E-7</v>
      </c>
      <c r="AH11" s="45">
        <f>covAll!X11</f>
        <v>1.0829105849256699E-9</v>
      </c>
      <c r="AI11" s="45">
        <f>covAll!Y11</f>
        <v>3.9610694502615302E-9</v>
      </c>
      <c r="AJ11" s="45">
        <f>covAll!Z11</f>
        <v>9.21265367348434E-9</v>
      </c>
      <c r="AK11" s="45">
        <f>covAll!AA11</f>
        <v>2.64524967995194E-7</v>
      </c>
      <c r="AL11" s="45">
        <f>covAll!AB11</f>
        <v>-3.2597222412762201E-4</v>
      </c>
    </row>
    <row r="12" spans="11:38" x14ac:dyDescent="0.25">
      <c r="K12" t="s">
        <v>90</v>
      </c>
      <c r="L12" t="s">
        <v>23</v>
      </c>
      <c r="M12" s="47">
        <f>covAll!C12</f>
        <v>3.60411214207655E-9</v>
      </c>
      <c r="N12" s="45">
        <f>covAll!D12</f>
        <v>6.5224032204546995E-8</v>
      </c>
      <c r="O12" s="45">
        <f>covAll!E12</f>
        <v>5.4669682313650302E-8</v>
      </c>
      <c r="P12" s="45">
        <f>covAll!F12</f>
        <v>1.1278996807307201E-7</v>
      </c>
      <c r="Q12" s="45">
        <f>covAll!G12</f>
        <v>-4.2772698702986601E-10</v>
      </c>
      <c r="R12" s="45">
        <f>covAll!H12</f>
        <v>-8.1360571029288803E-9</v>
      </c>
      <c r="S12" s="45">
        <f>covAll!I12</f>
        <v>-5.0733975799127E-9</v>
      </c>
      <c r="T12" s="45">
        <f>covAll!J12</f>
        <v>-1.7021053219791799E-8</v>
      </c>
      <c r="U12" s="45">
        <f>covAll!K12</f>
        <v>4.1507187261643401E-4</v>
      </c>
      <c r="V12" s="45">
        <f>covAll!L12</f>
        <v>1.3875670137119799E-4</v>
      </c>
      <c r="W12" s="45">
        <f>covAll!M12</f>
        <v>-5.7935922927352105E-7</v>
      </c>
      <c r="X12" s="45">
        <f>covAll!N12</f>
        <v>2.5369790454344802E-9</v>
      </c>
      <c r="Y12" s="45">
        <f>covAll!O12</f>
        <v>3.8214611461430699E-9</v>
      </c>
      <c r="Z12" s="45">
        <f>covAll!P12</f>
        <v>-2.5699203796916498E-8</v>
      </c>
      <c r="AA12" s="45">
        <f>covAll!Q12</f>
        <v>-1.2956383669858301E-7</v>
      </c>
      <c r="AB12" s="45">
        <f>covAll!R12</f>
        <v>9.6638647736587709E-10</v>
      </c>
      <c r="AC12" s="45">
        <f>covAll!S12</f>
        <v>-1.12179728349832E-8</v>
      </c>
      <c r="AD12" s="45">
        <f>covAll!T12</f>
        <v>-4.4635861374380902E-8</v>
      </c>
      <c r="AE12" s="45">
        <f>covAll!U12</f>
        <v>2.1939988022455101E-9</v>
      </c>
      <c r="AF12" s="45">
        <f>covAll!V12</f>
        <v>-2.5703379746319202E-8</v>
      </c>
      <c r="AG12" s="45">
        <f>covAll!W12</f>
        <v>-1.0101093814599399E-7</v>
      </c>
      <c r="AH12" s="45">
        <f>covAll!X12</f>
        <v>4.3643120126258401E-10</v>
      </c>
      <c r="AI12" s="45">
        <f>covAll!Y12</f>
        <v>1.2951795303667899E-9</v>
      </c>
      <c r="AJ12" s="45">
        <f>covAll!Z12</f>
        <v>2.36742939090904E-9</v>
      </c>
      <c r="AK12" s="45">
        <f>covAll!AA12</f>
        <v>7.7278725062228104E-8</v>
      </c>
      <c r="AL12" s="45">
        <f>covAll!AB12</f>
        <v>-9.2077836344664699E-5</v>
      </c>
    </row>
    <row r="13" spans="11:38" x14ac:dyDescent="0.25">
      <c r="K13" s="106" t="s">
        <v>91</v>
      </c>
      <c r="L13" t="s">
        <v>25</v>
      </c>
      <c r="M13" s="47">
        <f>covAll!C13</f>
        <v>-1.2805694858873E-11</v>
      </c>
      <c r="N13" s="45">
        <f>covAll!D13</f>
        <v>-2.3167409190867199E-10</v>
      </c>
      <c r="O13" s="45">
        <f>covAll!E13</f>
        <v>-1.9789095734097799E-10</v>
      </c>
      <c r="P13" s="45">
        <f>covAll!F13</f>
        <v>-4.05316154658364E-10</v>
      </c>
      <c r="Q13" s="45">
        <f>covAll!G13</f>
        <v>4.6109639518923001E-13</v>
      </c>
      <c r="R13" s="45">
        <f>covAll!H13</f>
        <v>1.5724233703089099E-11</v>
      </c>
      <c r="S13" s="45">
        <f>covAll!I13</f>
        <v>6.7713277574953803E-12</v>
      </c>
      <c r="T13" s="45">
        <f>covAll!J13</f>
        <v>4.1774129427629798E-11</v>
      </c>
      <c r="U13" s="45">
        <f>covAll!K13</f>
        <v>-2.0409677422621001E-6</v>
      </c>
      <c r="V13" s="45">
        <f>covAll!L13</f>
        <v>-5.7935922927352105E-7</v>
      </c>
      <c r="W13" s="45">
        <f>covAll!M13</f>
        <v>2.8887958260805801E-9</v>
      </c>
      <c r="X13" s="45">
        <f>covAll!N13</f>
        <v>-1.27468788337683E-11</v>
      </c>
      <c r="Y13" s="45">
        <f>covAll!O13</f>
        <v>-9.9999114349739507E-12</v>
      </c>
      <c r="Z13" s="45">
        <f>covAll!P13</f>
        <v>6.95278873219969E-11</v>
      </c>
      <c r="AA13" s="45">
        <f>covAll!Q13</f>
        <v>3.5290053154778099E-10</v>
      </c>
      <c r="AB13" s="45">
        <f>covAll!R13</f>
        <v>-1.8290458162784901E-12</v>
      </c>
      <c r="AC13" s="45">
        <f>covAll!S13</f>
        <v>3.0169934462213403E-11</v>
      </c>
      <c r="AD13" s="45">
        <f>covAll!T13</f>
        <v>1.04500662282971E-10</v>
      </c>
      <c r="AE13" s="45">
        <f>covAll!U13</f>
        <v>-5.2852819598907502E-12</v>
      </c>
      <c r="AF13" s="45">
        <f>covAll!V13</f>
        <v>6.6738635117819097E-11</v>
      </c>
      <c r="AG13" s="45">
        <f>covAll!W13</f>
        <v>2.444150955004E-10</v>
      </c>
      <c r="AH13" s="45">
        <f>covAll!X13</f>
        <v>-4.3269517904331801E-13</v>
      </c>
      <c r="AI13" s="45">
        <f>covAll!Y13</f>
        <v>3.5356352422814898E-13</v>
      </c>
      <c r="AJ13" s="45">
        <f>covAll!Z13</f>
        <v>-8.3390159099903896E-12</v>
      </c>
      <c r="AK13" s="45">
        <f>covAll!AA13</f>
        <v>-2.0146103943362499E-10</v>
      </c>
      <c r="AL13" s="45">
        <f>covAll!AB13</f>
        <v>4.4618322453184599E-7</v>
      </c>
    </row>
    <row r="14" spans="11:38" x14ac:dyDescent="0.25">
      <c r="K14" s="106"/>
      <c r="L14" t="s">
        <v>23</v>
      </c>
      <c r="M14" s="47">
        <f>covAll!C14</f>
        <v>-4.8913092254087399E-15</v>
      </c>
      <c r="N14" s="45">
        <f>covAll!D14</f>
        <v>2.2899376775817599E-14</v>
      </c>
      <c r="O14" s="45">
        <f>covAll!E14</f>
        <v>-2.38972450737579E-15</v>
      </c>
      <c r="P14" s="45">
        <f>covAll!F14</f>
        <v>-1.54318091227254E-13</v>
      </c>
      <c r="Q14" s="45">
        <f>covAll!G14</f>
        <v>5.5238194610287197E-14</v>
      </c>
      <c r="R14" s="45">
        <f>covAll!H14</f>
        <v>1.1283288580120799E-12</v>
      </c>
      <c r="S14" s="45">
        <f>covAll!I14</f>
        <v>9.0507676087214699E-13</v>
      </c>
      <c r="T14" s="45">
        <f>covAll!J14</f>
        <v>2.2958490404189201E-12</v>
      </c>
      <c r="U14" s="45">
        <f>covAll!K14</f>
        <v>8.8730767311662306E-9</v>
      </c>
      <c r="V14" s="45">
        <f>covAll!L14</f>
        <v>2.5369790454344802E-9</v>
      </c>
      <c r="W14" s="45">
        <f>covAll!M14</f>
        <v>-1.27468788337683E-11</v>
      </c>
      <c r="X14" s="45">
        <f>covAll!N14</f>
        <v>1.5818262187493201E-13</v>
      </c>
      <c r="Y14" s="45">
        <f>covAll!O14</f>
        <v>1.2628232780864499E-13</v>
      </c>
      <c r="Z14" s="45">
        <f>covAll!P14</f>
        <v>-7.8251945918818701E-13</v>
      </c>
      <c r="AA14" s="45">
        <f>covAll!Q14</f>
        <v>-4.3137157515049997E-12</v>
      </c>
      <c r="AB14" s="45">
        <f>covAll!R14</f>
        <v>4.98872355890707E-14</v>
      </c>
      <c r="AC14" s="45">
        <f>covAll!S14</f>
        <v>-4.2531536373810999E-13</v>
      </c>
      <c r="AD14" s="45">
        <f>covAll!T14</f>
        <v>-1.8240736600109299E-12</v>
      </c>
      <c r="AE14" s="45">
        <f>covAll!U14</f>
        <v>1.13599479889218E-13</v>
      </c>
      <c r="AF14" s="45">
        <f>covAll!V14</f>
        <v>-7.0701693275583595E-13</v>
      </c>
      <c r="AG14" s="45">
        <f>covAll!W14</f>
        <v>-4.1322022185096099E-12</v>
      </c>
      <c r="AH14" s="45">
        <f>covAll!X14</f>
        <v>1.6305042651897901E-14</v>
      </c>
      <c r="AI14" s="45">
        <f>covAll!Y14</f>
        <v>6.9284958079899896E-14</v>
      </c>
      <c r="AJ14" s="45">
        <f>covAll!Z14</f>
        <v>9.53267138832623E-14</v>
      </c>
      <c r="AK14" s="45">
        <f>covAll!AA14</f>
        <v>2.7927009939801602E-12</v>
      </c>
      <c r="AL14" s="45">
        <f>covAll!AB14</f>
        <v>-2.1274359236312698E-9</v>
      </c>
    </row>
    <row r="15" spans="11:38" ht="15.75" customHeight="1" x14ac:dyDescent="0.25">
      <c r="K15" s="107" t="s">
        <v>26</v>
      </c>
      <c r="L15" t="s">
        <v>29</v>
      </c>
      <c r="M15" s="47">
        <f>covAll!C15</f>
        <v>-3.7990667121890198E-13</v>
      </c>
      <c r="N15" s="45">
        <f>covAll!D15</f>
        <v>1.17329364196046E-12</v>
      </c>
      <c r="O15" s="45">
        <f>covAll!E15</f>
        <v>6.4940111194771798E-13</v>
      </c>
      <c r="P15" s="45">
        <f>covAll!F15</f>
        <v>2.82004015370126E-11</v>
      </c>
      <c r="Q15" s="45">
        <f>covAll!G15</f>
        <v>1.6928660814852301E-12</v>
      </c>
      <c r="R15" s="45">
        <f>covAll!H15</f>
        <v>3.1847587585539301E-11</v>
      </c>
      <c r="S15" s="45">
        <f>covAll!I15</f>
        <v>2.6790185465949901E-11</v>
      </c>
      <c r="T15" s="45">
        <f>covAll!J15</f>
        <v>6.5933467726535198E-11</v>
      </c>
      <c r="U15" s="45">
        <f>covAll!K15</f>
        <v>1.2401865939377501E-8</v>
      </c>
      <c r="V15" s="45">
        <f>covAll!L15</f>
        <v>3.8214611461430699E-9</v>
      </c>
      <c r="W15" s="45">
        <f>covAll!M15</f>
        <v>-9.9999114349739507E-12</v>
      </c>
      <c r="X15" s="45">
        <f>covAll!N15</f>
        <v>1.2628232780864499E-13</v>
      </c>
      <c r="Y15" s="45">
        <f>covAll!O15</f>
        <v>1.1933736540690399E-10</v>
      </c>
      <c r="Z15" s="45">
        <f>covAll!P15</f>
        <v>-7.7283907637428398E-10</v>
      </c>
      <c r="AA15" s="45">
        <f>covAll!Q15</f>
        <v>-4.2605450496070402E-9</v>
      </c>
      <c r="AB15" s="45">
        <f>covAll!R15</f>
        <v>5.20615963476067E-11</v>
      </c>
      <c r="AC15" s="45">
        <f>covAll!S15</f>
        <v>-3.8983370826417598E-10</v>
      </c>
      <c r="AD15" s="45">
        <f>covAll!T15</f>
        <v>-2.00559439409097E-9</v>
      </c>
      <c r="AE15" s="45">
        <f>covAll!U15</f>
        <v>1.1144912128203899E-10</v>
      </c>
      <c r="AF15" s="45">
        <f>covAll!V15</f>
        <v>-7.5654228399663705E-10</v>
      </c>
      <c r="AG15" s="45">
        <f>covAll!W15</f>
        <v>-4.1914582464335403E-9</v>
      </c>
      <c r="AH15" s="45">
        <f>covAll!X15</f>
        <v>1.9989396843754101E-11</v>
      </c>
      <c r="AI15" s="45">
        <f>covAll!Y15</f>
        <v>8.9142028166649399E-11</v>
      </c>
      <c r="AJ15" s="45">
        <f>covAll!Z15</f>
        <v>5.9715301103823106E-11</v>
      </c>
      <c r="AK15" s="45">
        <f>covAll!AA15</f>
        <v>2.8753491852542799E-9</v>
      </c>
      <c r="AL15" s="45">
        <f>covAll!AB15</f>
        <v>-2.3258220145391299E-7</v>
      </c>
    </row>
    <row r="16" spans="11:38" x14ac:dyDescent="0.25">
      <c r="K16" s="107"/>
      <c r="L16" t="s">
        <v>30</v>
      </c>
      <c r="M16" s="47">
        <f>covAll!C16</f>
        <v>3.7607470820352802E-12</v>
      </c>
      <c r="N16" s="45">
        <f>covAll!D16</f>
        <v>8.8824130776260307E-12</v>
      </c>
      <c r="O16" s="45">
        <f>covAll!E16</f>
        <v>6.7097010663047103E-12</v>
      </c>
      <c r="P16" s="45">
        <f>covAll!F16</f>
        <v>-1.61002234505465E-10</v>
      </c>
      <c r="Q16" s="45">
        <f>covAll!G16</f>
        <v>-1.04821219133278E-11</v>
      </c>
      <c r="R16" s="45">
        <f>covAll!H16</f>
        <v>-1.9413496020137099E-10</v>
      </c>
      <c r="S16" s="45">
        <f>covAll!I16</f>
        <v>-1.64871767965524E-10</v>
      </c>
      <c r="T16" s="45">
        <f>covAll!J16</f>
        <v>-3.9868407996763402E-10</v>
      </c>
      <c r="U16" s="45">
        <f>covAll!K16</f>
        <v>-8.0622522686843605E-8</v>
      </c>
      <c r="V16" s="45">
        <f>covAll!L16</f>
        <v>-2.5699203796916498E-8</v>
      </c>
      <c r="W16" s="45">
        <f>covAll!M16</f>
        <v>6.95278873219969E-11</v>
      </c>
      <c r="X16" s="45">
        <f>covAll!N16</f>
        <v>-7.8251945918818701E-13</v>
      </c>
      <c r="Y16" s="45">
        <f>covAll!O16</f>
        <v>-7.7283907637428398E-10</v>
      </c>
      <c r="Z16" s="45">
        <f>covAll!P16</f>
        <v>5.27920337142424E-9</v>
      </c>
      <c r="AA16" s="45">
        <f>covAll!Q16</f>
        <v>2.8373260625889399E-8</v>
      </c>
      <c r="AB16" s="45">
        <f>covAll!R16</f>
        <v>-3.5447191065047699E-10</v>
      </c>
      <c r="AC16" s="45">
        <f>covAll!S16</f>
        <v>2.3898418192053602E-9</v>
      </c>
      <c r="AD16" s="45">
        <f>covAll!T16</f>
        <v>1.26965984545329E-8</v>
      </c>
      <c r="AE16" s="45">
        <f>covAll!U16</f>
        <v>-7.2940593462581901E-10</v>
      </c>
      <c r="AF16" s="45">
        <f>covAll!V16</f>
        <v>5.0249314560964601E-9</v>
      </c>
      <c r="AG16" s="45">
        <f>covAll!W16</f>
        <v>2.76824001859367E-8</v>
      </c>
      <c r="AH16" s="45">
        <f>covAll!X16</f>
        <v>-1.3350923886179799E-10</v>
      </c>
      <c r="AI16" s="45">
        <f>covAll!Y16</f>
        <v>-5.5962906443656203E-10</v>
      </c>
      <c r="AJ16" s="45">
        <f>covAll!Z16</f>
        <v>-3.9595690679267302E-10</v>
      </c>
      <c r="AK16" s="45">
        <f>covAll!AA16</f>
        <v>-1.8908491269420899E-8</v>
      </c>
      <c r="AL16" s="45">
        <f>covAll!AB16</f>
        <v>1.48918115281369E-6</v>
      </c>
    </row>
    <row r="17" spans="11:38" x14ac:dyDescent="0.25">
      <c r="K17" s="107"/>
      <c r="L17" t="s">
        <v>31</v>
      </c>
      <c r="M17" s="47">
        <f>covAll!C17</f>
        <v>1.5201563720946699E-11</v>
      </c>
      <c r="N17" s="45">
        <f>covAll!D17</f>
        <v>-5.7742547559387199E-11</v>
      </c>
      <c r="O17" s="45">
        <f>covAll!E17</f>
        <v>-3.25227369227612E-11</v>
      </c>
      <c r="P17" s="45">
        <f>covAll!F17</f>
        <v>-1.06678093797147E-9</v>
      </c>
      <c r="Q17" s="45">
        <f>covAll!G17</f>
        <v>-6.0022770291549203E-11</v>
      </c>
      <c r="R17" s="45">
        <f>covAll!H17</f>
        <v>-1.1238860634877601E-9</v>
      </c>
      <c r="S17" s="45">
        <f>covAll!I17</f>
        <v>-9.4307706253857796E-10</v>
      </c>
      <c r="T17" s="45">
        <f>covAll!J17</f>
        <v>-2.3101609364378698E-9</v>
      </c>
      <c r="U17" s="45">
        <f>covAll!K17</f>
        <v>-4.3685561389302099E-7</v>
      </c>
      <c r="V17" s="45">
        <f>covAll!L17</f>
        <v>-1.2956383669858301E-7</v>
      </c>
      <c r="W17" s="45">
        <f>covAll!M17</f>
        <v>3.5290053154778099E-10</v>
      </c>
      <c r="X17" s="45">
        <f>covAll!N17</f>
        <v>-4.3137157515049997E-12</v>
      </c>
      <c r="Y17" s="45">
        <f>covAll!O17</f>
        <v>-4.2605450496070402E-9</v>
      </c>
      <c r="Z17" s="45">
        <f>covAll!P17</f>
        <v>2.8373260625889399E-8</v>
      </c>
      <c r="AA17" s="45">
        <f>covAll!Q17</f>
        <v>1.5515337109329201E-7</v>
      </c>
      <c r="AB17" s="45">
        <f>covAll!R17</f>
        <v>-1.9171710385242498E-9</v>
      </c>
      <c r="AC17" s="45">
        <f>covAll!S17</f>
        <v>1.3563822993157899E-8</v>
      </c>
      <c r="AD17" s="45">
        <f>covAll!T17</f>
        <v>7.1117985605540003E-8</v>
      </c>
      <c r="AE17" s="45">
        <f>covAll!U17</f>
        <v>-4.0146535875863801E-9</v>
      </c>
      <c r="AF17" s="45">
        <f>covAll!V17</f>
        <v>2.7468859441314701E-8</v>
      </c>
      <c r="AG17" s="45">
        <f>covAll!W17</f>
        <v>1.52023046711442E-7</v>
      </c>
      <c r="AH17" s="45">
        <f>covAll!X17</f>
        <v>-7.28479172469913E-10</v>
      </c>
      <c r="AI17" s="45">
        <f>covAll!Y17</f>
        <v>-3.1468757723949999E-9</v>
      </c>
      <c r="AJ17" s="45">
        <f>covAll!Z17</f>
        <v>-2.1695982134405202E-9</v>
      </c>
      <c r="AK17" s="45">
        <f>covAll!AA17</f>
        <v>-1.04028508829091E-7</v>
      </c>
      <c r="AL17" s="45">
        <f>covAll!AB17</f>
        <v>8.2935988330560795E-6</v>
      </c>
    </row>
    <row r="18" spans="11:38" ht="15.75" customHeight="1" x14ac:dyDescent="0.25">
      <c r="K18" s="107" t="s">
        <v>27</v>
      </c>
      <c r="L18" t="s">
        <v>29</v>
      </c>
      <c r="M18" s="47">
        <f>covAll!C18</f>
        <v>1.5110590848249301E-13</v>
      </c>
      <c r="N18" s="45">
        <f>covAll!D18</f>
        <v>7.6716014453030905E-12</v>
      </c>
      <c r="O18" s="45">
        <f>covAll!E18</f>
        <v>6.7188019200498098E-12</v>
      </c>
      <c r="P18" s="45">
        <f>covAll!F18</f>
        <v>2.9807682640447702E-11</v>
      </c>
      <c r="Q18" s="45">
        <f>covAll!G18</f>
        <v>4.2634161435867802E-13</v>
      </c>
      <c r="R18" s="45">
        <f>covAll!H18</f>
        <v>8.3536162146489106E-12</v>
      </c>
      <c r="S18" s="45">
        <f>covAll!I18</f>
        <v>6.8317152992695797E-12</v>
      </c>
      <c r="T18" s="45">
        <f>covAll!J18</f>
        <v>1.6666516642513501E-11</v>
      </c>
      <c r="U18" s="45">
        <f>covAll!K18</f>
        <v>3.4948631852662402E-9</v>
      </c>
      <c r="V18" s="45">
        <f>covAll!L18</f>
        <v>9.6638647736587709E-10</v>
      </c>
      <c r="W18" s="45">
        <f>covAll!M18</f>
        <v>-1.8290458162784901E-12</v>
      </c>
      <c r="X18" s="45">
        <f>covAll!N18</f>
        <v>4.98872355890707E-14</v>
      </c>
      <c r="Y18" s="45">
        <f>covAll!O18</f>
        <v>5.20615963476067E-11</v>
      </c>
      <c r="Z18" s="45">
        <f>covAll!P18</f>
        <v>-3.5447191065047699E-10</v>
      </c>
      <c r="AA18" s="45">
        <f>covAll!Q18</f>
        <v>-1.9171710385242498E-9</v>
      </c>
      <c r="AB18" s="45">
        <f>covAll!R18</f>
        <v>2.6018844482669399E-11</v>
      </c>
      <c r="AC18" s="45">
        <f>covAll!S18</f>
        <v>-1.5417581548842399E-10</v>
      </c>
      <c r="AD18" s="45">
        <f>covAll!T18</f>
        <v>-8.4911594860780396E-10</v>
      </c>
      <c r="AE18" s="45">
        <f>covAll!U18</f>
        <v>4.9613982011557001E-11</v>
      </c>
      <c r="AF18" s="45">
        <f>covAll!V18</f>
        <v>-3.4061043486531602E-10</v>
      </c>
      <c r="AG18" s="45">
        <f>covAll!W18</f>
        <v>-1.88120436813501E-9</v>
      </c>
      <c r="AH18" s="45">
        <f>covAll!X18</f>
        <v>9.0140597363767803E-12</v>
      </c>
      <c r="AI18" s="45">
        <f>covAll!Y18</f>
        <v>3.71993929185849E-11</v>
      </c>
      <c r="AJ18" s="45">
        <f>covAll!Z18</f>
        <v>2.6838083422122399E-11</v>
      </c>
      <c r="AK18" s="45">
        <f>covAll!AA18</f>
        <v>1.2796957730805099E-9</v>
      </c>
      <c r="AL18" s="45">
        <f>covAll!AB18</f>
        <v>-9.9146642229765806E-8</v>
      </c>
    </row>
    <row r="19" spans="11:38" x14ac:dyDescent="0.25">
      <c r="K19" s="107"/>
      <c r="L19" t="s">
        <v>30</v>
      </c>
      <c r="M19" s="47">
        <f>covAll!C19</f>
        <v>-1.0398825082839299E-12</v>
      </c>
      <c r="N19" s="45">
        <f>covAll!D19</f>
        <v>-3.8574071906485798E-11</v>
      </c>
      <c r="O19" s="45">
        <f>covAll!E19</f>
        <v>-2.4440006752823801E-11</v>
      </c>
      <c r="P19" s="45">
        <f>covAll!F19</f>
        <v>-1.52514867938717E-10</v>
      </c>
      <c r="Q19" s="45">
        <f>covAll!G19</f>
        <v>-1.07704405708573E-11</v>
      </c>
      <c r="R19" s="45">
        <f>covAll!H19</f>
        <v>-2.0020140066951399E-10</v>
      </c>
      <c r="S19" s="45">
        <f>covAll!I19</f>
        <v>-1.6613192888334199E-10</v>
      </c>
      <c r="T19" s="45">
        <f>covAll!J19</f>
        <v>-3.9809666380982599E-10</v>
      </c>
      <c r="U19" s="45">
        <f>covAll!K19</f>
        <v>-3.7757072211500999E-8</v>
      </c>
      <c r="V19" s="45">
        <f>covAll!L19</f>
        <v>-1.12179728349832E-8</v>
      </c>
      <c r="W19" s="45">
        <f>covAll!M19</f>
        <v>3.0169934462213403E-11</v>
      </c>
      <c r="X19" s="45">
        <f>covAll!N19</f>
        <v>-4.2531536373810999E-13</v>
      </c>
      <c r="Y19" s="45">
        <f>covAll!O19</f>
        <v>-3.8983370826417598E-10</v>
      </c>
      <c r="Z19" s="45">
        <f>covAll!P19</f>
        <v>2.3898418192053602E-9</v>
      </c>
      <c r="AA19" s="45">
        <f>covAll!Q19</f>
        <v>1.3563822993157899E-8</v>
      </c>
      <c r="AB19" s="45">
        <f>covAll!R19</f>
        <v>-1.5417581548842399E-10</v>
      </c>
      <c r="AC19" s="45">
        <f>covAll!S19</f>
        <v>1.6660945316925901E-9</v>
      </c>
      <c r="AD19" s="45">
        <f>covAll!T19</f>
        <v>7.3098800258178996E-9</v>
      </c>
      <c r="AE19" s="45">
        <f>covAll!U19</f>
        <v>-3.6278068661947598E-10</v>
      </c>
      <c r="AF19" s="45">
        <f>covAll!V19</f>
        <v>2.4511958867032899E-9</v>
      </c>
      <c r="AG19" s="45">
        <f>covAll!W19</f>
        <v>1.3531117654828899E-8</v>
      </c>
      <c r="AH19" s="45">
        <f>covAll!X19</f>
        <v>-6.3410150144550303E-11</v>
      </c>
      <c r="AI19" s="45">
        <f>covAll!Y19</f>
        <v>-3.3546396830371902E-10</v>
      </c>
      <c r="AJ19" s="45">
        <f>covAll!Z19</f>
        <v>-1.92299093584984E-10</v>
      </c>
      <c r="AK19" s="45">
        <f>covAll!AA19</f>
        <v>-9.3983037163308796E-9</v>
      </c>
      <c r="AL19" s="45">
        <f>covAll!AB19</f>
        <v>8.3592055091932903E-7</v>
      </c>
    </row>
    <row r="20" spans="11:38" x14ac:dyDescent="0.25">
      <c r="K20" s="107"/>
      <c r="L20" t="s">
        <v>31</v>
      </c>
      <c r="M20" s="47">
        <f>covAll!C20</f>
        <v>1.7431024207519499E-13</v>
      </c>
      <c r="N20" s="45">
        <f>covAll!D20</f>
        <v>-9.4826056285775206E-11</v>
      </c>
      <c r="O20" s="45">
        <f>covAll!E20</f>
        <v>-7.2843307655229596E-11</v>
      </c>
      <c r="P20" s="45">
        <f>covAll!F20</f>
        <v>-6.3397534188604298E-10</v>
      </c>
      <c r="Q20" s="45">
        <f>covAll!G20</f>
        <v>-5.07658302216432E-11</v>
      </c>
      <c r="R20" s="45">
        <f>covAll!H20</f>
        <v>-9.3694741770302908E-10</v>
      </c>
      <c r="S20" s="45">
        <f>covAll!I20</f>
        <v>-7.7809227177888502E-10</v>
      </c>
      <c r="T20" s="45">
        <f>covAll!J20</f>
        <v>-1.8866169854077301E-9</v>
      </c>
      <c r="U20" s="45">
        <f>covAll!K20</f>
        <v>-1.5674446071313E-7</v>
      </c>
      <c r="V20" s="45">
        <f>covAll!L20</f>
        <v>-4.4635861374380902E-8</v>
      </c>
      <c r="W20" s="45">
        <f>covAll!M20</f>
        <v>1.04500662282971E-10</v>
      </c>
      <c r="X20" s="45">
        <f>covAll!N20</f>
        <v>-1.8240736600109299E-12</v>
      </c>
      <c r="Y20" s="45">
        <f>covAll!O20</f>
        <v>-2.00559439409097E-9</v>
      </c>
      <c r="Z20" s="45">
        <f>covAll!P20</f>
        <v>1.26965984545329E-8</v>
      </c>
      <c r="AA20" s="45">
        <f>covAll!Q20</f>
        <v>7.1117985605540003E-8</v>
      </c>
      <c r="AB20" s="45">
        <f>covAll!R20</f>
        <v>-8.4911594860780396E-10</v>
      </c>
      <c r="AC20" s="45">
        <f>covAll!S20</f>
        <v>7.3098800258178996E-9</v>
      </c>
      <c r="AD20" s="45">
        <f>covAll!T20</f>
        <v>3.6154634231359503E-8</v>
      </c>
      <c r="AE20" s="45">
        <f>covAll!U20</f>
        <v>-1.8789186635267199E-9</v>
      </c>
      <c r="AF20" s="45">
        <f>covAll!V20</f>
        <v>1.2729471611142499E-8</v>
      </c>
      <c r="AG20" s="45">
        <f>covAll!W20</f>
        <v>7.0562889689998904E-8</v>
      </c>
      <c r="AH20" s="45">
        <f>covAll!X20</f>
        <v>-3.33508598101049E-10</v>
      </c>
      <c r="AI20" s="45">
        <f>covAll!Y20</f>
        <v>-1.62259949473527E-9</v>
      </c>
      <c r="AJ20" s="45">
        <f>covAll!Z20</f>
        <v>-1.0023018564071201E-9</v>
      </c>
      <c r="AK20" s="45">
        <f>covAll!AA20</f>
        <v>-4.8955510451528801E-8</v>
      </c>
      <c r="AL20" s="45">
        <f>covAll!AB20</f>
        <v>4.1048319173842096E-6</v>
      </c>
    </row>
    <row r="21" spans="11:38" ht="15.75" customHeight="1" x14ac:dyDescent="0.25">
      <c r="K21" s="107" t="s">
        <v>94</v>
      </c>
      <c r="L21" t="s">
        <v>29</v>
      </c>
      <c r="M21" s="47">
        <f>covAll!C21</f>
        <v>1.26308767525865E-13</v>
      </c>
      <c r="N21" s="45">
        <f>covAll!D21</f>
        <v>1.2084213428397501E-11</v>
      </c>
      <c r="O21" s="45">
        <f>covAll!E21</f>
        <v>8.7644765056342194E-12</v>
      </c>
      <c r="P21" s="45">
        <f>covAll!F21</f>
        <v>4.4902622634633403E-11</v>
      </c>
      <c r="Q21" s="45">
        <f>covAll!G21</f>
        <v>1.3565402496660199E-12</v>
      </c>
      <c r="R21" s="45">
        <f>covAll!H21</f>
        <v>2.55429708727572E-11</v>
      </c>
      <c r="S21" s="45">
        <f>covAll!I21</f>
        <v>2.16682744561754E-11</v>
      </c>
      <c r="T21" s="45">
        <f>covAll!J21</f>
        <v>5.2867495099967997E-11</v>
      </c>
      <c r="U21" s="45">
        <f>covAll!K21</f>
        <v>9.7579239038499097E-9</v>
      </c>
      <c r="V21" s="45">
        <f>covAll!L21</f>
        <v>2.1939988022455101E-9</v>
      </c>
      <c r="W21" s="45">
        <f>covAll!M21</f>
        <v>-5.2852819598907502E-12</v>
      </c>
      <c r="X21" s="45">
        <f>covAll!N21</f>
        <v>1.13599479889218E-13</v>
      </c>
      <c r="Y21" s="45">
        <f>covAll!O21</f>
        <v>1.1144912128203899E-10</v>
      </c>
      <c r="Z21" s="45">
        <f>covAll!P21</f>
        <v>-7.2940593462581901E-10</v>
      </c>
      <c r="AA21" s="45">
        <f>covAll!Q21</f>
        <v>-4.0146535875863801E-9</v>
      </c>
      <c r="AB21" s="45">
        <f>covAll!R21</f>
        <v>4.9613982011557001E-11</v>
      </c>
      <c r="AC21" s="45">
        <f>covAll!S21</f>
        <v>-3.6278068661947598E-10</v>
      </c>
      <c r="AD21" s="45">
        <f>covAll!T21</f>
        <v>-1.8789186635267199E-9</v>
      </c>
      <c r="AE21" s="45">
        <f>covAll!U21</f>
        <v>1.0961535355809E-10</v>
      </c>
      <c r="AF21" s="45">
        <f>covAll!V21</f>
        <v>-7.3272889001441003E-10</v>
      </c>
      <c r="AG21" s="45">
        <f>covAll!W21</f>
        <v>-4.0363435700301099E-9</v>
      </c>
      <c r="AH21" s="45">
        <f>covAll!X21</f>
        <v>1.88337338525536E-11</v>
      </c>
      <c r="AI21" s="45">
        <f>covAll!Y21</f>
        <v>8.3343702363476394E-11</v>
      </c>
      <c r="AJ21" s="45">
        <f>covAll!Z21</f>
        <v>5.7563003873876801E-11</v>
      </c>
      <c r="AK21" s="45">
        <f>covAll!AA21</f>
        <v>2.72245016830043E-9</v>
      </c>
      <c r="AL21" s="45">
        <f>covAll!AB21</f>
        <v>-2.18702569055671E-7</v>
      </c>
    </row>
    <row r="22" spans="11:38" x14ac:dyDescent="0.25">
      <c r="K22" s="107"/>
      <c r="L22" t="s">
        <v>30</v>
      </c>
      <c r="M22" s="47">
        <f>covAll!C22</f>
        <v>-1.7534031731342499E-13</v>
      </c>
      <c r="N22" s="45">
        <f>covAll!D22</f>
        <v>-6.2983465907484704E-11</v>
      </c>
      <c r="O22" s="45">
        <f>covAll!E22</f>
        <v>-5.2497344841684699E-11</v>
      </c>
      <c r="P22" s="45">
        <f>covAll!F22</f>
        <v>-2.9339106125165602E-10</v>
      </c>
      <c r="Q22" s="45">
        <f>covAll!G22</f>
        <v>-1.49013638739684E-11</v>
      </c>
      <c r="R22" s="45">
        <f>covAll!H22</f>
        <v>-2.7724439353173803E-10</v>
      </c>
      <c r="S22" s="45">
        <f>covAll!I22</f>
        <v>-2.3366394413623701E-10</v>
      </c>
      <c r="T22" s="45">
        <f>covAll!J22</f>
        <v>-5.7403646166489399E-10</v>
      </c>
      <c r="U22" s="45">
        <f>covAll!K22</f>
        <v>-7.4030033442272505E-8</v>
      </c>
      <c r="V22" s="45">
        <f>covAll!L22</f>
        <v>-2.5703379746319202E-8</v>
      </c>
      <c r="W22" s="45">
        <f>covAll!M22</f>
        <v>6.6738635117819097E-11</v>
      </c>
      <c r="X22" s="45">
        <f>covAll!N22</f>
        <v>-7.0701693275583595E-13</v>
      </c>
      <c r="Y22" s="45">
        <f>covAll!O22</f>
        <v>-7.5654228399663705E-10</v>
      </c>
      <c r="Z22" s="45">
        <f>covAll!P22</f>
        <v>5.0249314560964601E-9</v>
      </c>
      <c r="AA22" s="45">
        <f>covAll!Q22</f>
        <v>2.7468859441314701E-8</v>
      </c>
      <c r="AB22" s="45">
        <f>covAll!R22</f>
        <v>-3.4061043486531602E-10</v>
      </c>
      <c r="AC22" s="45">
        <f>covAll!S22</f>
        <v>2.4511958867032899E-9</v>
      </c>
      <c r="AD22" s="45">
        <f>covAll!T22</f>
        <v>1.2729471611142499E-8</v>
      </c>
      <c r="AE22" s="45">
        <f>covAll!U22</f>
        <v>-7.3272889001441003E-10</v>
      </c>
      <c r="AF22" s="45">
        <f>covAll!V22</f>
        <v>5.4375966148134896E-9</v>
      </c>
      <c r="AG22" s="45">
        <f>covAll!W22</f>
        <v>2.7677284107773099E-8</v>
      </c>
      <c r="AH22" s="45">
        <f>covAll!X22</f>
        <v>-1.2870763667921901E-10</v>
      </c>
      <c r="AI22" s="45">
        <f>covAll!Y22</f>
        <v>-5.6147217695600597E-10</v>
      </c>
      <c r="AJ22" s="45">
        <f>covAll!Z22</f>
        <v>-4.0016859490174999E-10</v>
      </c>
      <c r="AK22" s="45">
        <f>covAll!AA22</f>
        <v>-1.8617636416932799E-8</v>
      </c>
      <c r="AL22" s="45">
        <f>covAll!AB22</f>
        <v>1.4864617011548101E-6</v>
      </c>
    </row>
    <row r="23" spans="11:38" x14ac:dyDescent="0.25">
      <c r="K23" s="107"/>
      <c r="L23" t="s">
        <v>31</v>
      </c>
      <c r="M23" s="47">
        <f>covAll!C23</f>
        <v>1.3100978045243599E-11</v>
      </c>
      <c r="N23" s="45">
        <f>covAll!D23</f>
        <v>-1.5680445536807499E-10</v>
      </c>
      <c r="O23" s="45">
        <f>covAll!E23</f>
        <v>-1.21801536314926E-10</v>
      </c>
      <c r="P23" s="45">
        <f>covAll!F23</f>
        <v>-1.26911520659682E-9</v>
      </c>
      <c r="Q23" s="45">
        <f>covAll!G23</f>
        <v>-6.6227578692498003E-11</v>
      </c>
      <c r="R23" s="45">
        <f>covAll!H23</f>
        <v>-1.2525554995339901E-9</v>
      </c>
      <c r="S23" s="45">
        <f>covAll!I23</f>
        <v>-1.0487836448713E-9</v>
      </c>
      <c r="T23" s="45">
        <f>covAll!J23</f>
        <v>-2.5821351905693102E-9</v>
      </c>
      <c r="U23" s="45">
        <f>covAll!K23</f>
        <v>-3.7703090195560999E-7</v>
      </c>
      <c r="V23" s="45">
        <f>covAll!L23</f>
        <v>-1.0101093814599399E-7</v>
      </c>
      <c r="W23" s="45">
        <f>covAll!M23</f>
        <v>2.444150955004E-10</v>
      </c>
      <c r="X23" s="45">
        <f>covAll!N23</f>
        <v>-4.1322022185096099E-12</v>
      </c>
      <c r="Y23" s="45">
        <f>covAll!O23</f>
        <v>-4.1914582464335403E-9</v>
      </c>
      <c r="Z23" s="45">
        <f>covAll!P23</f>
        <v>2.76824001859367E-8</v>
      </c>
      <c r="AA23" s="45">
        <f>covAll!Q23</f>
        <v>1.52023046711442E-7</v>
      </c>
      <c r="AB23" s="45">
        <f>covAll!R23</f>
        <v>-1.88120436813501E-9</v>
      </c>
      <c r="AC23" s="45">
        <f>covAll!S23</f>
        <v>1.3531117654828899E-8</v>
      </c>
      <c r="AD23" s="45">
        <f>covAll!T23</f>
        <v>7.0562889689998904E-8</v>
      </c>
      <c r="AE23" s="45">
        <f>covAll!U23</f>
        <v>-4.0363435700301099E-9</v>
      </c>
      <c r="AF23" s="45">
        <f>covAll!V23</f>
        <v>2.7677284107773099E-8</v>
      </c>
      <c r="AG23" s="45">
        <f>covAll!W23</f>
        <v>1.5288174602622201E-7</v>
      </c>
      <c r="AH23" s="45">
        <f>covAll!X23</f>
        <v>-7.1261940991450202E-10</v>
      </c>
      <c r="AI23" s="45">
        <f>covAll!Y23</f>
        <v>-3.1202686533175501E-9</v>
      </c>
      <c r="AJ23" s="45">
        <f>covAll!Z23</f>
        <v>-2.1787127306399799E-9</v>
      </c>
      <c r="AK23" s="45">
        <f>covAll!AA23</f>
        <v>-1.02911522738478E-7</v>
      </c>
      <c r="AL23" s="45">
        <f>covAll!AB23</f>
        <v>8.2298089483733097E-6</v>
      </c>
    </row>
    <row r="24" spans="11:38" x14ac:dyDescent="0.25">
      <c r="K24" s="43" t="s">
        <v>61</v>
      </c>
      <c r="L24" t="s">
        <v>70</v>
      </c>
      <c r="M24" s="47">
        <f>covAll!C24</f>
        <v>-1.89361216059655E-13</v>
      </c>
      <c r="N24" s="45">
        <f>covAll!D24</f>
        <v>-2.0025418163843799E-12</v>
      </c>
      <c r="O24" s="45">
        <f>covAll!E24</f>
        <v>-1.4669724279417799E-12</v>
      </c>
      <c r="P24" s="45">
        <f>covAll!F24</f>
        <v>1.00141804769503E-12</v>
      </c>
      <c r="Q24" s="45">
        <f>covAll!G24</f>
        <v>7.9686086334954099E-14</v>
      </c>
      <c r="R24" s="45">
        <f>covAll!H24</f>
        <v>1.7967596711700301E-12</v>
      </c>
      <c r="S24" s="45">
        <f>covAll!I24</f>
        <v>1.4538142857358399E-12</v>
      </c>
      <c r="T24" s="45">
        <f>covAll!J24</f>
        <v>3.6226965859704101E-12</v>
      </c>
      <c r="U24" s="45">
        <f>covAll!K24</f>
        <v>1.0829105849256699E-9</v>
      </c>
      <c r="V24" s="45">
        <f>covAll!L24</f>
        <v>4.3643120126258401E-10</v>
      </c>
      <c r="W24" s="45">
        <f>covAll!M24</f>
        <v>-4.3269517904331801E-13</v>
      </c>
      <c r="X24" s="45">
        <f>covAll!N24</f>
        <v>1.6305042651897901E-14</v>
      </c>
      <c r="Y24" s="45">
        <f>covAll!O24</f>
        <v>1.9989396843754101E-11</v>
      </c>
      <c r="Z24" s="45">
        <f>covAll!P24</f>
        <v>-1.3350923886179799E-10</v>
      </c>
      <c r="AA24" s="45">
        <f>covAll!Q24</f>
        <v>-7.28479172469913E-10</v>
      </c>
      <c r="AB24" s="45">
        <f>covAll!R24</f>
        <v>9.0140597363767803E-12</v>
      </c>
      <c r="AC24" s="45">
        <f>covAll!S24</f>
        <v>-6.3410150144550303E-11</v>
      </c>
      <c r="AD24" s="45">
        <f>covAll!T24</f>
        <v>-3.33508598101049E-10</v>
      </c>
      <c r="AE24" s="45">
        <f>covAll!U24</f>
        <v>1.88337338525536E-11</v>
      </c>
      <c r="AF24" s="45">
        <f>covAll!V24</f>
        <v>-1.2870763667921901E-10</v>
      </c>
      <c r="AG24" s="45">
        <f>covAll!W24</f>
        <v>-7.1261940991450202E-10</v>
      </c>
      <c r="AH24" s="45">
        <f>covAll!X24</f>
        <v>3.7154774219462499E-12</v>
      </c>
      <c r="AI24" s="45">
        <f>covAll!Y24</f>
        <v>1.61539042976549E-11</v>
      </c>
      <c r="AJ24" s="45">
        <f>covAll!Z24</f>
        <v>1.0160835193103799E-11</v>
      </c>
      <c r="AK24" s="45">
        <f>covAll!AA24</f>
        <v>4.8813948347415205E-10</v>
      </c>
      <c r="AL24" s="45">
        <f>covAll!AB24</f>
        <v>-3.9795403544388002E-8</v>
      </c>
    </row>
    <row r="25" spans="11:38" x14ac:dyDescent="0.25">
      <c r="K25" s="43" t="s">
        <v>60</v>
      </c>
      <c r="L25" t="s">
        <v>70</v>
      </c>
      <c r="M25" s="47">
        <f>covAll!C25</f>
        <v>-8.8776237142555295E-13</v>
      </c>
      <c r="N25" s="45">
        <f>covAll!D25</f>
        <v>-1.44323751503872E-11</v>
      </c>
      <c r="O25" s="45">
        <f>covAll!E25</f>
        <v>-1.0773308973031E-11</v>
      </c>
      <c r="P25" s="45">
        <f>covAll!F25</f>
        <v>-8.9572811404856602E-12</v>
      </c>
      <c r="Q25" s="45">
        <f>covAll!G25</f>
        <v>1.2574539088527201E-12</v>
      </c>
      <c r="R25" s="45">
        <f>covAll!H25</f>
        <v>2.4772325563349401E-11</v>
      </c>
      <c r="S25" s="45">
        <f>covAll!I25</f>
        <v>2.0021393275879499E-11</v>
      </c>
      <c r="T25" s="45">
        <f>covAll!J25</f>
        <v>4.81115271450252E-11</v>
      </c>
      <c r="U25" s="45">
        <f>covAll!K25</f>
        <v>3.9610694502615302E-9</v>
      </c>
      <c r="V25" s="45">
        <f>covAll!L25</f>
        <v>1.2951795303667899E-9</v>
      </c>
      <c r="W25" s="45">
        <f>covAll!M25</f>
        <v>3.5356352422814898E-13</v>
      </c>
      <c r="X25" s="45">
        <f>covAll!N25</f>
        <v>6.9284958079899896E-14</v>
      </c>
      <c r="Y25" s="45">
        <f>covAll!O25</f>
        <v>8.9142028166649399E-11</v>
      </c>
      <c r="Z25" s="45">
        <f>covAll!P25</f>
        <v>-5.5962906443656203E-10</v>
      </c>
      <c r="AA25" s="45">
        <f>covAll!Q25</f>
        <v>-3.1468757723949999E-9</v>
      </c>
      <c r="AB25" s="45">
        <f>covAll!R25</f>
        <v>3.71993929185849E-11</v>
      </c>
      <c r="AC25" s="45">
        <f>covAll!S25</f>
        <v>-3.3546396830371902E-10</v>
      </c>
      <c r="AD25" s="45">
        <f>covAll!T25</f>
        <v>-1.62259949473527E-9</v>
      </c>
      <c r="AE25" s="45">
        <f>covAll!U25</f>
        <v>8.3343702363476394E-11</v>
      </c>
      <c r="AF25" s="45">
        <f>covAll!V25</f>
        <v>-5.6147217695600597E-10</v>
      </c>
      <c r="AG25" s="45">
        <f>covAll!W25</f>
        <v>-3.1202686533175501E-9</v>
      </c>
      <c r="AH25" s="45">
        <f>covAll!X25</f>
        <v>1.61539042976549E-11</v>
      </c>
      <c r="AI25" s="45">
        <f>covAll!Y25</f>
        <v>8.1298493230710698E-11</v>
      </c>
      <c r="AJ25" s="45">
        <f>covAll!Z25</f>
        <v>4.4265970566468702E-11</v>
      </c>
      <c r="AK25" s="45">
        <f>covAll!AA25</f>
        <v>2.1679272431717299E-9</v>
      </c>
      <c r="AL25" s="45">
        <f>covAll!AB25</f>
        <v>-1.89316403457161E-7</v>
      </c>
    </row>
    <row r="26" spans="11:38" x14ac:dyDescent="0.25">
      <c r="K26" s="43" t="s">
        <v>62</v>
      </c>
      <c r="L26" t="s">
        <v>70</v>
      </c>
      <c r="M26" s="47">
        <f>covAll!C26</f>
        <v>-5.1921039688549697E-13</v>
      </c>
      <c r="N26" s="45">
        <f>covAll!D26</f>
        <v>-3.4922031052906902E-12</v>
      </c>
      <c r="O26" s="45">
        <f>covAll!E26</f>
        <v>-3.1505417158367802E-12</v>
      </c>
      <c r="P26" s="45">
        <f>covAll!F26</f>
        <v>3.0481589479372402E-12</v>
      </c>
      <c r="Q26" s="45">
        <f>covAll!G26</f>
        <v>2.2737161111034601E-12</v>
      </c>
      <c r="R26" s="45">
        <f>covAll!H26</f>
        <v>4.1258938303669301E-11</v>
      </c>
      <c r="S26" s="45">
        <f>covAll!I26</f>
        <v>3.4465114400772401E-11</v>
      </c>
      <c r="T26" s="45">
        <f>covAll!J26</f>
        <v>8.3495967696413996E-11</v>
      </c>
      <c r="U26" s="45">
        <f>covAll!K26</f>
        <v>9.21265367348434E-9</v>
      </c>
      <c r="V26" s="45">
        <f>covAll!L26</f>
        <v>2.36742939090904E-9</v>
      </c>
      <c r="W26" s="45">
        <f>covAll!M26</f>
        <v>-8.3390159099903896E-12</v>
      </c>
      <c r="X26" s="45">
        <f>covAll!N26</f>
        <v>9.53267138832623E-14</v>
      </c>
      <c r="Y26" s="45">
        <f>covAll!O26</f>
        <v>5.9715301103823106E-11</v>
      </c>
      <c r="Z26" s="45">
        <f>covAll!P26</f>
        <v>-3.9595690679267302E-10</v>
      </c>
      <c r="AA26" s="45">
        <f>covAll!Q26</f>
        <v>-2.1695982134405202E-9</v>
      </c>
      <c r="AB26" s="45">
        <f>covAll!R26</f>
        <v>2.6838083422122399E-11</v>
      </c>
      <c r="AC26" s="45">
        <f>covAll!S26</f>
        <v>-1.92299093584984E-10</v>
      </c>
      <c r="AD26" s="45">
        <f>covAll!T26</f>
        <v>-1.0023018564071201E-9</v>
      </c>
      <c r="AE26" s="45">
        <f>covAll!U26</f>
        <v>5.7563003873876801E-11</v>
      </c>
      <c r="AF26" s="45">
        <f>covAll!V26</f>
        <v>-4.0016859490174999E-10</v>
      </c>
      <c r="AG26" s="45">
        <f>covAll!W26</f>
        <v>-2.1787127306399799E-9</v>
      </c>
      <c r="AH26" s="45">
        <f>covAll!X26</f>
        <v>1.0160835193103799E-11</v>
      </c>
      <c r="AI26" s="45">
        <f>covAll!Y26</f>
        <v>4.4265970566468702E-11</v>
      </c>
      <c r="AJ26" s="45">
        <f>covAll!Z26</f>
        <v>3.4475664813779897E-11</v>
      </c>
      <c r="AK26" s="45">
        <f>covAll!AA26</f>
        <v>1.4678778456325001E-9</v>
      </c>
      <c r="AL26" s="45">
        <f>covAll!AB26</f>
        <v>-1.1965074466092601E-7</v>
      </c>
    </row>
    <row r="27" spans="11:38" x14ac:dyDescent="0.25">
      <c r="K27" s="106" t="s">
        <v>91</v>
      </c>
      <c r="L27" t="s">
        <v>36</v>
      </c>
      <c r="M27" s="47">
        <f>covAll!C27</f>
        <v>2.8302868237776899E-11</v>
      </c>
      <c r="N27" s="45">
        <f>covAll!D27</f>
        <v>7.3438293664634899E-10</v>
      </c>
      <c r="O27" s="45">
        <f>covAll!E27</f>
        <v>6.2238337509856096E-10</v>
      </c>
      <c r="P27" s="45">
        <f>covAll!F27</f>
        <v>2.2038505529541698E-9</v>
      </c>
      <c r="Q27" s="45">
        <f>covAll!G27</f>
        <v>1.7989513735451599E-11</v>
      </c>
      <c r="R27" s="45">
        <f>covAll!H27</f>
        <v>3.5607402058311199E-10</v>
      </c>
      <c r="S27" s="45">
        <f>covAll!I27</f>
        <v>2.90303104950524E-10</v>
      </c>
      <c r="T27" s="45">
        <f>covAll!J27</f>
        <v>6.8800921461308596E-10</v>
      </c>
      <c r="U27" s="45">
        <f>covAll!K27</f>
        <v>2.64524967995194E-7</v>
      </c>
      <c r="V27" s="45">
        <f>covAll!L27</f>
        <v>7.7278725062228104E-8</v>
      </c>
      <c r="W27" s="45">
        <f>covAll!M27</f>
        <v>-2.0146103943362499E-10</v>
      </c>
      <c r="X27" s="45">
        <f>covAll!N27</f>
        <v>2.7927009939801602E-12</v>
      </c>
      <c r="Y27" s="45">
        <f>covAll!O27</f>
        <v>2.8753491852542799E-9</v>
      </c>
      <c r="Z27" s="45">
        <f>covAll!P27</f>
        <v>-1.8908491269420899E-8</v>
      </c>
      <c r="AA27" s="45">
        <f>covAll!Q27</f>
        <v>-1.04028508829091E-7</v>
      </c>
      <c r="AB27" s="45">
        <f>covAll!R27</f>
        <v>1.2796957730805099E-9</v>
      </c>
      <c r="AC27" s="45">
        <f>covAll!S27</f>
        <v>-9.3983037163308796E-9</v>
      </c>
      <c r="AD27" s="45">
        <f>covAll!T27</f>
        <v>-4.8955510451528801E-8</v>
      </c>
      <c r="AE27" s="45">
        <f>covAll!U27</f>
        <v>2.72245016830043E-9</v>
      </c>
      <c r="AF27" s="45">
        <f>covAll!V27</f>
        <v>-1.8617636416932799E-8</v>
      </c>
      <c r="AG27" s="45">
        <f>covAll!W27</f>
        <v>-1.02911522738478E-7</v>
      </c>
      <c r="AH27" s="45">
        <f>covAll!X27</f>
        <v>4.8813948347415205E-10</v>
      </c>
      <c r="AI27" s="45">
        <f>covAll!Y27</f>
        <v>2.1679272431717299E-9</v>
      </c>
      <c r="AJ27" s="45">
        <f>covAll!Z27</f>
        <v>1.4678778456325001E-9</v>
      </c>
      <c r="AK27" s="45">
        <f>covAll!AA27+AK32</f>
        <v>7.0519308105486853E-8</v>
      </c>
      <c r="AL27" s="45">
        <f>covAll!AB27+AL32</f>
        <v>-5.662722030025846E-6</v>
      </c>
    </row>
    <row r="28" spans="11:38" x14ac:dyDescent="0.25">
      <c r="K28" s="106"/>
      <c r="L28" t="s">
        <v>38</v>
      </c>
      <c r="M28" s="47">
        <f>covAll!C28</f>
        <v>-5.7932655887560996E-9</v>
      </c>
      <c r="N28" s="45">
        <f>covAll!D28</f>
        <v>-1.27525182298306E-7</v>
      </c>
      <c r="O28" s="45">
        <f>covAll!E28</f>
        <v>-1.01270850319871E-7</v>
      </c>
      <c r="P28" s="45">
        <f>covAll!F28</f>
        <v>-2.8391472361696899E-7</v>
      </c>
      <c r="Q28" s="45">
        <f>covAll!G28</f>
        <v>-1.36240371281332E-9</v>
      </c>
      <c r="R28" s="45">
        <f>covAll!H28</f>
        <v>-2.65823538390996E-8</v>
      </c>
      <c r="S28" s="45">
        <f>covAll!I28</f>
        <v>-2.2469068206986499E-8</v>
      </c>
      <c r="T28" s="45">
        <f>covAll!J28</f>
        <v>-4.93400786471754E-8</v>
      </c>
      <c r="U28" s="45">
        <f>covAll!K28</f>
        <v>-3.2597222412762201E-4</v>
      </c>
      <c r="V28" s="45">
        <f>covAll!L28</f>
        <v>-9.2077836344664699E-5</v>
      </c>
      <c r="W28" s="45">
        <f>covAll!M28</f>
        <v>4.4618322453184599E-7</v>
      </c>
      <c r="X28" s="45">
        <f>covAll!N28</f>
        <v>-2.1274359236312698E-9</v>
      </c>
      <c r="Y28" s="45">
        <f>covAll!O28</f>
        <v>-2.3258220145391299E-7</v>
      </c>
      <c r="Z28" s="45">
        <f>covAll!P28</f>
        <v>1.48918115281369E-6</v>
      </c>
      <c r="AA28" s="45">
        <f>covAll!Q28</f>
        <v>8.2935988330560795E-6</v>
      </c>
      <c r="AB28" s="45">
        <f>covAll!R28</f>
        <v>-9.9146642229765806E-8</v>
      </c>
      <c r="AC28" s="45">
        <f>covAll!S28</f>
        <v>8.3592055091932903E-7</v>
      </c>
      <c r="AD28" s="45">
        <f>covAll!T28</f>
        <v>4.1048319173842096E-6</v>
      </c>
      <c r="AE28" s="45">
        <f>covAll!U28</f>
        <v>-2.18702569055671E-7</v>
      </c>
      <c r="AF28" s="45">
        <f>covAll!V28</f>
        <v>1.4864617011548101E-6</v>
      </c>
      <c r="AG28" s="45">
        <f>covAll!W28</f>
        <v>8.2298089483733097E-6</v>
      </c>
      <c r="AH28" s="45">
        <f>covAll!X28</f>
        <v>-3.9795403544388002E-8</v>
      </c>
      <c r="AI28" s="45">
        <f>covAll!Y28</f>
        <v>-1.89316403457161E-7</v>
      </c>
      <c r="AJ28" s="45">
        <f>covAll!Z28</f>
        <v>-1.1965074466092601E-7</v>
      </c>
      <c r="AK28" s="45">
        <f>covAll!AA28+AK33</f>
        <v>-5.6627220448303743E-6</v>
      </c>
      <c r="AL28" s="45">
        <f>covAll!AB28+AL33</f>
        <v>5.4362973835867499E-4</v>
      </c>
    </row>
    <row r="31" spans="11:38" x14ac:dyDescent="0.25">
      <c r="AG31" s="112" t="s">
        <v>98</v>
      </c>
      <c r="AH31" s="112"/>
      <c r="AI31" s="112"/>
      <c r="AJ31" s="48" t="s">
        <v>8</v>
      </c>
      <c r="AK31" t="s">
        <v>36</v>
      </c>
      <c r="AL31" t="s">
        <v>25</v>
      </c>
    </row>
    <row r="32" spans="11:38" x14ac:dyDescent="0.25">
      <c r="AG32" s="112"/>
      <c r="AH32" s="112"/>
      <c r="AI32" s="112"/>
      <c r="AJ32" t="s">
        <v>36</v>
      </c>
      <c r="AK32" s="70">
        <v>8.9619355773257205E-11</v>
      </c>
      <c r="AL32" s="71">
        <v>4.92345395201421E-9</v>
      </c>
    </row>
    <row r="33" spans="1:43" x14ac:dyDescent="0.25">
      <c r="AG33" s="112"/>
      <c r="AH33" s="112"/>
      <c r="AI33" s="112"/>
      <c r="AJ33" t="s">
        <v>25</v>
      </c>
      <c r="AK33" s="72">
        <v>4.9234391474861698E-9</v>
      </c>
      <c r="AL33" s="73">
        <v>1.2018977985639401E-6</v>
      </c>
    </row>
    <row r="38" spans="1:43" x14ac:dyDescent="0.25">
      <c r="D38" s="57" t="s">
        <v>109</v>
      </c>
      <c r="AH38" s="57" t="s">
        <v>95</v>
      </c>
    </row>
    <row r="39" spans="1:43" x14ac:dyDescent="0.25">
      <c r="F39" s="106" t="s">
        <v>20</v>
      </c>
      <c r="G39" s="106"/>
      <c r="H39" s="106"/>
      <c r="I39" s="106"/>
      <c r="AJ39" s="106" t="s">
        <v>21</v>
      </c>
      <c r="AK39" s="106"/>
      <c r="AL39" s="106"/>
      <c r="AM39" s="106"/>
    </row>
    <row r="40" spans="1:43" x14ac:dyDescent="0.25">
      <c r="F40" t="s">
        <v>16</v>
      </c>
      <c r="G40" t="s">
        <v>17</v>
      </c>
      <c r="H40" t="s">
        <v>18</v>
      </c>
      <c r="I40" t="s">
        <v>19</v>
      </c>
      <c r="J40" t="s">
        <v>25</v>
      </c>
      <c r="K40" t="s">
        <v>23</v>
      </c>
      <c r="M40" t="s">
        <v>38</v>
      </c>
      <c r="AJ40" t="s">
        <v>16</v>
      </c>
      <c r="AK40" t="s">
        <v>17</v>
      </c>
      <c r="AL40" t="s">
        <v>18</v>
      </c>
      <c r="AM40" t="s">
        <v>19</v>
      </c>
      <c r="AN40" t="s">
        <v>25</v>
      </c>
      <c r="AO40" t="s">
        <v>23</v>
      </c>
      <c r="AP40" t="s">
        <v>36</v>
      </c>
      <c r="AQ40" t="s">
        <v>38</v>
      </c>
    </row>
    <row r="41" spans="1:43" x14ac:dyDescent="0.25">
      <c r="B41" s="110" t="s">
        <v>99</v>
      </c>
      <c r="C41" s="110"/>
      <c r="D41" s="106" t="s">
        <v>20</v>
      </c>
      <c r="E41" t="s">
        <v>16</v>
      </c>
      <c r="F41" s="15">
        <v>8.7848722343766502E-11</v>
      </c>
      <c r="G41" s="14">
        <v>1.59088583462917E-9</v>
      </c>
      <c r="H41" s="14">
        <v>1.3195772345904301E-9</v>
      </c>
      <c r="I41" s="14">
        <v>3.2029349979360501E-9</v>
      </c>
      <c r="J41" s="14">
        <v>4.6109639518923001E-13</v>
      </c>
      <c r="K41" s="14">
        <v>5.5238194610287197E-14</v>
      </c>
      <c r="L41" s="85">
        <v>0</v>
      </c>
      <c r="M41" s="14">
        <v>-1.36240371281332E-9</v>
      </c>
      <c r="AF41" s="110" t="s">
        <v>99</v>
      </c>
      <c r="AG41" s="110"/>
      <c r="AH41" s="106" t="s">
        <v>21</v>
      </c>
      <c r="AI41" t="s">
        <v>16</v>
      </c>
      <c r="AJ41" s="15">
        <v>8.7848722343766502E-11</v>
      </c>
      <c r="AK41" s="14">
        <v>1.59088583462917E-9</v>
      </c>
      <c r="AL41" s="14">
        <v>1.3195772345904301E-9</v>
      </c>
      <c r="AM41" s="14">
        <v>3.2029349979360501E-9</v>
      </c>
      <c r="AN41" s="14">
        <v>4.6109639518923001E-13</v>
      </c>
      <c r="AO41" s="14">
        <v>5.5238194610287197E-14</v>
      </c>
      <c r="AP41" s="14">
        <v>1.7989513735451599E-11</v>
      </c>
      <c r="AQ41" s="14">
        <v>-1.36240371281332E-9</v>
      </c>
    </row>
    <row r="42" spans="1:43" x14ac:dyDescent="0.25">
      <c r="B42" s="110"/>
      <c r="C42" s="110"/>
      <c r="D42" s="106"/>
      <c r="E42" t="s">
        <v>17</v>
      </c>
      <c r="F42" s="16">
        <v>1.59088583462917E-9</v>
      </c>
      <c r="G42" s="11">
        <v>2.89071624204747E-8</v>
      </c>
      <c r="H42" s="11">
        <v>2.3940041647645701E-8</v>
      </c>
      <c r="I42" s="11">
        <v>5.8160208934298099E-8</v>
      </c>
      <c r="J42" s="11">
        <v>1.5724233703089099E-11</v>
      </c>
      <c r="K42" s="11">
        <v>1.1283288580120799E-12</v>
      </c>
      <c r="L42" s="86">
        <v>0</v>
      </c>
      <c r="M42" s="11">
        <v>-2.65823538390996E-8</v>
      </c>
      <c r="AF42" s="110"/>
      <c r="AG42" s="110"/>
      <c r="AH42" s="106"/>
      <c r="AI42" t="s">
        <v>17</v>
      </c>
      <c r="AJ42" s="16">
        <v>1.59088583462917E-9</v>
      </c>
      <c r="AK42" s="11">
        <v>2.89071624204747E-8</v>
      </c>
      <c r="AL42" s="11">
        <v>2.3940041647645701E-8</v>
      </c>
      <c r="AM42" s="11">
        <v>5.8160208934298099E-8</v>
      </c>
      <c r="AN42" s="11">
        <v>1.5724233703089099E-11</v>
      </c>
      <c r="AO42" s="11">
        <v>1.1283288580120799E-12</v>
      </c>
      <c r="AP42" s="11">
        <v>3.5607402058311199E-10</v>
      </c>
      <c r="AQ42" s="11">
        <v>-2.65823538390996E-8</v>
      </c>
    </row>
    <row r="43" spans="1:43" x14ac:dyDescent="0.25">
      <c r="B43" s="110"/>
      <c r="C43" s="110"/>
      <c r="D43" s="106"/>
      <c r="E43" t="s">
        <v>18</v>
      </c>
      <c r="F43" s="16">
        <v>1.3195772345904301E-9</v>
      </c>
      <c r="G43" s="11">
        <v>2.3940041647645701E-8</v>
      </c>
      <c r="H43" s="11">
        <v>1.9856214073192601E-8</v>
      </c>
      <c r="I43" s="11">
        <v>4.8225750472980098E-8</v>
      </c>
      <c r="J43" s="11">
        <v>6.7713277574953803E-12</v>
      </c>
      <c r="K43" s="11">
        <v>9.0507676087214699E-13</v>
      </c>
      <c r="L43" s="86">
        <v>0</v>
      </c>
      <c r="M43" s="11">
        <v>-2.2469068206986499E-8</v>
      </c>
      <c r="AF43" s="110"/>
      <c r="AG43" s="110"/>
      <c r="AH43" s="106"/>
      <c r="AI43" t="s">
        <v>18</v>
      </c>
      <c r="AJ43" s="16">
        <v>1.3195772345904301E-9</v>
      </c>
      <c r="AK43" s="11">
        <v>2.3940041647645701E-8</v>
      </c>
      <c r="AL43" s="11">
        <v>1.9856214073192601E-8</v>
      </c>
      <c r="AM43" s="11">
        <v>4.8225750472980098E-8</v>
      </c>
      <c r="AN43" s="11">
        <v>6.7713277574953803E-12</v>
      </c>
      <c r="AO43" s="11">
        <v>9.0507676087214699E-13</v>
      </c>
      <c r="AP43" s="11">
        <v>2.90303104950524E-10</v>
      </c>
      <c r="AQ43" s="11">
        <v>-2.2469068206986499E-8</v>
      </c>
    </row>
    <row r="44" spans="1:43" x14ac:dyDescent="0.25">
      <c r="B44" s="110"/>
      <c r="C44" s="110"/>
      <c r="D44" s="106"/>
      <c r="E44" t="s">
        <v>19</v>
      </c>
      <c r="F44" s="16">
        <v>3.2029349979360501E-9</v>
      </c>
      <c r="G44" s="11">
        <v>5.8160208934298099E-8</v>
      </c>
      <c r="H44" s="11">
        <v>4.8225750472980098E-8</v>
      </c>
      <c r="I44" s="11">
        <v>1.17288456192502E-7</v>
      </c>
      <c r="J44" s="11">
        <v>4.1774129427629798E-11</v>
      </c>
      <c r="K44" s="11">
        <v>2.2958490404189201E-12</v>
      </c>
      <c r="L44" s="86">
        <v>0</v>
      </c>
      <c r="M44" s="11">
        <v>-4.93400786471754E-8</v>
      </c>
      <c r="AF44" s="110"/>
      <c r="AG44" s="110"/>
      <c r="AH44" s="106"/>
      <c r="AI44" t="s">
        <v>19</v>
      </c>
      <c r="AJ44" s="16">
        <v>3.2029349979360501E-9</v>
      </c>
      <c r="AK44" s="11">
        <v>5.8160208934298099E-8</v>
      </c>
      <c r="AL44" s="11">
        <v>4.8225750472980098E-8</v>
      </c>
      <c r="AM44" s="11">
        <v>1.17288456192502E-7</v>
      </c>
      <c r="AN44" s="11">
        <v>4.1774129427629798E-11</v>
      </c>
      <c r="AO44" s="11">
        <v>2.2958490404189201E-12</v>
      </c>
      <c r="AP44" s="11">
        <v>6.8800921461308596E-10</v>
      </c>
      <c r="AQ44" s="11">
        <v>-4.93400786471754E-8</v>
      </c>
    </row>
    <row r="45" spans="1:43" x14ac:dyDescent="0.25">
      <c r="E45" t="s">
        <v>25</v>
      </c>
      <c r="F45" s="16">
        <v>4.6109639518923001E-13</v>
      </c>
      <c r="G45" s="11">
        <v>1.5724233703089099E-11</v>
      </c>
      <c r="H45" s="11">
        <v>6.7713277574953803E-12</v>
      </c>
      <c r="I45" s="11">
        <v>4.1774129427629798E-11</v>
      </c>
      <c r="J45" s="11">
        <v>2.8887958260805801E-9</v>
      </c>
      <c r="K45" s="11">
        <v>-1.27468788337683E-11</v>
      </c>
      <c r="L45" s="86">
        <v>0</v>
      </c>
      <c r="M45" s="11">
        <v>4.4618322453184599E-7</v>
      </c>
      <c r="AI45" t="s">
        <v>25</v>
      </c>
      <c r="AJ45" s="16">
        <v>4.6109639518923001E-13</v>
      </c>
      <c r="AK45" s="11">
        <v>1.5724233703089099E-11</v>
      </c>
      <c r="AL45" s="11">
        <v>6.7713277574953803E-12</v>
      </c>
      <c r="AM45" s="11">
        <v>4.1774129427629798E-11</v>
      </c>
      <c r="AN45" s="11">
        <v>2.8887958260805801E-9</v>
      </c>
      <c r="AO45" s="11">
        <v>-1.27468788337683E-11</v>
      </c>
      <c r="AP45" s="11">
        <v>-2.0146103943362499E-10</v>
      </c>
      <c r="AQ45" s="11">
        <v>4.4618322453184599E-7</v>
      </c>
    </row>
    <row r="46" spans="1:43" x14ac:dyDescent="0.25">
      <c r="A46" s="110" t="s">
        <v>111</v>
      </c>
      <c r="B46" s="110"/>
      <c r="C46" s="110"/>
      <c r="E46" t="s">
        <v>23</v>
      </c>
      <c r="F46" s="16">
        <v>5.5238194610287197E-14</v>
      </c>
      <c r="G46" s="11">
        <v>1.1283288580120799E-12</v>
      </c>
      <c r="H46" s="11">
        <v>9.0507676087214699E-13</v>
      </c>
      <c r="I46" s="11">
        <v>2.2958490404189201E-12</v>
      </c>
      <c r="J46" s="11">
        <v>-1.27468788337683E-11</v>
      </c>
      <c r="K46" s="11">
        <v>1.5818262187493201E-13</v>
      </c>
      <c r="L46" s="86">
        <v>0</v>
      </c>
      <c r="M46" s="11">
        <v>-2.1274359236312698E-9</v>
      </c>
      <c r="AI46" t="s">
        <v>23</v>
      </c>
      <c r="AJ46" s="16">
        <v>5.5238194610287197E-14</v>
      </c>
      <c r="AK46" s="11">
        <v>1.1283288580120799E-12</v>
      </c>
      <c r="AL46" s="11">
        <v>9.0507676087214699E-13</v>
      </c>
      <c r="AM46" s="11">
        <v>2.2958490404189201E-12</v>
      </c>
      <c r="AN46" s="11">
        <v>-1.27468788337683E-11</v>
      </c>
      <c r="AO46" s="11">
        <v>1.5818262187493201E-13</v>
      </c>
      <c r="AP46" s="11">
        <v>2.7927009939801602E-12</v>
      </c>
      <c r="AQ46" s="11">
        <v>-2.1274359236312698E-9</v>
      </c>
    </row>
    <row r="47" spans="1:43" x14ac:dyDescent="0.25">
      <c r="A47" s="110"/>
      <c r="B47" s="110"/>
      <c r="C47" s="110"/>
      <c r="F47" s="87">
        <v>0</v>
      </c>
      <c r="G47" s="86">
        <v>0</v>
      </c>
      <c r="H47" s="86">
        <v>0</v>
      </c>
      <c r="I47" s="86">
        <v>0</v>
      </c>
      <c r="J47" s="86">
        <v>0</v>
      </c>
      <c r="K47" s="86">
        <v>0</v>
      </c>
      <c r="L47" s="86">
        <v>0</v>
      </c>
      <c r="M47" s="86">
        <v>0</v>
      </c>
      <c r="AI47" t="s">
        <v>36</v>
      </c>
      <c r="AJ47" s="16">
        <v>1.7989513735451599E-11</v>
      </c>
      <c r="AK47" s="11">
        <v>3.5607402058311199E-10</v>
      </c>
      <c r="AL47" s="11">
        <v>2.90303104950524E-10</v>
      </c>
      <c r="AM47" s="11">
        <v>6.8800921461308596E-10</v>
      </c>
      <c r="AN47" s="11">
        <v>-2.0146103943362499E-10</v>
      </c>
      <c r="AO47" s="11">
        <v>2.7927009939801602E-12</v>
      </c>
      <c r="AP47" s="11">
        <v>7.0519308105486853E-8</v>
      </c>
      <c r="AQ47" s="11">
        <v>-5.662722030025846E-6</v>
      </c>
    </row>
    <row r="48" spans="1:43" x14ac:dyDescent="0.25">
      <c r="A48" s="110"/>
      <c r="B48" s="110"/>
      <c r="C48" s="110"/>
      <c r="E48" t="s">
        <v>38</v>
      </c>
      <c r="F48" s="16">
        <v>-1.36240371281332E-9</v>
      </c>
      <c r="G48" s="11">
        <v>-2.65823538390996E-8</v>
      </c>
      <c r="H48" s="11">
        <v>-2.2469068206986499E-8</v>
      </c>
      <c r="I48" s="11">
        <v>-4.93400786471754E-8</v>
      </c>
      <c r="J48" s="11">
        <v>4.4618322453184599E-7</v>
      </c>
      <c r="K48" s="11">
        <v>-2.1274359236312698E-9</v>
      </c>
      <c r="L48" s="86">
        <v>0</v>
      </c>
      <c r="M48" s="11">
        <v>5.4362973835867499E-4</v>
      </c>
      <c r="AI48" t="s">
        <v>38</v>
      </c>
      <c r="AJ48" s="16">
        <v>-1.36240371281332E-9</v>
      </c>
      <c r="AK48" s="11">
        <v>-2.65823538390996E-8</v>
      </c>
      <c r="AL48" s="11">
        <v>-2.2469068206986499E-8</v>
      </c>
      <c r="AM48" s="11">
        <v>-4.93400786471754E-8</v>
      </c>
      <c r="AN48" s="11">
        <v>4.4618322453184599E-7</v>
      </c>
      <c r="AO48" s="11">
        <v>-2.1274359236312698E-9</v>
      </c>
      <c r="AP48" s="11">
        <v>-5.6627220448303743E-6</v>
      </c>
      <c r="AQ48" s="11">
        <v>5.4362973835867499E-4</v>
      </c>
    </row>
    <row r="52" spans="1:44" x14ac:dyDescent="0.25">
      <c r="A52" s="111" t="s">
        <v>110</v>
      </c>
      <c r="B52" s="111"/>
      <c r="C52" s="111"/>
      <c r="D52" s="111"/>
      <c r="E52" s="48" t="s">
        <v>96</v>
      </c>
      <c r="AE52" s="111" t="s">
        <v>97</v>
      </c>
      <c r="AF52" s="111"/>
      <c r="AG52" s="111"/>
      <c r="AH52" s="111"/>
      <c r="AI52" s="48" t="s">
        <v>96</v>
      </c>
    </row>
    <row r="53" spans="1:44" x14ac:dyDescent="0.25">
      <c r="A53" s="111"/>
      <c r="B53" s="111"/>
      <c r="C53" s="111"/>
      <c r="D53" s="111"/>
      <c r="E53" s="58" t="s">
        <v>20</v>
      </c>
      <c r="F53" s="43" t="s">
        <v>16</v>
      </c>
      <c r="G53" s="43" t="s">
        <v>17</v>
      </c>
      <c r="H53" s="43" t="s">
        <v>18</v>
      </c>
      <c r="I53" s="43" t="s">
        <v>19</v>
      </c>
      <c r="J53" s="43" t="s">
        <v>25</v>
      </c>
      <c r="K53" s="43" t="s">
        <v>23</v>
      </c>
      <c r="L53" s="43"/>
      <c r="M53" s="43" t="s">
        <v>38</v>
      </c>
      <c r="N53" s="43" t="s">
        <v>101</v>
      </c>
      <c r="AE53" s="111"/>
      <c r="AF53" s="111"/>
      <c r="AG53" s="111"/>
      <c r="AH53" s="111"/>
      <c r="AI53" s="58" t="s">
        <v>21</v>
      </c>
      <c r="AJ53" s="43" t="s">
        <v>16</v>
      </c>
      <c r="AK53" s="43" t="s">
        <v>17</v>
      </c>
      <c r="AL53" s="43" t="s">
        <v>18</v>
      </c>
      <c r="AM53" s="43" t="s">
        <v>19</v>
      </c>
      <c r="AN53" s="43" t="s">
        <v>25</v>
      </c>
      <c r="AO53" s="43" t="s">
        <v>23</v>
      </c>
      <c r="AP53" s="43" t="s">
        <v>36</v>
      </c>
      <c r="AQ53" s="43" t="s">
        <v>38</v>
      </c>
      <c r="AR53" s="43" t="s">
        <v>101</v>
      </c>
    </row>
    <row r="54" spans="1:44" x14ac:dyDescent="0.25">
      <c r="A54" s="111"/>
      <c r="B54" s="111"/>
      <c r="C54" s="111"/>
      <c r="D54" s="111"/>
      <c r="E54" t="s">
        <v>16</v>
      </c>
      <c r="F54" s="50">
        <v>8.1000000000000005E-11</v>
      </c>
      <c r="G54" s="51">
        <v>1.4914235277574E-9</v>
      </c>
      <c r="H54" s="51">
        <v>1.2486018167264499E-9</v>
      </c>
      <c r="I54" s="51">
        <v>3.0467457354928298E-9</v>
      </c>
      <c r="J54" s="52">
        <v>0</v>
      </c>
      <c r="K54" s="52">
        <v>0</v>
      </c>
      <c r="L54" s="85">
        <v>0</v>
      </c>
      <c r="M54" s="14">
        <f t="shared" ref="M54:M59" si="0">M41</f>
        <v>-1.36240371281332E-9</v>
      </c>
      <c r="N54" s="14">
        <v>0</v>
      </c>
      <c r="AE54" s="111"/>
      <c r="AF54" s="111"/>
      <c r="AG54" s="111"/>
      <c r="AH54" s="111"/>
      <c r="AI54" t="s">
        <v>16</v>
      </c>
      <c r="AJ54" s="50">
        <v>8.3876866061956499E-11</v>
      </c>
      <c r="AK54" s="51">
        <v>1.51796787106751E-9</v>
      </c>
      <c r="AL54" s="51">
        <v>1.25950212394299E-9</v>
      </c>
      <c r="AM54" s="51">
        <v>3.06017691531573E-9</v>
      </c>
      <c r="AN54" s="52">
        <v>0</v>
      </c>
      <c r="AO54" s="52">
        <v>0</v>
      </c>
      <c r="AP54" s="14">
        <f t="shared" ref="AP54:AQ59" si="1">AP41</f>
        <v>1.7989513735451599E-11</v>
      </c>
      <c r="AQ54" s="14">
        <f t="shared" si="1"/>
        <v>-1.36240371281332E-9</v>
      </c>
      <c r="AR54" s="14">
        <v>0</v>
      </c>
    </row>
    <row r="55" spans="1:44" x14ac:dyDescent="0.25">
      <c r="A55" s="111"/>
      <c r="B55" s="111"/>
      <c r="C55" s="111"/>
      <c r="D55" s="111"/>
      <c r="E55" t="s">
        <v>17</v>
      </c>
      <c r="F55" s="53">
        <v>1.4914235277574E-9</v>
      </c>
      <c r="G55" s="54">
        <v>2.8513704738480899E-8</v>
      </c>
      <c r="H55" s="54">
        <v>2.3477969445723299E-8</v>
      </c>
      <c r="I55" s="54">
        <v>5.7910882711571498E-8</v>
      </c>
      <c r="J55" s="55">
        <v>0</v>
      </c>
      <c r="K55" s="55">
        <v>0</v>
      </c>
      <c r="L55" s="88">
        <v>0</v>
      </c>
      <c r="M55" s="11">
        <f t="shared" si="0"/>
        <v>-2.65823538390996E-8</v>
      </c>
      <c r="N55">
        <v>0</v>
      </c>
      <c r="AE55" s="111"/>
      <c r="AF55" s="111"/>
      <c r="AG55" s="111"/>
      <c r="AH55" s="111"/>
      <c r="AI55" t="s">
        <v>17</v>
      </c>
      <c r="AJ55" s="53">
        <v>1.51796787106751E-9</v>
      </c>
      <c r="AK55" s="54">
        <v>2.7570024296755501E-8</v>
      </c>
      <c r="AL55" s="54">
        <v>2.2839787747929702E-8</v>
      </c>
      <c r="AM55" s="54">
        <v>5.5551118531365E-8</v>
      </c>
      <c r="AN55" s="55">
        <v>0</v>
      </c>
      <c r="AO55" s="55">
        <v>0</v>
      </c>
      <c r="AP55" s="11">
        <f t="shared" si="1"/>
        <v>3.5607402058311199E-10</v>
      </c>
      <c r="AQ55" s="11">
        <f t="shared" si="1"/>
        <v>-2.65823538390996E-8</v>
      </c>
      <c r="AR55">
        <v>0</v>
      </c>
    </row>
    <row r="56" spans="1:44" x14ac:dyDescent="0.25">
      <c r="A56" s="111"/>
      <c r="B56" s="111"/>
      <c r="C56" s="111"/>
      <c r="D56" s="111"/>
      <c r="E56" t="s">
        <v>18</v>
      </c>
      <c r="F56" s="53">
        <v>1.2486018167264499E-9</v>
      </c>
      <c r="G56" s="54">
        <v>2.3477969445723299E-8</v>
      </c>
      <c r="H56" s="54">
        <v>1.9640311213543699E-8</v>
      </c>
      <c r="I56" s="54">
        <v>4.82761791708861E-8</v>
      </c>
      <c r="J56" s="55">
        <v>0</v>
      </c>
      <c r="K56" s="55">
        <v>0</v>
      </c>
      <c r="L56" s="88">
        <v>0</v>
      </c>
      <c r="M56" s="11">
        <f t="shared" si="0"/>
        <v>-2.2469068206986499E-8</v>
      </c>
      <c r="N56">
        <v>0</v>
      </c>
      <c r="AE56" s="111"/>
      <c r="AF56" s="111"/>
      <c r="AG56" s="111"/>
      <c r="AH56" s="111"/>
      <c r="AI56" t="s">
        <v>18</v>
      </c>
      <c r="AJ56" s="53">
        <v>1.25950212394299E-9</v>
      </c>
      <c r="AK56" s="54">
        <v>2.2839787747929702E-8</v>
      </c>
      <c r="AL56" s="54">
        <v>1.8949828490373902E-8</v>
      </c>
      <c r="AM56" s="54">
        <v>4.6074373352583899E-8</v>
      </c>
      <c r="AN56" s="55">
        <v>0</v>
      </c>
      <c r="AO56" s="55">
        <v>0</v>
      </c>
      <c r="AP56" s="11">
        <f t="shared" si="1"/>
        <v>2.90303104950524E-10</v>
      </c>
      <c r="AQ56" s="11">
        <f t="shared" si="1"/>
        <v>-2.2469068206986499E-8</v>
      </c>
      <c r="AR56">
        <v>0</v>
      </c>
    </row>
    <row r="57" spans="1:44" x14ac:dyDescent="0.25">
      <c r="A57" s="111"/>
      <c r="B57" s="111"/>
      <c r="C57" s="111"/>
      <c r="D57" s="111"/>
      <c r="E57" t="s">
        <v>19</v>
      </c>
      <c r="F57" s="53">
        <v>3.0467457354928298E-9</v>
      </c>
      <c r="G57" s="54">
        <v>5.7910882711571498E-8</v>
      </c>
      <c r="H57" s="54">
        <v>4.82761791708861E-8</v>
      </c>
      <c r="I57" s="54">
        <v>1.2043525488818199E-7</v>
      </c>
      <c r="J57" s="55">
        <v>0</v>
      </c>
      <c r="K57" s="55">
        <v>0</v>
      </c>
      <c r="L57" s="88">
        <v>0</v>
      </c>
      <c r="M57" s="11">
        <f t="shared" si="0"/>
        <v>-4.93400786471754E-8</v>
      </c>
      <c r="N57">
        <v>0</v>
      </c>
      <c r="AE57" s="111"/>
      <c r="AF57" s="111"/>
      <c r="AG57" s="111"/>
      <c r="AH57" s="111"/>
      <c r="AI57" t="s">
        <v>19</v>
      </c>
      <c r="AJ57" s="53">
        <v>3.06017691531573E-9</v>
      </c>
      <c r="AK57" s="54">
        <v>5.5551118531365E-8</v>
      </c>
      <c r="AL57" s="54">
        <v>4.6074373352583899E-8</v>
      </c>
      <c r="AM57" s="54">
        <v>1.1219069394168801E-7</v>
      </c>
      <c r="AN57" s="55">
        <v>0</v>
      </c>
      <c r="AO57" s="55">
        <v>0</v>
      </c>
      <c r="AP57" s="11">
        <f t="shared" si="1"/>
        <v>6.8800921461308596E-10</v>
      </c>
      <c r="AQ57" s="11">
        <f t="shared" si="1"/>
        <v>-4.93400786471754E-8</v>
      </c>
      <c r="AR57">
        <v>0</v>
      </c>
    </row>
    <row r="58" spans="1:44" x14ac:dyDescent="0.25">
      <c r="A58" s="111"/>
      <c r="B58" s="111"/>
      <c r="C58" s="111"/>
      <c r="D58" s="111"/>
      <c r="E58" t="s">
        <v>25</v>
      </c>
      <c r="F58" s="56">
        <v>0</v>
      </c>
      <c r="G58" s="55">
        <v>0</v>
      </c>
      <c r="H58" s="55">
        <v>0</v>
      </c>
      <c r="I58" s="55">
        <v>0</v>
      </c>
      <c r="J58" s="54">
        <v>2.8983666942600001E-9</v>
      </c>
      <c r="K58" s="54">
        <v>-1.2646094948130001E-11</v>
      </c>
      <c r="L58" s="88">
        <v>0</v>
      </c>
      <c r="M58" s="11">
        <f t="shared" si="0"/>
        <v>4.4618322453184599E-7</v>
      </c>
      <c r="N58">
        <v>0</v>
      </c>
      <c r="AE58" s="111"/>
      <c r="AF58" s="111"/>
      <c r="AG58" s="111"/>
      <c r="AH58" s="111"/>
      <c r="AI58" t="s">
        <v>25</v>
      </c>
      <c r="AJ58" s="56">
        <v>0</v>
      </c>
      <c r="AK58" s="55">
        <v>0</v>
      </c>
      <c r="AL58" s="55">
        <v>0</v>
      </c>
      <c r="AM58" s="55">
        <v>0</v>
      </c>
      <c r="AN58" s="54">
        <v>2.8983666942600001E-9</v>
      </c>
      <c r="AO58" s="54">
        <v>-1.2646094948130001E-11</v>
      </c>
      <c r="AP58" s="11">
        <f t="shared" si="1"/>
        <v>-2.0146103943362499E-10</v>
      </c>
      <c r="AQ58" s="11">
        <f t="shared" si="1"/>
        <v>4.4618322453184599E-7</v>
      </c>
      <c r="AR58">
        <v>0</v>
      </c>
    </row>
    <row r="59" spans="1:44" x14ac:dyDescent="0.25">
      <c r="A59" s="111"/>
      <c r="B59" s="111"/>
      <c r="C59" s="111"/>
      <c r="D59" s="111"/>
      <c r="E59" t="s">
        <v>23</v>
      </c>
      <c r="F59" s="56">
        <v>0</v>
      </c>
      <c r="G59" s="55">
        <v>0</v>
      </c>
      <c r="H59" s="55">
        <v>0</v>
      </c>
      <c r="I59" s="55">
        <v>0</v>
      </c>
      <c r="J59" s="54">
        <v>-1.26460961552E-11</v>
      </c>
      <c r="K59" s="54">
        <v>1.564583249266E-13</v>
      </c>
      <c r="L59" s="88">
        <v>0</v>
      </c>
      <c r="M59" s="11">
        <f t="shared" si="0"/>
        <v>-2.1274359236312698E-9</v>
      </c>
      <c r="N59">
        <v>0</v>
      </c>
      <c r="AE59" s="111"/>
      <c r="AF59" s="111"/>
      <c r="AG59" s="111"/>
      <c r="AH59" s="111"/>
      <c r="AI59" t="s">
        <v>23</v>
      </c>
      <c r="AJ59" s="56">
        <v>0</v>
      </c>
      <c r="AK59" s="55">
        <v>0</v>
      </c>
      <c r="AL59" s="55">
        <v>0</v>
      </c>
      <c r="AM59" s="55">
        <v>0</v>
      </c>
      <c r="AN59" s="54">
        <v>-1.26460961552E-11</v>
      </c>
      <c r="AO59" s="54">
        <v>1.564583249266E-13</v>
      </c>
      <c r="AP59" s="11">
        <f t="shared" si="1"/>
        <v>2.7927009939801602E-12</v>
      </c>
      <c r="AQ59" s="11">
        <f t="shared" si="1"/>
        <v>-2.1274359236312698E-9</v>
      </c>
      <c r="AR59">
        <v>0</v>
      </c>
    </row>
    <row r="60" spans="1:44" x14ac:dyDescent="0.25">
      <c r="A60" s="111"/>
      <c r="B60" s="111"/>
      <c r="C60" s="111"/>
      <c r="D60" s="111"/>
      <c r="F60" s="87">
        <v>0</v>
      </c>
      <c r="G60" s="88">
        <v>0</v>
      </c>
      <c r="H60" s="88">
        <v>0</v>
      </c>
      <c r="I60" s="88">
        <v>0</v>
      </c>
      <c r="J60" s="90">
        <v>0</v>
      </c>
      <c r="K60" s="90">
        <v>0</v>
      </c>
      <c r="L60" s="88">
        <v>0</v>
      </c>
      <c r="M60" s="89">
        <v>0</v>
      </c>
      <c r="N60" s="91">
        <v>0</v>
      </c>
      <c r="AE60" s="111"/>
      <c r="AF60" s="111"/>
      <c r="AG60" s="111"/>
      <c r="AH60" s="111"/>
      <c r="AI60" t="s">
        <v>36</v>
      </c>
      <c r="AJ60" s="16">
        <f t="shared" ref="AJ60:AO61" si="2">AJ47</f>
        <v>1.7989513735451599E-11</v>
      </c>
      <c r="AK60" s="11">
        <f t="shared" si="2"/>
        <v>3.5607402058311199E-10</v>
      </c>
      <c r="AL60" s="11">
        <f t="shared" si="2"/>
        <v>2.90303104950524E-10</v>
      </c>
      <c r="AM60" s="11">
        <f t="shared" si="2"/>
        <v>6.8800921461308596E-10</v>
      </c>
      <c r="AN60" s="11">
        <f t="shared" si="2"/>
        <v>-2.0146103943362499E-10</v>
      </c>
      <c r="AO60" s="11">
        <f t="shared" si="2"/>
        <v>2.7927009939801602E-12</v>
      </c>
      <c r="AP60" s="11">
        <f>AP47</f>
        <v>7.0519308105486853E-8</v>
      </c>
      <c r="AQ60" s="45">
        <f>AQ47</f>
        <v>-5.662722030025846E-6</v>
      </c>
      <c r="AR60">
        <v>0</v>
      </c>
    </row>
    <row r="61" spans="1:44" x14ac:dyDescent="0.25">
      <c r="A61" s="111"/>
      <c r="B61" s="111"/>
      <c r="C61" s="111"/>
      <c r="D61" s="111"/>
      <c r="E61" t="s">
        <v>38</v>
      </c>
      <c r="F61" s="16">
        <f t="shared" ref="F61:K61" si="3">F48</f>
        <v>-1.36240371281332E-9</v>
      </c>
      <c r="G61" s="11">
        <f t="shared" si="3"/>
        <v>-2.65823538390996E-8</v>
      </c>
      <c r="H61" s="11">
        <f t="shared" si="3"/>
        <v>-2.2469068206986499E-8</v>
      </c>
      <c r="I61" s="11">
        <f t="shared" si="3"/>
        <v>-4.93400786471754E-8</v>
      </c>
      <c r="J61" s="11">
        <f t="shared" si="3"/>
        <v>4.4618322453184599E-7</v>
      </c>
      <c r="K61" s="11">
        <f t="shared" si="3"/>
        <v>-2.1274359236312698E-9</v>
      </c>
      <c r="L61" s="89">
        <v>0</v>
      </c>
      <c r="M61" s="11">
        <f>M48</f>
        <v>5.4362973835867499E-4</v>
      </c>
      <c r="N61">
        <v>0</v>
      </c>
      <c r="AE61" s="111"/>
      <c r="AF61" s="111"/>
      <c r="AG61" s="111"/>
      <c r="AH61" s="111"/>
      <c r="AI61" t="s">
        <v>38</v>
      </c>
      <c r="AJ61" s="16">
        <f t="shared" si="2"/>
        <v>-1.36240371281332E-9</v>
      </c>
      <c r="AK61" s="11">
        <f t="shared" si="2"/>
        <v>-2.65823538390996E-8</v>
      </c>
      <c r="AL61" s="11">
        <f t="shared" si="2"/>
        <v>-2.2469068206986499E-8</v>
      </c>
      <c r="AM61" s="11">
        <f t="shared" si="2"/>
        <v>-4.93400786471754E-8</v>
      </c>
      <c r="AN61" s="11">
        <f t="shared" si="2"/>
        <v>4.4618322453184599E-7</v>
      </c>
      <c r="AO61" s="11">
        <f t="shared" si="2"/>
        <v>-2.1274359236312698E-9</v>
      </c>
      <c r="AP61" s="45">
        <f>AP48</f>
        <v>-5.6627220448303743E-6</v>
      </c>
      <c r="AQ61" s="11">
        <f>AQ48</f>
        <v>5.4362973835867499E-4</v>
      </c>
      <c r="AR61">
        <v>0</v>
      </c>
    </row>
    <row r="62" spans="1:44" x14ac:dyDescent="0.25">
      <c r="A62" s="59"/>
      <c r="B62" s="59"/>
      <c r="C62" s="59"/>
      <c r="D62" s="59"/>
      <c r="E62" t="s">
        <v>101</v>
      </c>
      <c r="F62" s="16">
        <v>0</v>
      </c>
      <c r="G62" s="11">
        <v>0</v>
      </c>
      <c r="H62" s="11">
        <v>0</v>
      </c>
      <c r="I62" s="11">
        <v>0</v>
      </c>
      <c r="J62" s="11">
        <v>0</v>
      </c>
      <c r="K62" s="11">
        <v>0</v>
      </c>
      <c r="L62" s="88">
        <v>0</v>
      </c>
      <c r="M62" s="11">
        <v>0</v>
      </c>
      <c r="N62" s="1">
        <f>G66^2</f>
        <v>6.6455684099999997E-28</v>
      </c>
      <c r="AE62" s="59"/>
      <c r="AF62" s="59"/>
      <c r="AG62" s="59"/>
      <c r="AH62" s="59"/>
      <c r="AI62" t="s">
        <v>101</v>
      </c>
      <c r="AJ62" s="16">
        <v>0</v>
      </c>
      <c r="AK62" s="11">
        <v>0</v>
      </c>
      <c r="AL62" s="11">
        <v>0</v>
      </c>
      <c r="AM62" s="11">
        <v>0</v>
      </c>
      <c r="AN62" s="11">
        <v>0</v>
      </c>
      <c r="AO62" s="11">
        <v>0</v>
      </c>
      <c r="AP62" s="60">
        <v>0</v>
      </c>
      <c r="AQ62" s="11">
        <v>0</v>
      </c>
      <c r="AR62" s="1">
        <f>AK66^2</f>
        <v>6.6455684099999997E-28</v>
      </c>
    </row>
    <row r="63" spans="1:44" x14ac:dyDescent="0.25">
      <c r="A63" s="59"/>
      <c r="B63" s="59"/>
      <c r="C63" s="59"/>
      <c r="D63" s="59"/>
      <c r="F63" s="11"/>
      <c r="G63" s="11"/>
      <c r="H63" s="11"/>
      <c r="I63" s="11"/>
      <c r="J63" s="11"/>
      <c r="K63" s="11"/>
      <c r="L63" s="45"/>
      <c r="M63" s="11"/>
      <c r="AE63" s="59"/>
      <c r="AF63" s="59"/>
      <c r="AG63" s="59"/>
      <c r="AH63" s="59"/>
      <c r="AJ63" s="11"/>
      <c r="AK63" s="11"/>
      <c r="AL63" s="11"/>
      <c r="AM63" s="11"/>
      <c r="AN63" s="11"/>
      <c r="AO63" s="11"/>
      <c r="AP63" s="45"/>
      <c r="AQ63" s="11"/>
    </row>
    <row r="65" spans="1:46" x14ac:dyDescent="0.25">
      <c r="F65" s="43" t="s">
        <v>102</v>
      </c>
      <c r="G65" s="43" t="s">
        <v>103</v>
      </c>
      <c r="AJ65" s="43" t="s">
        <v>102</v>
      </c>
      <c r="AK65" s="43" t="s">
        <v>103</v>
      </c>
    </row>
    <row r="66" spans="1:46" x14ac:dyDescent="0.25">
      <c r="B66" s="106" t="s">
        <v>100</v>
      </c>
      <c r="C66" s="106"/>
      <c r="D66" s="106"/>
      <c r="E66" t="s">
        <v>101</v>
      </c>
      <c r="F66" s="46">
        <v>1.0311600000000001E-11</v>
      </c>
      <c r="G66" s="44">
        <v>2.5778999999999999E-14</v>
      </c>
      <c r="AF66" s="106" t="s">
        <v>100</v>
      </c>
      <c r="AG66" s="106"/>
      <c r="AH66" s="106"/>
      <c r="AI66" t="s">
        <v>101</v>
      </c>
      <c r="AJ66" s="46">
        <v>1.0311600000000001E-11</v>
      </c>
      <c r="AK66" s="44">
        <v>2.5778999999999999E-14</v>
      </c>
    </row>
    <row r="67" spans="1:46" x14ac:dyDescent="0.25">
      <c r="B67" s="106" t="s">
        <v>104</v>
      </c>
      <c r="C67" s="106"/>
      <c r="D67" s="106"/>
      <c r="E67" t="s">
        <v>38</v>
      </c>
      <c r="F67" s="16">
        <f>'LS results'!$D$3</f>
        <v>100.23290441259699</v>
      </c>
      <c r="G67" s="11">
        <f>SQRT(M61)</f>
        <v>2.3315868809861556E-2</v>
      </c>
      <c r="AF67" s="106" t="s">
        <v>104</v>
      </c>
      <c r="AG67" s="106"/>
      <c r="AH67" s="106"/>
      <c r="AI67" t="s">
        <v>38</v>
      </c>
      <c r="AJ67" s="16">
        <f>'LS results'!$D$3</f>
        <v>100.23290441259699</v>
      </c>
      <c r="AK67" s="11">
        <f>SQRT(AQ61)</f>
        <v>2.3315868809861556E-2</v>
      </c>
    </row>
    <row r="69" spans="1:46" x14ac:dyDescent="0.25">
      <c r="A69" t="s">
        <v>105</v>
      </c>
      <c r="E69" s="58" t="s">
        <v>107</v>
      </c>
      <c r="F69" s="43" t="s">
        <v>16</v>
      </c>
      <c r="G69" s="43" t="s">
        <v>17</v>
      </c>
      <c r="H69" s="43" t="s">
        <v>18</v>
      </c>
      <c r="I69" s="43" t="s">
        <v>19</v>
      </c>
      <c r="J69" s="43" t="s">
        <v>25</v>
      </c>
      <c r="K69" s="43" t="s">
        <v>23</v>
      </c>
      <c r="L69" s="43" t="s">
        <v>36</v>
      </c>
      <c r="M69" s="43" t="s">
        <v>38</v>
      </c>
      <c r="N69" s="43" t="s">
        <v>101</v>
      </c>
      <c r="AE69" t="s">
        <v>105</v>
      </c>
      <c r="AI69" s="58" t="s">
        <v>107</v>
      </c>
      <c r="AJ69" s="43" t="s">
        <v>16</v>
      </c>
      <c r="AK69" s="43" t="s">
        <v>17</v>
      </c>
      <c r="AL69" s="43" t="s">
        <v>18</v>
      </c>
      <c r="AM69" s="43" t="s">
        <v>19</v>
      </c>
      <c r="AN69" s="43" t="s">
        <v>25</v>
      </c>
      <c r="AO69" s="43" t="s">
        <v>23</v>
      </c>
      <c r="AP69" s="43" t="s">
        <v>36</v>
      </c>
      <c r="AQ69" s="43" t="s">
        <v>38</v>
      </c>
      <c r="AR69" s="43" t="s">
        <v>101</v>
      </c>
    </row>
    <row r="70" spans="1:46" x14ac:dyDescent="0.25">
      <c r="E70" t="s">
        <v>36</v>
      </c>
      <c r="F70" s="92">
        <v>0</v>
      </c>
      <c r="G70" s="85">
        <v>0</v>
      </c>
      <c r="H70" s="85">
        <v>0</v>
      </c>
      <c r="I70" s="85">
        <v>0</v>
      </c>
      <c r="J70" s="85">
        <v>0</v>
      </c>
      <c r="K70" s="85">
        <v>0</v>
      </c>
      <c r="L70" s="93">
        <v>1</v>
      </c>
      <c r="M70" s="85">
        <v>0</v>
      </c>
      <c r="N70" s="85">
        <v>0</v>
      </c>
      <c r="AI70" t="s">
        <v>36</v>
      </c>
      <c r="AJ70" s="15">
        <v>0</v>
      </c>
      <c r="AK70" s="14">
        <v>0</v>
      </c>
      <c r="AL70" s="14">
        <v>0</v>
      </c>
      <c r="AM70" s="14">
        <v>0</v>
      </c>
      <c r="AN70" s="14">
        <v>0</v>
      </c>
      <c r="AO70" s="14">
        <v>0</v>
      </c>
      <c r="AP70" s="63">
        <v>1</v>
      </c>
      <c r="AQ70" s="14">
        <v>0</v>
      </c>
      <c r="AR70" s="14">
        <v>0</v>
      </c>
    </row>
    <row r="71" spans="1:46" x14ac:dyDescent="0.25">
      <c r="E71" t="s">
        <v>16</v>
      </c>
      <c r="F71" s="62">
        <v>1</v>
      </c>
      <c r="G71" s="11">
        <v>0</v>
      </c>
      <c r="H71" s="11">
        <v>0</v>
      </c>
      <c r="I71" s="11">
        <v>0</v>
      </c>
      <c r="J71" s="11">
        <v>0</v>
      </c>
      <c r="K71" s="11">
        <v>0</v>
      </c>
      <c r="L71" s="100">
        <v>0</v>
      </c>
      <c r="M71" s="11">
        <v>0</v>
      </c>
      <c r="N71" s="11">
        <v>0</v>
      </c>
      <c r="AI71" t="s">
        <v>16</v>
      </c>
      <c r="AJ71" s="62">
        <v>1</v>
      </c>
      <c r="AK71" s="11">
        <v>0</v>
      </c>
      <c r="AL71" s="11">
        <v>0</v>
      </c>
      <c r="AM71" s="11">
        <v>0</v>
      </c>
      <c r="AN71" s="11">
        <v>0</v>
      </c>
      <c r="AO71" s="11">
        <v>0</v>
      </c>
      <c r="AP71" s="11">
        <v>0</v>
      </c>
      <c r="AQ71" s="11">
        <v>0</v>
      </c>
      <c r="AR71" s="11">
        <v>0</v>
      </c>
    </row>
    <row r="72" spans="1:46" x14ac:dyDescent="0.25">
      <c r="E72" t="s">
        <v>17</v>
      </c>
      <c r="F72" s="16">
        <v>0</v>
      </c>
      <c r="G72" s="61">
        <v>1</v>
      </c>
      <c r="H72" s="11">
        <v>0</v>
      </c>
      <c r="I72" s="11">
        <v>0</v>
      </c>
      <c r="J72" s="11">
        <v>0</v>
      </c>
      <c r="K72" s="11">
        <v>0</v>
      </c>
      <c r="L72" s="100">
        <v>0</v>
      </c>
      <c r="M72" s="11">
        <v>0</v>
      </c>
      <c r="N72" s="11">
        <v>0</v>
      </c>
      <c r="AI72" t="s">
        <v>17</v>
      </c>
      <c r="AJ72" s="16">
        <v>0</v>
      </c>
      <c r="AK72" s="61">
        <v>1</v>
      </c>
      <c r="AL72" s="11">
        <v>0</v>
      </c>
      <c r="AM72" s="11">
        <v>0</v>
      </c>
      <c r="AN72" s="11">
        <v>0</v>
      </c>
      <c r="AO72" s="11">
        <v>0</v>
      </c>
      <c r="AP72" s="11">
        <v>0</v>
      </c>
      <c r="AQ72" s="11">
        <v>0</v>
      </c>
      <c r="AR72" s="11">
        <v>0</v>
      </c>
    </row>
    <row r="73" spans="1:46" x14ac:dyDescent="0.25">
      <c r="E73" t="s">
        <v>18</v>
      </c>
      <c r="F73" s="16">
        <v>0</v>
      </c>
      <c r="G73" s="11">
        <v>0</v>
      </c>
      <c r="H73" s="61">
        <v>1</v>
      </c>
      <c r="I73" s="11">
        <v>0</v>
      </c>
      <c r="J73" s="11">
        <v>0</v>
      </c>
      <c r="K73" s="11">
        <v>0</v>
      </c>
      <c r="L73" s="100">
        <v>0</v>
      </c>
      <c r="M73" s="11">
        <v>0</v>
      </c>
      <c r="N73" s="11">
        <v>0</v>
      </c>
      <c r="AI73" t="s">
        <v>18</v>
      </c>
      <c r="AJ73" s="16">
        <v>0</v>
      </c>
      <c r="AK73" s="11">
        <v>0</v>
      </c>
      <c r="AL73" s="61">
        <v>1</v>
      </c>
      <c r="AM73" s="11">
        <v>0</v>
      </c>
      <c r="AN73" s="11">
        <v>0</v>
      </c>
      <c r="AO73" s="11">
        <v>0</v>
      </c>
      <c r="AP73" s="11">
        <v>0</v>
      </c>
      <c r="AQ73" s="11">
        <v>0</v>
      </c>
      <c r="AR73" s="11">
        <v>0</v>
      </c>
    </row>
    <row r="74" spans="1:46" x14ac:dyDescent="0.25">
      <c r="E74" t="s">
        <v>19</v>
      </c>
      <c r="F74" s="16">
        <v>0</v>
      </c>
      <c r="G74" s="11">
        <v>0</v>
      </c>
      <c r="H74" s="11">
        <v>0</v>
      </c>
      <c r="I74" s="61">
        <v>1</v>
      </c>
      <c r="J74" s="11">
        <v>0</v>
      </c>
      <c r="K74" s="11">
        <v>0</v>
      </c>
      <c r="L74" s="100">
        <v>0</v>
      </c>
      <c r="M74" s="11">
        <v>0</v>
      </c>
      <c r="N74" s="11">
        <v>0</v>
      </c>
      <c r="AI74" t="s">
        <v>19</v>
      </c>
      <c r="AJ74" s="16">
        <v>0</v>
      </c>
      <c r="AK74" s="11">
        <v>0</v>
      </c>
      <c r="AL74" s="11">
        <v>0</v>
      </c>
      <c r="AM74" s="61">
        <v>1</v>
      </c>
      <c r="AN74" s="11">
        <v>0</v>
      </c>
      <c r="AO74" s="11">
        <v>0</v>
      </c>
      <c r="AP74" s="11">
        <v>0</v>
      </c>
      <c r="AQ74" s="11">
        <v>0</v>
      </c>
      <c r="AR74" s="11">
        <v>0</v>
      </c>
    </row>
    <row r="75" spans="1:46" x14ac:dyDescent="0.25">
      <c r="E75" t="s">
        <v>25</v>
      </c>
      <c r="F75" s="16">
        <v>0</v>
      </c>
      <c r="G75" s="11">
        <v>0</v>
      </c>
      <c r="H75" s="11">
        <v>0</v>
      </c>
      <c r="I75" s="11">
        <v>0</v>
      </c>
      <c r="J75" s="61">
        <v>1</v>
      </c>
      <c r="K75" s="11">
        <v>0</v>
      </c>
      <c r="L75" s="100">
        <v>0</v>
      </c>
      <c r="M75" s="11">
        <v>0</v>
      </c>
      <c r="N75" s="11">
        <v>0</v>
      </c>
      <c r="AI75" t="s">
        <v>25</v>
      </c>
      <c r="AJ75" s="16">
        <v>0</v>
      </c>
      <c r="AK75" s="11">
        <v>0</v>
      </c>
      <c r="AL75" s="11">
        <v>0</v>
      </c>
      <c r="AM75" s="11">
        <v>0</v>
      </c>
      <c r="AN75" s="61">
        <v>1</v>
      </c>
      <c r="AO75" s="11">
        <v>0</v>
      </c>
      <c r="AP75" s="11">
        <v>0</v>
      </c>
      <c r="AQ75" s="11">
        <v>0</v>
      </c>
      <c r="AR75" s="11">
        <v>0</v>
      </c>
    </row>
    <row r="76" spans="1:46" x14ac:dyDescent="0.25">
      <c r="E76" t="s">
        <v>23</v>
      </c>
      <c r="F76" s="16">
        <v>0</v>
      </c>
      <c r="G76" s="11">
        <v>0</v>
      </c>
      <c r="H76" s="11">
        <v>0</v>
      </c>
      <c r="I76" s="11">
        <v>0</v>
      </c>
      <c r="J76" s="11">
        <v>0</v>
      </c>
      <c r="K76" s="61">
        <v>1</v>
      </c>
      <c r="L76" s="100">
        <v>0</v>
      </c>
      <c r="M76" s="11">
        <v>0</v>
      </c>
      <c r="N76" s="11">
        <v>0</v>
      </c>
      <c r="AI76" t="s">
        <v>23</v>
      </c>
      <c r="AJ76" s="16">
        <v>0</v>
      </c>
      <c r="AK76" s="11">
        <v>0</v>
      </c>
      <c r="AL76" s="11">
        <v>0</v>
      </c>
      <c r="AM76" s="11">
        <v>0</v>
      </c>
      <c r="AN76" s="11">
        <v>0</v>
      </c>
      <c r="AO76" s="61">
        <v>1</v>
      </c>
      <c r="AP76" s="11">
        <v>0</v>
      </c>
      <c r="AQ76" s="11">
        <v>0</v>
      </c>
      <c r="AR76" s="11">
        <v>0</v>
      </c>
    </row>
    <row r="77" spans="1:46" x14ac:dyDescent="0.25">
      <c r="E77" t="s">
        <v>101</v>
      </c>
      <c r="F77" s="16">
        <v>0</v>
      </c>
      <c r="G77" s="11">
        <v>0</v>
      </c>
      <c r="H77" s="11">
        <v>0</v>
      </c>
      <c r="I77" s="11">
        <v>0</v>
      </c>
      <c r="J77" s="11">
        <v>0</v>
      </c>
      <c r="K77" s="11">
        <v>0</v>
      </c>
      <c r="L77" s="100">
        <v>0</v>
      </c>
      <c r="M77" s="11">
        <v>0</v>
      </c>
      <c r="N77" s="11">
        <v>1</v>
      </c>
      <c r="AI77" t="s">
        <v>101</v>
      </c>
      <c r="AJ77" s="16">
        <v>0</v>
      </c>
      <c r="AK77" s="11">
        <v>0</v>
      </c>
      <c r="AL77" s="11">
        <v>0</v>
      </c>
      <c r="AM77" s="11">
        <v>0</v>
      </c>
      <c r="AN77" s="11">
        <v>0</v>
      </c>
      <c r="AO77" s="11">
        <v>0</v>
      </c>
      <c r="AP77" s="11">
        <v>0</v>
      </c>
      <c r="AQ77" s="11">
        <v>0</v>
      </c>
      <c r="AR77" s="11">
        <v>1</v>
      </c>
    </row>
    <row r="78" spans="1:46" x14ac:dyDescent="0.25">
      <c r="E78" t="s">
        <v>106</v>
      </c>
      <c r="F78" s="16">
        <v>0</v>
      </c>
      <c r="G78" s="11">
        <v>0</v>
      </c>
      <c r="H78" s="11">
        <v>0</v>
      </c>
      <c r="I78" s="11">
        <v>0</v>
      </c>
      <c r="J78" s="11">
        <v>0</v>
      </c>
      <c r="K78" s="11">
        <v>0</v>
      </c>
      <c r="L78" s="100">
        <v>0</v>
      </c>
      <c r="M78" s="45">
        <f>F66</f>
        <v>1.0311600000000001E-11</v>
      </c>
      <c r="N78" s="11">
        <f>F67</f>
        <v>100.23290441259699</v>
      </c>
      <c r="P78" s="57"/>
      <c r="AI78" t="s">
        <v>106</v>
      </c>
      <c r="AJ78" s="16">
        <v>0</v>
      </c>
      <c r="AK78" s="11">
        <v>0</v>
      </c>
      <c r="AL78" s="11">
        <v>0</v>
      </c>
      <c r="AM78" s="11">
        <v>0</v>
      </c>
      <c r="AN78" s="11">
        <v>0</v>
      </c>
      <c r="AO78" s="11">
        <v>0</v>
      </c>
      <c r="AP78" s="11">
        <v>0</v>
      </c>
      <c r="AQ78" s="45">
        <f>AJ66</f>
        <v>1.0311600000000001E-11</v>
      </c>
      <c r="AR78" s="11">
        <f>AJ67</f>
        <v>100.23290441259699</v>
      </c>
      <c r="AT78" s="57" t="s">
        <v>108</v>
      </c>
    </row>
    <row r="79" spans="1:46" x14ac:dyDescent="0.25">
      <c r="F79" s="11"/>
      <c r="G79" s="11"/>
      <c r="H79" s="11"/>
      <c r="I79" s="11"/>
      <c r="J79" s="11"/>
      <c r="K79" s="11"/>
      <c r="L79" s="100"/>
      <c r="M79" s="45"/>
      <c r="N79" s="11"/>
      <c r="P79" s="57"/>
      <c r="AJ79" s="11"/>
      <c r="AK79" s="11"/>
      <c r="AL79" s="11"/>
      <c r="AM79" s="11"/>
      <c r="AN79" s="11"/>
      <c r="AO79" s="11"/>
      <c r="AP79" s="11"/>
      <c r="AQ79" s="45"/>
      <c r="AR79" s="11"/>
      <c r="AT79" s="57"/>
    </row>
    <row r="80" spans="1:46" x14ac:dyDescent="0.25">
      <c r="F80" s="11"/>
      <c r="G80" s="11"/>
      <c r="H80" s="11"/>
      <c r="I80" s="11"/>
      <c r="J80" s="11"/>
      <c r="K80" s="11"/>
      <c r="L80" s="100"/>
      <c r="M80" s="45"/>
      <c r="N80" s="11"/>
      <c r="P80" s="57"/>
      <c r="AJ80" s="11"/>
      <c r="AK80" s="11"/>
      <c r="AL80" s="11"/>
      <c r="AM80" s="11"/>
      <c r="AN80" s="11"/>
      <c r="AO80" s="11"/>
      <c r="AP80" s="11"/>
      <c r="AQ80" s="45"/>
      <c r="AR80" s="11"/>
      <c r="AT80" s="57"/>
    </row>
    <row r="81" spans="1:55" x14ac:dyDescent="0.25">
      <c r="A81" s="109" t="s">
        <v>116</v>
      </c>
      <c r="B81" s="109"/>
      <c r="C81" s="109"/>
      <c r="E81" t="s">
        <v>112</v>
      </c>
      <c r="P81" t="s">
        <v>114</v>
      </c>
      <c r="AE81" s="109" t="s">
        <v>117</v>
      </c>
      <c r="AF81" s="109"/>
      <c r="AG81" s="109"/>
      <c r="AI81" t="s">
        <v>112</v>
      </c>
      <c r="AT81" t="s">
        <v>114</v>
      </c>
    </row>
    <row r="82" spans="1:55" x14ac:dyDescent="0.25">
      <c r="B82" s="43" t="s">
        <v>102</v>
      </c>
      <c r="C82" s="43" t="s">
        <v>103</v>
      </c>
      <c r="E82" s="58" t="s">
        <v>20</v>
      </c>
      <c r="F82" s="43" t="s">
        <v>36</v>
      </c>
      <c r="G82" s="43" t="s">
        <v>16</v>
      </c>
      <c r="H82" s="43" t="s">
        <v>17</v>
      </c>
      <c r="I82" s="43" t="s">
        <v>18</v>
      </c>
      <c r="J82" s="43" t="s">
        <v>19</v>
      </c>
      <c r="K82" s="43" t="s">
        <v>25</v>
      </c>
      <c r="L82" s="43" t="s">
        <v>23</v>
      </c>
      <c r="M82" s="43" t="s">
        <v>101</v>
      </c>
      <c r="N82" s="43" t="s">
        <v>106</v>
      </c>
      <c r="P82" s="58" t="s">
        <v>20</v>
      </c>
      <c r="Q82" s="43" t="s">
        <v>36</v>
      </c>
      <c r="R82" s="43" t="s">
        <v>16</v>
      </c>
      <c r="S82" s="43" t="s">
        <v>17</v>
      </c>
      <c r="T82" s="43" t="s">
        <v>18</v>
      </c>
      <c r="U82" s="43" t="s">
        <v>19</v>
      </c>
      <c r="V82" s="43" t="s">
        <v>25</v>
      </c>
      <c r="W82" s="43" t="s">
        <v>23</v>
      </c>
      <c r="X82" s="43" t="s">
        <v>101</v>
      </c>
      <c r="Y82" s="43" t="s">
        <v>106</v>
      </c>
      <c r="AF82" s="43" t="s">
        <v>102</v>
      </c>
      <c r="AG82" s="43" t="s">
        <v>103</v>
      </c>
      <c r="AI82" s="58" t="s">
        <v>21</v>
      </c>
      <c r="AJ82" s="43" t="s">
        <v>36</v>
      </c>
      <c r="AK82" s="43" t="s">
        <v>16</v>
      </c>
      <c r="AL82" s="43" t="s">
        <v>17</v>
      </c>
      <c r="AM82" s="43" t="s">
        <v>18</v>
      </c>
      <c r="AN82" s="43" t="s">
        <v>19</v>
      </c>
      <c r="AO82" s="43" t="s">
        <v>25</v>
      </c>
      <c r="AP82" s="43" t="s">
        <v>23</v>
      </c>
      <c r="AQ82" s="43" t="s">
        <v>101</v>
      </c>
      <c r="AR82" s="43" t="s">
        <v>106</v>
      </c>
      <c r="AT82" s="58" t="s">
        <v>21</v>
      </c>
      <c r="AU82" s="43" t="s">
        <v>36</v>
      </c>
      <c r="AV82" s="43" t="s">
        <v>16</v>
      </c>
      <c r="AW82" s="43" t="s">
        <v>17</v>
      </c>
      <c r="AX82" s="43" t="s">
        <v>18</v>
      </c>
      <c r="AY82" s="43" t="s">
        <v>19</v>
      </c>
      <c r="AZ82" s="43" t="s">
        <v>25</v>
      </c>
      <c r="BA82" s="43" t="s">
        <v>23</v>
      </c>
      <c r="BB82" s="43" t="s">
        <v>101</v>
      </c>
      <c r="BC82" s="43" t="s">
        <v>106</v>
      </c>
    </row>
    <row r="83" spans="1:55" x14ac:dyDescent="0.25">
      <c r="A83" t="s">
        <v>36</v>
      </c>
      <c r="B83" s="15"/>
      <c r="C83" s="14"/>
      <c r="E83" t="s">
        <v>36</v>
      </c>
      <c r="F83" s="92">
        <f t="array" ref="F83:N91">MMULT(MMULT(F70:N78,F54:N62),TRANSPOSE(F70:N78))</f>
        <v>0</v>
      </c>
      <c r="G83" s="85">
        <v>0</v>
      </c>
      <c r="H83" s="85">
        <v>0</v>
      </c>
      <c r="I83" s="85">
        <v>0</v>
      </c>
      <c r="J83" s="85">
        <v>0</v>
      </c>
      <c r="K83" s="85">
        <v>0</v>
      </c>
      <c r="L83" s="85">
        <v>0</v>
      </c>
      <c r="M83" s="85">
        <v>0</v>
      </c>
      <c r="N83" s="85">
        <v>0</v>
      </c>
      <c r="P83" t="s">
        <v>36</v>
      </c>
      <c r="Q83" s="96">
        <v>0</v>
      </c>
      <c r="R83" s="98">
        <v>0</v>
      </c>
      <c r="S83" s="98">
        <v>0</v>
      </c>
      <c r="T83" s="98">
        <v>0</v>
      </c>
      <c r="U83" s="98">
        <v>0</v>
      </c>
      <c r="V83" s="98">
        <v>0</v>
      </c>
      <c r="W83" s="98">
        <v>0</v>
      </c>
      <c r="X83" s="85">
        <v>0</v>
      </c>
      <c r="Y83" s="98">
        <v>0</v>
      </c>
      <c r="AE83" t="s">
        <v>36</v>
      </c>
      <c r="AF83" s="103">
        <f>'LS results'!D2</f>
        <v>0.99923912805608495</v>
      </c>
      <c r="AG83" s="102">
        <f>SQRT(AJ83)</f>
        <v>2.6555471772402549E-4</v>
      </c>
      <c r="AI83" t="s">
        <v>36</v>
      </c>
      <c r="AJ83" s="15">
        <f t="array" ref="AJ83:AR91">MMULT(MMULT(AJ70:AR78,AJ54:AR62),TRANSPOSE(AJ70:AR78))</f>
        <v>7.0519308105486853E-8</v>
      </c>
      <c r="AK83" s="14">
        <v>1.7989513735451599E-11</v>
      </c>
      <c r="AL83" s="14">
        <v>3.5607402058311199E-10</v>
      </c>
      <c r="AM83" s="14">
        <v>2.90303104950524E-10</v>
      </c>
      <c r="AN83" s="14">
        <v>6.8800921461308596E-10</v>
      </c>
      <c r="AO83" s="14">
        <v>-2.0146103943362499E-10</v>
      </c>
      <c r="AP83" s="14">
        <v>2.7927009939801602E-12</v>
      </c>
      <c r="AQ83" s="14">
        <v>0</v>
      </c>
      <c r="AR83" s="14">
        <v>-5.8391724484814512E-17</v>
      </c>
      <c r="AT83" t="s">
        <v>36</v>
      </c>
      <c r="AU83" s="74">
        <v>7.0519308105486853E-8</v>
      </c>
      <c r="AV83" s="75">
        <v>1.7989513735451599E-11</v>
      </c>
      <c r="AW83" s="75">
        <v>3.5607402058311199E-10</v>
      </c>
      <c r="AX83" s="75">
        <v>2.90303104950524E-10</v>
      </c>
      <c r="AY83" s="75">
        <v>6.8800921461308596E-10</v>
      </c>
      <c r="AZ83" s="75">
        <v>-2.0146103943362499E-10</v>
      </c>
      <c r="BA83" s="75">
        <v>2.7927009939801602E-12</v>
      </c>
      <c r="BB83" s="14">
        <v>0</v>
      </c>
      <c r="BC83" s="75">
        <v>-5.8391724484814512E-17</v>
      </c>
    </row>
    <row r="84" spans="1:55" x14ac:dyDescent="0.25">
      <c r="A84" t="s">
        <v>16</v>
      </c>
      <c r="B84" s="65">
        <v>9.0000000000000006E-5</v>
      </c>
      <c r="C84" s="80">
        <f>SQRT(G84)</f>
        <v>9.0000000000000002E-6</v>
      </c>
      <c r="E84" t="s">
        <v>16</v>
      </c>
      <c r="F84" s="87">
        <v>0</v>
      </c>
      <c r="G84" s="11">
        <v>8.1000000000000005E-11</v>
      </c>
      <c r="H84" s="11">
        <v>1.4914235277574E-9</v>
      </c>
      <c r="I84" s="11">
        <v>1.2486018167264499E-9</v>
      </c>
      <c r="J84" s="11">
        <v>3.0467457354928298E-9</v>
      </c>
      <c r="K84" s="11">
        <v>0</v>
      </c>
      <c r="L84" s="11">
        <v>0</v>
      </c>
      <c r="M84" s="11">
        <v>0</v>
      </c>
      <c r="N84" s="11">
        <v>-1.4048562125045831E-20</v>
      </c>
      <c r="P84" t="s">
        <v>16</v>
      </c>
      <c r="Q84" s="97">
        <v>0</v>
      </c>
      <c r="R84" s="77">
        <v>8.1000000000000005E-11</v>
      </c>
      <c r="S84" s="77">
        <v>1.4914235277574E-9</v>
      </c>
      <c r="T84" s="77">
        <v>1.2486018167264499E-9</v>
      </c>
      <c r="U84" s="77">
        <v>3.0467457354928298E-9</v>
      </c>
      <c r="V84" s="11">
        <v>0</v>
      </c>
      <c r="W84" s="11">
        <v>0</v>
      </c>
      <c r="X84" s="11">
        <v>0</v>
      </c>
      <c r="Y84" s="77">
        <v>-1.4048562125045831E-20</v>
      </c>
      <c r="AE84" t="s">
        <v>16</v>
      </c>
      <c r="AF84" s="65">
        <v>1.05E-4</v>
      </c>
      <c r="AG84" s="80">
        <f>SQRT(AK84)</f>
        <v>9.1584314192964556E-6</v>
      </c>
      <c r="AI84" t="s">
        <v>16</v>
      </c>
      <c r="AJ84" s="16">
        <v>1.7989513735451599E-11</v>
      </c>
      <c r="AK84" s="11">
        <v>8.3876866061956499E-11</v>
      </c>
      <c r="AL84" s="11">
        <v>1.51796787106751E-9</v>
      </c>
      <c r="AM84" s="11">
        <v>1.25950212394299E-9</v>
      </c>
      <c r="AN84" s="11">
        <v>3.06017691531573E-9</v>
      </c>
      <c r="AO84" s="11">
        <v>0</v>
      </c>
      <c r="AP84" s="11">
        <v>0</v>
      </c>
      <c r="AQ84" s="11">
        <v>0</v>
      </c>
      <c r="AR84" s="11">
        <v>-1.4048562125045831E-20</v>
      </c>
      <c r="AT84" t="s">
        <v>16</v>
      </c>
      <c r="AU84" s="76">
        <v>1.7989513735451599E-11</v>
      </c>
      <c r="AV84" s="77">
        <v>8.3876866061956499E-11</v>
      </c>
      <c r="AW84" s="77">
        <v>1.51796787106751E-9</v>
      </c>
      <c r="AX84" s="77">
        <v>1.25950212394299E-9</v>
      </c>
      <c r="AY84" s="77">
        <v>3.06017691531573E-9</v>
      </c>
      <c r="AZ84" s="11">
        <v>0</v>
      </c>
      <c r="BA84" s="11">
        <v>0</v>
      </c>
      <c r="BB84" s="11">
        <v>0</v>
      </c>
      <c r="BC84" s="77">
        <v>-1.4048562125045831E-20</v>
      </c>
    </row>
    <row r="85" spans="1:55" x14ac:dyDescent="0.25">
      <c r="A85" t="s">
        <v>17</v>
      </c>
      <c r="B85" s="67">
        <v>3.8873987227829498E-4</v>
      </c>
      <c r="C85" s="78">
        <f>SQRT(H85)</f>
        <v>1.6886001521520985E-4</v>
      </c>
      <c r="E85" t="s">
        <v>17</v>
      </c>
      <c r="F85" s="87">
        <v>0</v>
      </c>
      <c r="G85" s="11">
        <v>1.4914235277574E-9</v>
      </c>
      <c r="H85" s="11">
        <v>2.8513704738480899E-8</v>
      </c>
      <c r="I85" s="11">
        <v>2.3477969445723299E-8</v>
      </c>
      <c r="J85" s="11">
        <v>5.7910882711571498E-8</v>
      </c>
      <c r="K85" s="11">
        <v>0</v>
      </c>
      <c r="L85" s="11">
        <v>0</v>
      </c>
      <c r="M85" s="11">
        <v>0</v>
      </c>
      <c r="N85" s="11">
        <v>-2.7410659984725944E-19</v>
      </c>
      <c r="P85" t="s">
        <v>17</v>
      </c>
      <c r="Q85" s="97">
        <v>0</v>
      </c>
      <c r="R85" s="77">
        <v>1.4914235277574E-9</v>
      </c>
      <c r="S85" s="77">
        <v>2.8513704738480899E-8</v>
      </c>
      <c r="T85" s="77">
        <v>2.3477969445723299E-8</v>
      </c>
      <c r="U85" s="77">
        <v>5.7910882711571498E-8</v>
      </c>
      <c r="V85" s="11">
        <v>0</v>
      </c>
      <c r="W85" s="11">
        <v>0</v>
      </c>
      <c r="X85" s="11">
        <v>0</v>
      </c>
      <c r="Y85" s="77">
        <v>-2.7410659984725944E-19</v>
      </c>
      <c r="AE85" t="s">
        <v>17</v>
      </c>
      <c r="AF85" s="67">
        <v>4.8250944969835901E-4</v>
      </c>
      <c r="AG85" s="78">
        <f>SQRT(AL85)</f>
        <v>1.6604223648444241E-4</v>
      </c>
      <c r="AI85" t="s">
        <v>17</v>
      </c>
      <c r="AJ85" s="16">
        <v>3.5607402058311199E-10</v>
      </c>
      <c r="AK85" s="11">
        <v>1.51796787106751E-9</v>
      </c>
      <c r="AL85" s="11">
        <v>2.7570024296755501E-8</v>
      </c>
      <c r="AM85" s="11">
        <v>2.2839787747929702E-8</v>
      </c>
      <c r="AN85" s="11">
        <v>5.5551118531365E-8</v>
      </c>
      <c r="AO85" s="11">
        <v>0</v>
      </c>
      <c r="AP85" s="11">
        <v>0</v>
      </c>
      <c r="AQ85" s="11">
        <v>0</v>
      </c>
      <c r="AR85" s="11">
        <v>-2.7410659984725944E-19</v>
      </c>
      <c r="AT85" t="s">
        <v>17</v>
      </c>
      <c r="AU85" s="76">
        <v>3.5607402058311199E-10</v>
      </c>
      <c r="AV85" s="77">
        <v>1.51796787106751E-9</v>
      </c>
      <c r="AW85" s="77">
        <v>2.7570024296755501E-8</v>
      </c>
      <c r="AX85" s="77">
        <v>2.2839787747929702E-8</v>
      </c>
      <c r="AY85" s="77">
        <v>5.5551118531365E-8</v>
      </c>
      <c r="AZ85" s="11">
        <v>0</v>
      </c>
      <c r="BA85" s="11">
        <v>0</v>
      </c>
      <c r="BB85" s="11">
        <v>0</v>
      </c>
      <c r="BC85" s="77">
        <v>-2.7410659984725944E-19</v>
      </c>
    </row>
    <row r="86" spans="1:55" x14ac:dyDescent="0.25">
      <c r="A86" t="s">
        <v>18</v>
      </c>
      <c r="B86" s="67">
        <v>2.9606858759484401E-4</v>
      </c>
      <c r="C86" s="78">
        <f>SQRT(I86)</f>
        <v>1.4014389467095488E-4</v>
      </c>
      <c r="E86" t="s">
        <v>18</v>
      </c>
      <c r="F86" s="87">
        <v>0</v>
      </c>
      <c r="G86" s="11">
        <v>1.2486018167264499E-9</v>
      </c>
      <c r="H86" s="11">
        <v>2.3477969445723299E-8</v>
      </c>
      <c r="I86" s="11">
        <v>1.9640311213543699E-8</v>
      </c>
      <c r="J86" s="11">
        <v>4.82761791708861E-8</v>
      </c>
      <c r="K86" s="11">
        <v>0</v>
      </c>
      <c r="L86" s="11">
        <v>0</v>
      </c>
      <c r="M86" s="11">
        <v>0</v>
      </c>
      <c r="N86" s="11">
        <v>-2.31692043723162E-19</v>
      </c>
      <c r="P86" t="s">
        <v>18</v>
      </c>
      <c r="Q86" s="97">
        <v>0</v>
      </c>
      <c r="R86" s="77">
        <v>1.2486018167264499E-9</v>
      </c>
      <c r="S86" s="77">
        <v>2.3477969445723299E-8</v>
      </c>
      <c r="T86" s="77">
        <v>1.9640311213543699E-8</v>
      </c>
      <c r="U86" s="77">
        <v>4.82761791708861E-8</v>
      </c>
      <c r="V86" s="11">
        <v>0</v>
      </c>
      <c r="W86" s="11">
        <v>0</v>
      </c>
      <c r="X86" s="11">
        <v>0</v>
      </c>
      <c r="Y86" s="77">
        <v>-2.31692043723162E-19</v>
      </c>
      <c r="AE86" t="s">
        <v>18</v>
      </c>
      <c r="AF86" s="67">
        <v>4.32369168809505E-4</v>
      </c>
      <c r="AG86" s="78">
        <f>SQRT(AM86)</f>
        <v>1.3765837602693816E-4</v>
      </c>
      <c r="AI86" t="s">
        <v>18</v>
      </c>
      <c r="AJ86" s="16">
        <v>2.90303104950524E-10</v>
      </c>
      <c r="AK86" s="11">
        <v>1.25950212394299E-9</v>
      </c>
      <c r="AL86" s="11">
        <v>2.2839787747929702E-8</v>
      </c>
      <c r="AM86" s="11">
        <v>1.8949828490373902E-8</v>
      </c>
      <c r="AN86" s="11">
        <v>4.6074373352583899E-8</v>
      </c>
      <c r="AO86" s="11">
        <v>0</v>
      </c>
      <c r="AP86" s="11">
        <v>0</v>
      </c>
      <c r="AQ86" s="11">
        <v>0</v>
      </c>
      <c r="AR86" s="11">
        <v>-2.31692043723162E-19</v>
      </c>
      <c r="AT86" t="s">
        <v>18</v>
      </c>
      <c r="AU86" s="76">
        <v>2.90303104950524E-10</v>
      </c>
      <c r="AV86" s="77">
        <v>1.25950212394299E-9</v>
      </c>
      <c r="AW86" s="77">
        <v>2.2839787747929702E-8</v>
      </c>
      <c r="AX86" s="77">
        <v>1.8949828490373902E-8</v>
      </c>
      <c r="AY86" s="77">
        <v>4.6074373352583899E-8</v>
      </c>
      <c r="AZ86" s="11">
        <v>0</v>
      </c>
      <c r="BA86" s="11">
        <v>0</v>
      </c>
      <c r="BB86" s="11">
        <v>0</v>
      </c>
      <c r="BC86" s="77">
        <v>-2.31692043723162E-19</v>
      </c>
    </row>
    <row r="87" spans="1:55" x14ac:dyDescent="0.25">
      <c r="A87" t="s">
        <v>19</v>
      </c>
      <c r="B87" s="67">
        <v>7.4437616225546497E-4</v>
      </c>
      <c r="C87" s="78">
        <f>SQRT(J87)</f>
        <v>3.4703782918895455E-4</v>
      </c>
      <c r="E87" t="s">
        <v>19</v>
      </c>
      <c r="F87" s="87">
        <v>0</v>
      </c>
      <c r="G87" s="11">
        <v>3.0467457354928298E-9</v>
      </c>
      <c r="H87" s="11">
        <v>5.7910882711571498E-8</v>
      </c>
      <c r="I87" s="11">
        <v>4.82761791708861E-8</v>
      </c>
      <c r="J87" s="11">
        <v>1.2043525488818199E-7</v>
      </c>
      <c r="K87" s="11">
        <v>0</v>
      </c>
      <c r="L87" s="11">
        <v>0</v>
      </c>
      <c r="M87" s="11">
        <v>0</v>
      </c>
      <c r="N87" s="11">
        <v>-5.0877515497821388E-19</v>
      </c>
      <c r="P87" t="s">
        <v>19</v>
      </c>
      <c r="Q87" s="97">
        <v>0</v>
      </c>
      <c r="R87" s="77">
        <v>3.0467457354928298E-9</v>
      </c>
      <c r="S87" s="77">
        <v>5.7910882711571498E-8</v>
      </c>
      <c r="T87" s="77">
        <v>4.82761791708861E-8</v>
      </c>
      <c r="U87" s="77">
        <v>1.2043525488818199E-7</v>
      </c>
      <c r="V87" s="11">
        <v>0</v>
      </c>
      <c r="W87" s="11">
        <v>0</v>
      </c>
      <c r="X87" s="11">
        <v>0</v>
      </c>
      <c r="Y87" s="77">
        <v>-5.0877515497821388E-19</v>
      </c>
      <c r="AE87" t="s">
        <v>19</v>
      </c>
      <c r="AF87" s="67">
        <v>1.0422271828099999E-3</v>
      </c>
      <c r="AG87" s="78">
        <f>SQRT(AN87)</f>
        <v>3.349487930142278E-4</v>
      </c>
      <c r="AI87" t="s">
        <v>19</v>
      </c>
      <c r="AJ87" s="16">
        <v>6.8800921461308596E-10</v>
      </c>
      <c r="AK87" s="11">
        <v>3.06017691531573E-9</v>
      </c>
      <c r="AL87" s="11">
        <v>5.5551118531365E-8</v>
      </c>
      <c r="AM87" s="11">
        <v>4.6074373352583899E-8</v>
      </c>
      <c r="AN87" s="11">
        <v>1.1219069394168801E-7</v>
      </c>
      <c r="AO87" s="11">
        <v>0</v>
      </c>
      <c r="AP87" s="11">
        <v>0</v>
      </c>
      <c r="AQ87" s="11">
        <v>0</v>
      </c>
      <c r="AR87" s="11">
        <v>-5.0877515497821388E-19</v>
      </c>
      <c r="AT87" t="s">
        <v>19</v>
      </c>
      <c r="AU87" s="76">
        <v>6.8800921461308596E-10</v>
      </c>
      <c r="AV87" s="77">
        <v>3.06017691531573E-9</v>
      </c>
      <c r="AW87" s="77">
        <v>5.5551118531365E-8</v>
      </c>
      <c r="AX87" s="77">
        <v>4.6074373352583899E-8</v>
      </c>
      <c r="AY87" s="77">
        <v>1.1219069394168801E-7</v>
      </c>
      <c r="AZ87" s="11">
        <v>0</v>
      </c>
      <c r="BA87" s="11">
        <v>0</v>
      </c>
      <c r="BB87" s="11">
        <v>0</v>
      </c>
      <c r="BC87" s="77">
        <v>-5.0877515497821388E-19</v>
      </c>
    </row>
    <row r="88" spans="1:55" x14ac:dyDescent="0.25">
      <c r="A88" t="s">
        <v>25</v>
      </c>
      <c r="B88" s="66">
        <v>0.9950621757</v>
      </c>
      <c r="C88" s="79">
        <f>SQRT(K88)</f>
        <v>5.3836481072410373E-5</v>
      </c>
      <c r="E88" t="s">
        <v>25</v>
      </c>
      <c r="F88" s="87">
        <v>0</v>
      </c>
      <c r="G88" s="11">
        <v>0</v>
      </c>
      <c r="H88" s="11">
        <v>0</v>
      </c>
      <c r="I88" s="11">
        <v>0</v>
      </c>
      <c r="J88" s="11">
        <v>0</v>
      </c>
      <c r="K88" s="11">
        <v>2.8983666942600001E-9</v>
      </c>
      <c r="L88" s="11">
        <v>-1.2646094948130001E-11</v>
      </c>
      <c r="M88" s="11">
        <v>0</v>
      </c>
      <c r="N88" s="11">
        <v>4.6008629380825836E-18</v>
      </c>
      <c r="P88" t="s">
        <v>25</v>
      </c>
      <c r="Q88" s="97">
        <v>0</v>
      </c>
      <c r="R88" s="11">
        <v>0</v>
      </c>
      <c r="S88" s="11">
        <v>0</v>
      </c>
      <c r="T88" s="11">
        <v>0</v>
      </c>
      <c r="U88" s="11">
        <v>0</v>
      </c>
      <c r="V88" s="77">
        <v>2.8983666942600001E-9</v>
      </c>
      <c r="W88" s="77">
        <v>-1.2646094948130001E-11</v>
      </c>
      <c r="X88" s="11">
        <v>0</v>
      </c>
      <c r="Y88" s="77">
        <v>4.6008629380825836E-18</v>
      </c>
      <c r="AE88" t="s">
        <v>25</v>
      </c>
      <c r="AF88" s="66">
        <v>0.9950621757</v>
      </c>
      <c r="AG88" s="79">
        <f>SQRT(AO88)</f>
        <v>5.3836481072410373E-5</v>
      </c>
      <c r="AI88" t="s">
        <v>25</v>
      </c>
      <c r="AJ88" s="16">
        <v>-2.0146103943362499E-10</v>
      </c>
      <c r="AK88" s="11">
        <v>0</v>
      </c>
      <c r="AL88" s="11">
        <v>0</v>
      </c>
      <c r="AM88" s="11">
        <v>0</v>
      </c>
      <c r="AN88" s="11">
        <v>0</v>
      </c>
      <c r="AO88" s="11">
        <v>2.8983666942600001E-9</v>
      </c>
      <c r="AP88" s="11">
        <v>-1.2646094948130001E-11</v>
      </c>
      <c r="AQ88" s="11">
        <v>0</v>
      </c>
      <c r="AR88" s="11">
        <v>4.6008629380825836E-18</v>
      </c>
      <c r="AT88" t="s">
        <v>25</v>
      </c>
      <c r="AU88" s="76">
        <v>-2.0146103943362499E-10</v>
      </c>
      <c r="AV88" s="11">
        <v>0</v>
      </c>
      <c r="AW88" s="11">
        <v>0</v>
      </c>
      <c r="AX88" s="11">
        <v>0</v>
      </c>
      <c r="AY88" s="11">
        <v>0</v>
      </c>
      <c r="AZ88" s="77">
        <v>2.8983666942600001E-9</v>
      </c>
      <c r="BA88" s="77">
        <v>-1.2646094948130001E-11</v>
      </c>
      <c r="BB88" s="11">
        <v>0</v>
      </c>
      <c r="BC88" s="77">
        <v>4.6008629380825836E-18</v>
      </c>
    </row>
    <row r="89" spans="1:55" x14ac:dyDescent="0.25">
      <c r="A89" t="s">
        <v>23</v>
      </c>
      <c r="B89" s="64">
        <v>3.0799297000000002E-3</v>
      </c>
      <c r="C89" s="81">
        <f>SQRT(L89)</f>
        <v>3.9554813225017258E-7</v>
      </c>
      <c r="E89" t="s">
        <v>23</v>
      </c>
      <c r="F89" s="87">
        <v>0</v>
      </c>
      <c r="G89" s="11">
        <v>0</v>
      </c>
      <c r="H89" s="11">
        <v>0</v>
      </c>
      <c r="I89" s="11">
        <v>0</v>
      </c>
      <c r="J89" s="11">
        <v>0</v>
      </c>
      <c r="K89" s="11">
        <v>-1.26460961552E-11</v>
      </c>
      <c r="L89" s="11">
        <v>1.564583249266E-13</v>
      </c>
      <c r="M89" s="11">
        <v>0</v>
      </c>
      <c r="N89" s="11">
        <v>-2.1937268270116202E-20</v>
      </c>
      <c r="P89" t="s">
        <v>23</v>
      </c>
      <c r="Q89" s="97">
        <v>0</v>
      </c>
      <c r="R89" s="11">
        <v>0</v>
      </c>
      <c r="S89" s="11">
        <v>0</v>
      </c>
      <c r="T89" s="11">
        <v>0</v>
      </c>
      <c r="U89" s="11">
        <v>0</v>
      </c>
      <c r="V89" s="77">
        <v>-1.26460961552E-11</v>
      </c>
      <c r="W89" s="77">
        <v>1.564583249266E-13</v>
      </c>
      <c r="X89" s="11">
        <v>0</v>
      </c>
      <c r="Y89" s="77">
        <v>-2.1937268270116202E-20</v>
      </c>
      <c r="AE89" t="s">
        <v>23</v>
      </c>
      <c r="AF89" s="64">
        <v>3.0799297000000002E-3</v>
      </c>
      <c r="AG89" s="81">
        <f>SQRT(AP89)</f>
        <v>3.9554813225017258E-7</v>
      </c>
      <c r="AI89" t="s">
        <v>23</v>
      </c>
      <c r="AJ89" s="16">
        <v>2.7927009939801602E-12</v>
      </c>
      <c r="AK89" s="11">
        <v>0</v>
      </c>
      <c r="AL89" s="11">
        <v>0</v>
      </c>
      <c r="AM89" s="11">
        <v>0</v>
      </c>
      <c r="AN89" s="11">
        <v>0</v>
      </c>
      <c r="AO89" s="11">
        <v>-1.26460961552E-11</v>
      </c>
      <c r="AP89" s="11">
        <v>1.564583249266E-13</v>
      </c>
      <c r="AQ89" s="11">
        <v>0</v>
      </c>
      <c r="AR89" s="11">
        <v>-2.1937268270116202E-20</v>
      </c>
      <c r="AT89" t="s">
        <v>23</v>
      </c>
      <c r="AU89" s="76">
        <v>2.7927009939801602E-12</v>
      </c>
      <c r="AV89" s="11">
        <v>0</v>
      </c>
      <c r="AW89" s="11">
        <v>0</v>
      </c>
      <c r="AX89" s="11">
        <v>0</v>
      </c>
      <c r="AY89" s="11">
        <v>0</v>
      </c>
      <c r="AZ89" s="77">
        <v>-1.26460961552E-11</v>
      </c>
      <c r="BA89" s="77">
        <v>1.564583249266E-13</v>
      </c>
      <c r="BB89" s="11">
        <v>0</v>
      </c>
      <c r="BC89" s="77">
        <v>-2.1937268270116202E-20</v>
      </c>
    </row>
    <row r="90" spans="1:55" x14ac:dyDescent="0.25">
      <c r="A90" t="s">
        <v>101</v>
      </c>
      <c r="B90" s="47">
        <f>F66</f>
        <v>1.0311600000000001E-11</v>
      </c>
      <c r="C90" s="45">
        <f>SQRT(M90)</f>
        <v>2.5778999999999999E-14</v>
      </c>
      <c r="E90" t="s">
        <v>101</v>
      </c>
      <c r="F90" s="87">
        <v>0</v>
      </c>
      <c r="G90" s="11">
        <v>0</v>
      </c>
      <c r="H90" s="11">
        <v>0</v>
      </c>
      <c r="I90" s="11">
        <v>0</v>
      </c>
      <c r="J90" s="11">
        <v>0</v>
      </c>
      <c r="K90" s="11">
        <v>0</v>
      </c>
      <c r="L90" s="11">
        <v>0</v>
      </c>
      <c r="M90" s="11">
        <v>6.6455684099999997E-28</v>
      </c>
      <c r="N90" s="11">
        <v>6.6610462320690419E-26</v>
      </c>
      <c r="P90" t="s">
        <v>101</v>
      </c>
      <c r="Q90" s="87">
        <v>0</v>
      </c>
      <c r="R90" s="11">
        <v>0</v>
      </c>
      <c r="S90" s="11">
        <v>0</v>
      </c>
      <c r="T90" s="11">
        <v>0</v>
      </c>
      <c r="U90" s="11">
        <v>0</v>
      </c>
      <c r="V90" s="11">
        <v>0</v>
      </c>
      <c r="W90" s="11">
        <v>0</v>
      </c>
      <c r="X90" s="77">
        <v>6.6455684099999997E-28</v>
      </c>
      <c r="Y90" s="77">
        <v>6.6610462320690419E-26</v>
      </c>
      <c r="AE90" t="s">
        <v>101</v>
      </c>
      <c r="AF90" s="47">
        <f>AJ66</f>
        <v>1.0311600000000001E-11</v>
      </c>
      <c r="AG90" s="78">
        <f>SQRT(AQ90)</f>
        <v>2.5778999999999999E-14</v>
      </c>
      <c r="AI90" t="s">
        <v>101</v>
      </c>
      <c r="AJ90" s="16">
        <v>0</v>
      </c>
      <c r="AK90" s="11">
        <v>0</v>
      </c>
      <c r="AL90" s="11">
        <v>0</v>
      </c>
      <c r="AM90" s="11">
        <v>0</v>
      </c>
      <c r="AN90" s="11">
        <v>0</v>
      </c>
      <c r="AO90" s="11">
        <v>0</v>
      </c>
      <c r="AP90" s="11">
        <v>0</v>
      </c>
      <c r="AQ90" s="11">
        <v>6.6455684099999997E-28</v>
      </c>
      <c r="AR90" s="11">
        <v>6.6610462320690419E-26</v>
      </c>
      <c r="AT90" t="s">
        <v>101</v>
      </c>
      <c r="AU90" s="16">
        <v>0</v>
      </c>
      <c r="AV90" s="11">
        <v>0</v>
      </c>
      <c r="AW90" s="11">
        <v>0</v>
      </c>
      <c r="AX90" s="11">
        <v>0</v>
      </c>
      <c r="AY90" s="11">
        <v>0</v>
      </c>
      <c r="AZ90" s="11">
        <v>0</v>
      </c>
      <c r="BA90" s="11">
        <v>0</v>
      </c>
      <c r="BB90" s="77">
        <v>6.6455684099999997E-28</v>
      </c>
      <c r="BC90" s="77">
        <v>6.6610462320690419E-26</v>
      </c>
    </row>
    <row r="91" spans="1:55" x14ac:dyDescent="0.25">
      <c r="A91" t="s">
        <v>106</v>
      </c>
      <c r="B91" s="47">
        <f>B90*F67</f>
        <v>1.0335616171409353E-9</v>
      </c>
      <c r="C91" s="45">
        <f>SQRT(N91)</f>
        <v>2.5950652709564405E-12</v>
      </c>
      <c r="E91" t="s">
        <v>106</v>
      </c>
      <c r="F91" s="87">
        <v>0</v>
      </c>
      <c r="G91" s="11">
        <v>-1.4048562125045831E-20</v>
      </c>
      <c r="H91" s="11">
        <v>-2.7410659984725944E-19</v>
      </c>
      <c r="I91" s="11">
        <v>-2.31692043723162E-19</v>
      </c>
      <c r="J91" s="11">
        <v>-5.0877515497821388E-19</v>
      </c>
      <c r="K91" s="11">
        <v>4.6008629380825836E-18</v>
      </c>
      <c r="L91" s="11">
        <v>-2.1937268270116202E-20</v>
      </c>
      <c r="M91" s="11">
        <v>6.6610462320690419E-26</v>
      </c>
      <c r="N91" s="11">
        <v>6.7343637605242241E-24</v>
      </c>
      <c r="P91" t="s">
        <v>106</v>
      </c>
      <c r="Q91" s="97">
        <v>0</v>
      </c>
      <c r="R91" s="77">
        <v>-1.4048562125045831E-20</v>
      </c>
      <c r="S91" s="77">
        <v>-2.7410659984725944E-19</v>
      </c>
      <c r="T91" s="77">
        <v>-2.31692043723162E-19</v>
      </c>
      <c r="U91" s="77">
        <v>-5.0877515497821388E-19</v>
      </c>
      <c r="V91" s="77">
        <v>4.6008629380825836E-18</v>
      </c>
      <c r="W91" s="77">
        <v>-2.1937268270116202E-20</v>
      </c>
      <c r="X91" s="77">
        <v>6.6610462320690419E-26</v>
      </c>
      <c r="Y91" s="77">
        <v>6.7343637605242241E-24</v>
      </c>
      <c r="AE91" t="s">
        <v>106</v>
      </c>
      <c r="AF91" s="47">
        <f>AF90*AJ67</f>
        <v>1.0335616171409353E-9</v>
      </c>
      <c r="AG91" s="78">
        <f>SQRT(AR91)</f>
        <v>2.5950652709564405E-12</v>
      </c>
      <c r="AI91" t="s">
        <v>106</v>
      </c>
      <c r="AJ91" s="16">
        <v>-5.839172463747289E-17</v>
      </c>
      <c r="AK91" s="11">
        <v>-1.4048562125045831E-20</v>
      </c>
      <c r="AL91" s="11">
        <v>-2.7410659984725944E-19</v>
      </c>
      <c r="AM91" s="11">
        <v>-2.31692043723162E-19</v>
      </c>
      <c r="AN91" s="11">
        <v>-5.0877515497821388E-19</v>
      </c>
      <c r="AO91" s="11">
        <v>4.6008629380825836E-18</v>
      </c>
      <c r="AP91" s="11">
        <v>-2.1937268270116202E-20</v>
      </c>
      <c r="AQ91" s="11">
        <v>6.6610462320690419E-26</v>
      </c>
      <c r="AR91" s="11">
        <v>6.7343637605242241E-24</v>
      </c>
      <c r="AT91" t="s">
        <v>106</v>
      </c>
      <c r="AU91" s="76">
        <v>-5.839172463747289E-17</v>
      </c>
      <c r="AV91" s="77">
        <v>-1.4048562125045831E-20</v>
      </c>
      <c r="AW91" s="77">
        <v>-2.7410659984725944E-19</v>
      </c>
      <c r="AX91" s="77">
        <v>-2.31692043723162E-19</v>
      </c>
      <c r="AY91" s="77">
        <v>-5.0877515497821388E-19</v>
      </c>
      <c r="AZ91" s="77">
        <v>4.6008629380825836E-18</v>
      </c>
      <c r="BA91" s="77">
        <v>-2.1937268270116202E-20</v>
      </c>
      <c r="BB91" s="77">
        <v>6.6610462320690419E-26</v>
      </c>
      <c r="BC91" s="77">
        <v>6.7343637605242241E-24</v>
      </c>
    </row>
    <row r="92" spans="1:55" x14ac:dyDescent="0.25">
      <c r="F92" s="100"/>
      <c r="G92" s="11"/>
      <c r="H92" s="11"/>
      <c r="I92" s="11"/>
      <c r="J92" s="11"/>
      <c r="K92" s="11"/>
      <c r="L92" s="11"/>
      <c r="M92" s="11"/>
      <c r="N92" s="11"/>
      <c r="Q92" s="101"/>
      <c r="R92" s="77"/>
      <c r="S92" s="77"/>
      <c r="T92" s="77"/>
      <c r="U92" s="77"/>
      <c r="V92" s="77"/>
      <c r="W92" s="77"/>
      <c r="X92" s="77"/>
      <c r="Y92" s="77"/>
      <c r="AJ92" s="11"/>
      <c r="AK92" s="11"/>
      <c r="AL92" s="11"/>
      <c r="AM92" s="11"/>
      <c r="AN92" s="11"/>
      <c r="AO92" s="11"/>
      <c r="AP92" s="11"/>
      <c r="AQ92" s="11"/>
      <c r="AR92" s="11"/>
      <c r="AU92" s="77"/>
      <c r="AV92" s="77"/>
      <c r="AW92" s="77"/>
      <c r="AX92" s="77"/>
      <c r="AY92" s="77"/>
      <c r="AZ92" s="77"/>
      <c r="BA92" s="77"/>
      <c r="BB92" s="77"/>
      <c r="BC92" s="77"/>
    </row>
    <row r="93" spans="1:55" x14ac:dyDescent="0.25">
      <c r="E93" t="s">
        <v>113</v>
      </c>
      <c r="P93" t="s">
        <v>115</v>
      </c>
      <c r="AI93" t="s">
        <v>113</v>
      </c>
      <c r="AT93" t="s">
        <v>115</v>
      </c>
    </row>
    <row r="94" spans="1:55" x14ac:dyDescent="0.25">
      <c r="E94" s="58" t="s">
        <v>20</v>
      </c>
      <c r="F94" s="43" t="s">
        <v>36</v>
      </c>
      <c r="G94" s="43" t="s">
        <v>16</v>
      </c>
      <c r="H94" s="43" t="s">
        <v>17</v>
      </c>
      <c r="I94" s="43" t="s">
        <v>18</v>
      </c>
      <c r="J94" s="43" t="s">
        <v>19</v>
      </c>
      <c r="K94" s="43" t="s">
        <v>25</v>
      </c>
      <c r="L94" s="43" t="s">
        <v>23</v>
      </c>
      <c r="M94" s="43" t="s">
        <v>101</v>
      </c>
      <c r="N94" s="43" t="s">
        <v>106</v>
      </c>
      <c r="P94" s="58" t="s">
        <v>20</v>
      </c>
      <c r="Q94" s="43" t="s">
        <v>36</v>
      </c>
      <c r="R94" s="43" t="s">
        <v>16</v>
      </c>
      <c r="S94" s="43" t="s">
        <v>17</v>
      </c>
      <c r="T94" s="43" t="s">
        <v>18</v>
      </c>
      <c r="U94" s="43" t="s">
        <v>19</v>
      </c>
      <c r="V94" s="43" t="s">
        <v>25</v>
      </c>
      <c r="W94" s="43" t="s">
        <v>23</v>
      </c>
      <c r="X94" s="43" t="s">
        <v>101</v>
      </c>
      <c r="Y94" s="43" t="s">
        <v>106</v>
      </c>
      <c r="AI94" s="58" t="s">
        <v>21</v>
      </c>
      <c r="AJ94" s="43" t="s">
        <v>36</v>
      </c>
      <c r="AK94" s="43" t="s">
        <v>16</v>
      </c>
      <c r="AL94" s="43" t="s">
        <v>17</v>
      </c>
      <c r="AM94" s="43" t="s">
        <v>18</v>
      </c>
      <c r="AN94" s="43" t="s">
        <v>19</v>
      </c>
      <c r="AO94" s="43" t="s">
        <v>25</v>
      </c>
      <c r="AP94" s="43" t="s">
        <v>23</v>
      </c>
      <c r="AQ94" s="43" t="s">
        <v>101</v>
      </c>
      <c r="AR94" s="43" t="s">
        <v>106</v>
      </c>
      <c r="AT94" s="58" t="s">
        <v>21</v>
      </c>
      <c r="AU94" s="43" t="s">
        <v>36</v>
      </c>
      <c r="AV94" s="43" t="s">
        <v>16</v>
      </c>
      <c r="AW94" s="43" t="s">
        <v>17</v>
      </c>
      <c r="AX94" s="43" t="s">
        <v>18</v>
      </c>
      <c r="AY94" s="43" t="s">
        <v>19</v>
      </c>
      <c r="AZ94" s="43" t="s">
        <v>25</v>
      </c>
      <c r="BA94" s="43" t="s">
        <v>23</v>
      </c>
      <c r="BB94" s="43" t="s">
        <v>101</v>
      </c>
      <c r="BC94" s="43" t="s">
        <v>106</v>
      </c>
    </row>
    <row r="95" spans="1:55" x14ac:dyDescent="0.25">
      <c r="E95" t="s">
        <v>36</v>
      </c>
      <c r="F95" s="92">
        <v>1</v>
      </c>
      <c r="G95" s="14"/>
      <c r="H95" s="14"/>
      <c r="I95" s="14"/>
      <c r="J95" s="14"/>
      <c r="K95" s="14"/>
      <c r="L95" s="14"/>
      <c r="M95" s="14"/>
      <c r="N95" s="14"/>
      <c r="P95" t="s">
        <v>36</v>
      </c>
      <c r="Q95" s="92">
        <v>1</v>
      </c>
      <c r="R95" s="14"/>
      <c r="S95" s="14"/>
      <c r="T95" s="14"/>
      <c r="U95" s="14"/>
      <c r="V95" s="14"/>
      <c r="W95" s="14"/>
      <c r="X95" s="14"/>
      <c r="Y95" s="14"/>
      <c r="AI95" t="s">
        <v>36</v>
      </c>
      <c r="AJ95" s="15">
        <v>1</v>
      </c>
      <c r="AK95" s="14"/>
      <c r="AL95" s="14"/>
      <c r="AM95" s="14"/>
      <c r="AN95" s="14"/>
      <c r="AO95" s="14"/>
      <c r="AP95" s="14"/>
      <c r="AQ95" s="14"/>
      <c r="AR95" s="14"/>
      <c r="AT95" t="s">
        <v>36</v>
      </c>
      <c r="AU95" s="15">
        <v>1</v>
      </c>
      <c r="AV95" s="14"/>
      <c r="AW95" s="14"/>
      <c r="AX95" s="14"/>
      <c r="AY95" s="14"/>
      <c r="AZ95" s="14"/>
      <c r="BA95" s="14"/>
      <c r="BB95" s="14"/>
      <c r="BC95" s="14"/>
    </row>
    <row r="96" spans="1:55" x14ac:dyDescent="0.25">
      <c r="E96" t="s">
        <v>16</v>
      </c>
      <c r="F96" s="94" t="e">
        <f>F84/SQRT(F83*G84)</f>
        <v>#DIV/0!</v>
      </c>
      <c r="G96" s="11">
        <v>1</v>
      </c>
      <c r="H96" s="11"/>
      <c r="I96" s="11"/>
      <c r="J96" s="11"/>
      <c r="K96" s="11"/>
      <c r="L96" s="11"/>
      <c r="M96" s="11"/>
      <c r="N96" s="11"/>
      <c r="P96" t="s">
        <v>16</v>
      </c>
      <c r="Q96" s="99" t="e">
        <v>#DIV/0!</v>
      </c>
      <c r="R96" s="11">
        <v>1</v>
      </c>
      <c r="S96" s="11"/>
      <c r="T96" s="11"/>
      <c r="U96" s="11"/>
      <c r="V96" s="11"/>
      <c r="W96" s="11"/>
      <c r="X96" s="11"/>
      <c r="Y96" s="11"/>
      <c r="AI96" t="s">
        <v>16</v>
      </c>
      <c r="AJ96" s="68">
        <f>AJ84/SQRT(AJ83*AK84)</f>
        <v>7.3968073114155488E-3</v>
      </c>
      <c r="AK96" s="11">
        <v>1</v>
      </c>
      <c r="AL96" s="11"/>
      <c r="AM96" s="11"/>
      <c r="AN96" s="11"/>
      <c r="AO96" s="11"/>
      <c r="AP96" s="11"/>
      <c r="AQ96" s="11"/>
      <c r="AR96" s="11"/>
      <c r="AT96" t="s">
        <v>16</v>
      </c>
      <c r="AU96" s="82">
        <v>7.3968073114155488E-3</v>
      </c>
      <c r="AV96" s="11">
        <v>1</v>
      </c>
      <c r="AW96" s="11"/>
      <c r="AX96" s="11"/>
      <c r="AY96" s="11"/>
      <c r="AZ96" s="11"/>
      <c r="BA96" s="11"/>
      <c r="BB96" s="11"/>
      <c r="BC96" s="11"/>
    </row>
    <row r="97" spans="5:55" x14ac:dyDescent="0.25">
      <c r="E97" t="s">
        <v>17</v>
      </c>
      <c r="F97" s="94" t="e">
        <f>F85/SQRT(F83*H85)</f>
        <v>#DIV/0!</v>
      </c>
      <c r="G97" s="69">
        <f>G85/SQRT(G84*H85)</f>
        <v>0.98136746639029881</v>
      </c>
      <c r="H97" s="11">
        <v>1</v>
      </c>
      <c r="I97" s="11"/>
      <c r="J97" s="11"/>
      <c r="K97" s="11"/>
      <c r="L97" s="11"/>
      <c r="M97" s="11"/>
      <c r="N97" s="11"/>
      <c r="P97" t="s">
        <v>17</v>
      </c>
      <c r="Q97" s="99" t="e">
        <v>#DIV/0!</v>
      </c>
      <c r="R97" s="84">
        <v>0.98136746639029881</v>
      </c>
      <c r="S97" s="11">
        <v>1</v>
      </c>
      <c r="T97" s="11"/>
      <c r="U97" s="11"/>
      <c r="V97" s="11"/>
      <c r="W97" s="11"/>
      <c r="X97" s="11"/>
      <c r="Y97" s="11"/>
      <c r="AI97" t="s">
        <v>17</v>
      </c>
      <c r="AJ97" s="68">
        <f>AJ85/SQRT(AJ83*AL85)</f>
        <v>8.0754678538766615E-3</v>
      </c>
      <c r="AK97" s="69">
        <f>AK85/SQRT(AK84*AL85)</f>
        <v>0.99821227807501445</v>
      </c>
      <c r="AL97" s="11">
        <v>1</v>
      </c>
      <c r="AM97" s="11"/>
      <c r="AN97" s="11"/>
      <c r="AO97" s="11"/>
      <c r="AP97" s="11"/>
      <c r="AQ97" s="11"/>
      <c r="AR97" s="11"/>
      <c r="AT97" t="s">
        <v>17</v>
      </c>
      <c r="AU97" s="82">
        <v>8.0754678538766615E-3</v>
      </c>
      <c r="AV97" s="83">
        <v>0.99821227807501445</v>
      </c>
      <c r="AW97" s="11">
        <v>1</v>
      </c>
      <c r="AX97" s="11"/>
      <c r="AY97" s="11"/>
      <c r="AZ97" s="11"/>
      <c r="BA97" s="11"/>
      <c r="BB97" s="11"/>
      <c r="BC97" s="11"/>
    </row>
    <row r="98" spans="5:55" x14ac:dyDescent="0.25">
      <c r="E98" t="s">
        <v>18</v>
      </c>
      <c r="F98" s="94" t="e">
        <f>F86/SQRT(F83*I86)</f>
        <v>#DIV/0!</v>
      </c>
      <c r="G98" s="69">
        <f>G86/SQRT(G84*I86)</f>
        <v>0.98993634733472669</v>
      </c>
      <c r="H98" s="69">
        <f>H86/SQRT(H85*I86)</f>
        <v>0.99210931305862138</v>
      </c>
      <c r="I98" s="11">
        <v>1</v>
      </c>
      <c r="J98" s="11"/>
      <c r="K98" s="11"/>
      <c r="L98" s="11"/>
      <c r="M98" s="11"/>
      <c r="N98" s="11"/>
      <c r="P98" t="s">
        <v>18</v>
      </c>
      <c r="Q98" s="99" t="e">
        <v>#DIV/0!</v>
      </c>
      <c r="R98" s="84">
        <v>0.98993634733472669</v>
      </c>
      <c r="S98" s="84">
        <v>0.99210931305862138</v>
      </c>
      <c r="T98" s="11">
        <v>1</v>
      </c>
      <c r="U98" s="11"/>
      <c r="V98" s="11"/>
      <c r="W98" s="11"/>
      <c r="X98" s="11"/>
      <c r="Y98" s="11"/>
      <c r="AI98" t="s">
        <v>18</v>
      </c>
      <c r="AJ98" s="68">
        <f>AJ86/SQRT(AJ83*AM86)</f>
        <v>7.9413624451898784E-3</v>
      </c>
      <c r="AK98" s="69">
        <f>AK86/SQRT(AK84*AM86)</f>
        <v>0.99902225892770957</v>
      </c>
      <c r="AL98" s="69">
        <f>AL86/SQRT(AL85*AM86)</f>
        <v>0.9992423853028386</v>
      </c>
      <c r="AM98" s="11">
        <v>1</v>
      </c>
      <c r="AN98" s="11"/>
      <c r="AO98" s="11"/>
      <c r="AP98" s="11"/>
      <c r="AQ98" s="11"/>
      <c r="AR98" s="11"/>
      <c r="AT98" t="s">
        <v>18</v>
      </c>
      <c r="AU98" s="82">
        <v>7.9413624451898784E-3</v>
      </c>
      <c r="AV98" s="83">
        <v>0.99902225892770957</v>
      </c>
      <c r="AW98" s="83">
        <v>0.9992423853028386</v>
      </c>
      <c r="AX98" s="11">
        <v>1</v>
      </c>
      <c r="AY98" s="11"/>
      <c r="AZ98" s="11"/>
      <c r="BA98" s="11"/>
      <c r="BB98" s="11"/>
      <c r="BC98" s="11"/>
    </row>
    <row r="99" spans="5:55" x14ac:dyDescent="0.25">
      <c r="E99" t="s">
        <v>19</v>
      </c>
      <c r="F99" s="94" t="e">
        <f>F87/SQRT(F83*J87)</f>
        <v>#DIV/0!</v>
      </c>
      <c r="G99" s="69">
        <f>G87/SQRT(G84*J87)</f>
        <v>0.9754766641285294</v>
      </c>
      <c r="H99" s="69">
        <f>H87/SQRT(H85*J87)</f>
        <v>0.98822660695594622</v>
      </c>
      <c r="I99" s="69">
        <f>I87/SQRT(I86*J87)</f>
        <v>0.99261741359499378</v>
      </c>
      <c r="J99" s="11">
        <v>1</v>
      </c>
      <c r="K99" s="11"/>
      <c r="L99" s="11"/>
      <c r="M99" s="11"/>
      <c r="N99" s="11"/>
      <c r="P99" t="s">
        <v>19</v>
      </c>
      <c r="Q99" s="99" t="e">
        <v>#DIV/0!</v>
      </c>
      <c r="R99" s="84">
        <v>0.9754766641285294</v>
      </c>
      <c r="S99" s="84">
        <v>0.98822660695594622</v>
      </c>
      <c r="T99" s="84">
        <v>0.99261741359499378</v>
      </c>
      <c r="U99" s="11">
        <v>1</v>
      </c>
      <c r="V99" s="11"/>
      <c r="W99" s="11"/>
      <c r="X99" s="11"/>
      <c r="Y99" s="11"/>
      <c r="AI99" t="s">
        <v>19</v>
      </c>
      <c r="AJ99" s="68">
        <f>AJ87/SQRT(AJ83*AN87)</f>
        <v>7.7350266865398162E-3</v>
      </c>
      <c r="AK99" s="69">
        <f>AK87/SQRT(AK84*AN87)</f>
        <v>0.99757836059408267</v>
      </c>
      <c r="AL99" s="69">
        <f>AL87/SQRT(AL85*AN87)</f>
        <v>0.99883974794305252</v>
      </c>
      <c r="AM99" s="69">
        <f>AM87/SQRT(AM86*AN87)</f>
        <v>0.9992597126163103</v>
      </c>
      <c r="AN99" s="11">
        <v>1</v>
      </c>
      <c r="AO99" s="11"/>
      <c r="AP99" s="11"/>
      <c r="AQ99" s="11"/>
      <c r="AR99" s="11"/>
      <c r="AT99" t="s">
        <v>19</v>
      </c>
      <c r="AU99" s="82">
        <v>7.7350266865398162E-3</v>
      </c>
      <c r="AV99" s="83">
        <v>0.99757836059408267</v>
      </c>
      <c r="AW99" s="83">
        <v>0.99883974794305252</v>
      </c>
      <c r="AX99" s="83">
        <v>0.9992597126163103</v>
      </c>
      <c r="AY99" s="11">
        <v>1</v>
      </c>
      <c r="AZ99" s="11"/>
      <c r="BA99" s="11"/>
      <c r="BB99" s="11"/>
      <c r="BC99" s="11"/>
    </row>
    <row r="100" spans="5:55" x14ac:dyDescent="0.25">
      <c r="E100" t="s">
        <v>25</v>
      </c>
      <c r="F100" s="94" t="e">
        <f>F88/SQRT(F83*K88)</f>
        <v>#DIV/0!</v>
      </c>
      <c r="G100" s="60">
        <f>G88/SQRT(G84*K88)</f>
        <v>0</v>
      </c>
      <c r="H100" s="60">
        <f>H88/SQRT(H85*K88)</f>
        <v>0</v>
      </c>
      <c r="I100" s="60">
        <f>I88/SQRT(I86*K88)</f>
        <v>0</v>
      </c>
      <c r="J100" s="60">
        <f>J88/SQRT(J87*K88)</f>
        <v>0</v>
      </c>
      <c r="K100" s="11">
        <v>1</v>
      </c>
      <c r="L100" s="11"/>
      <c r="M100" s="11"/>
      <c r="N100" s="11"/>
      <c r="P100" t="s">
        <v>25</v>
      </c>
      <c r="Q100" s="99" t="e">
        <v>#DIV/0!</v>
      </c>
      <c r="R100" s="60">
        <v>0</v>
      </c>
      <c r="S100" s="60">
        <v>0</v>
      </c>
      <c r="T100" s="60">
        <v>0</v>
      </c>
      <c r="U100" s="60">
        <v>0</v>
      </c>
      <c r="V100" s="11">
        <v>1</v>
      </c>
      <c r="W100" s="11"/>
      <c r="X100" s="11"/>
      <c r="Y100" s="11"/>
      <c r="AI100" t="s">
        <v>25</v>
      </c>
      <c r="AJ100" s="68">
        <f>AJ88/SQRT(AJ83*AO88)</f>
        <v>-1.409160249451606E-2</v>
      </c>
      <c r="AK100" s="60">
        <f>AK88/SQRT(AK84*AO88)</f>
        <v>0</v>
      </c>
      <c r="AL100" s="60">
        <f>AL88/SQRT(AL85*AO88)</f>
        <v>0</v>
      </c>
      <c r="AM100" s="60">
        <f>AM88/SQRT(AM86*AO88)</f>
        <v>0</v>
      </c>
      <c r="AN100" s="60">
        <f>AN88/SQRT(AN87*AO88)</f>
        <v>0</v>
      </c>
      <c r="AO100" s="11">
        <v>1</v>
      </c>
      <c r="AP100" s="11"/>
      <c r="AQ100" s="11"/>
      <c r="AR100" s="11"/>
      <c r="AT100" t="s">
        <v>25</v>
      </c>
      <c r="AU100" s="82">
        <v>-1.409160249451606E-2</v>
      </c>
      <c r="AV100" s="60">
        <v>0</v>
      </c>
      <c r="AW100" s="60">
        <v>0</v>
      </c>
      <c r="AX100" s="60">
        <v>0</v>
      </c>
      <c r="AY100" s="60">
        <v>0</v>
      </c>
      <c r="AZ100" s="11">
        <v>1</v>
      </c>
      <c r="BA100" s="11"/>
      <c r="BB100" s="11"/>
      <c r="BC100" s="11"/>
    </row>
    <row r="101" spans="5:55" x14ac:dyDescent="0.25">
      <c r="E101" t="s">
        <v>23</v>
      </c>
      <c r="F101" s="94" t="e">
        <f>F89/SQRT(F83*L89)</f>
        <v>#DIV/0!</v>
      </c>
      <c r="G101" s="60">
        <f>G89/SQRT(G84*L89)</f>
        <v>0</v>
      </c>
      <c r="H101" s="60">
        <f>H89/SQRT(H85*L89)</f>
        <v>0</v>
      </c>
      <c r="I101" s="60">
        <f>I89/SQRT(I86*L89)</f>
        <v>0</v>
      </c>
      <c r="J101" s="60">
        <f>J89/SQRT(J87*L89)</f>
        <v>0</v>
      </c>
      <c r="K101" s="69">
        <f>K89/SQRT(K88*L89)</f>
        <v>-0.59385508052038216</v>
      </c>
      <c r="L101" s="11">
        <v>1</v>
      </c>
      <c r="M101" s="11"/>
      <c r="N101" s="11"/>
      <c r="P101" t="s">
        <v>23</v>
      </c>
      <c r="Q101" s="99" t="e">
        <v>#DIV/0!</v>
      </c>
      <c r="R101" s="60">
        <v>0</v>
      </c>
      <c r="S101" s="60">
        <v>0</v>
      </c>
      <c r="T101" s="60">
        <v>0</v>
      </c>
      <c r="U101" s="60">
        <v>0</v>
      </c>
      <c r="V101" s="84">
        <v>-0.59385508052038216</v>
      </c>
      <c r="W101" s="11">
        <v>1</v>
      </c>
      <c r="X101" s="11"/>
      <c r="Y101" s="11"/>
      <c r="AI101" t="s">
        <v>23</v>
      </c>
      <c r="AJ101" s="68">
        <f>AJ89/SQRT(AJ83*AP89)</f>
        <v>2.6587106801603824E-2</v>
      </c>
      <c r="AK101" s="60">
        <f>AK89/SQRT(AK84*AP89)</f>
        <v>0</v>
      </c>
      <c r="AL101" s="60">
        <f>AL89/SQRT(AL85*AP89)</f>
        <v>0</v>
      </c>
      <c r="AM101" s="60">
        <f>AM89/SQRT(AM86*AP89)</f>
        <v>0</v>
      </c>
      <c r="AN101" s="60">
        <f>AN89/SQRT(AN87*AP89)</f>
        <v>0</v>
      </c>
      <c r="AO101" s="69">
        <f>AO89/SQRT(AO88*AP89)</f>
        <v>-0.59385508052038216</v>
      </c>
      <c r="AP101" s="11">
        <v>1</v>
      </c>
      <c r="AQ101" s="11"/>
      <c r="AR101" s="11"/>
      <c r="AT101" t="s">
        <v>23</v>
      </c>
      <c r="AU101" s="82">
        <v>2.6587106801603824E-2</v>
      </c>
      <c r="AV101" s="60">
        <v>0</v>
      </c>
      <c r="AW101" s="60">
        <v>0</v>
      </c>
      <c r="AX101" s="60">
        <v>0</v>
      </c>
      <c r="AY101" s="60">
        <v>0</v>
      </c>
      <c r="AZ101" s="83">
        <v>-0.59385508052038216</v>
      </c>
      <c r="BA101" s="11">
        <v>1</v>
      </c>
      <c r="BB101" s="11"/>
      <c r="BC101" s="11"/>
    </row>
    <row r="102" spans="5:55" x14ac:dyDescent="0.25">
      <c r="E102" t="s">
        <v>101</v>
      </c>
      <c r="F102" s="95" t="e">
        <f>F90/SQRT(F83*M90)</f>
        <v>#DIV/0!</v>
      </c>
      <c r="G102" s="60">
        <f>G90/SQRT(G84*M90)</f>
        <v>0</v>
      </c>
      <c r="H102" s="60">
        <f>H90/SQRT(H85*M90)</f>
        <v>0</v>
      </c>
      <c r="I102" s="60">
        <f>I90/SQRT(I86*M90)</f>
        <v>0</v>
      </c>
      <c r="J102" s="60">
        <f>J90/SQRT(J87*M90)</f>
        <v>0</v>
      </c>
      <c r="K102" s="60">
        <f>K90/SQRT(K88*M90)</f>
        <v>0</v>
      </c>
      <c r="L102" s="60">
        <f>L90/SQRT(L89*M90)</f>
        <v>0</v>
      </c>
      <c r="M102" s="11">
        <v>1</v>
      </c>
      <c r="N102" s="11"/>
      <c r="P102" t="s">
        <v>101</v>
      </c>
      <c r="Q102" s="95" t="e">
        <v>#DIV/0!</v>
      </c>
      <c r="R102" s="60">
        <v>0</v>
      </c>
      <c r="S102" s="60">
        <v>0</v>
      </c>
      <c r="T102" s="60">
        <v>0</v>
      </c>
      <c r="U102" s="60">
        <v>0</v>
      </c>
      <c r="V102" s="60">
        <v>0</v>
      </c>
      <c r="W102" s="60">
        <v>0</v>
      </c>
      <c r="X102" s="11">
        <v>1</v>
      </c>
      <c r="Y102" s="11"/>
      <c r="AI102" t="s">
        <v>101</v>
      </c>
      <c r="AJ102" s="49">
        <f>AJ90/SQRT(AJ83*AQ90)</f>
        <v>0</v>
      </c>
      <c r="AK102" s="60">
        <f>AK90/SQRT(AK84*AQ90)</f>
        <v>0</v>
      </c>
      <c r="AL102" s="60">
        <f>AL90/SQRT(AL85*AQ90)</f>
        <v>0</v>
      </c>
      <c r="AM102" s="60">
        <f>AM90/SQRT(AM86*AQ90)</f>
        <v>0</v>
      </c>
      <c r="AN102" s="60">
        <f>AN90/SQRT(AN87*AQ90)</f>
        <v>0</v>
      </c>
      <c r="AO102" s="60">
        <f>AO90/SQRT(AO88*AQ90)</f>
        <v>0</v>
      </c>
      <c r="AP102" s="60">
        <f>AP90/SQRT(AP89*AQ90)</f>
        <v>0</v>
      </c>
      <c r="AQ102" s="11">
        <v>1</v>
      </c>
      <c r="AR102" s="11"/>
      <c r="AT102" t="s">
        <v>101</v>
      </c>
      <c r="AU102" s="49">
        <v>0</v>
      </c>
      <c r="AV102" s="60">
        <v>0</v>
      </c>
      <c r="AW102" s="60">
        <v>0</v>
      </c>
      <c r="AX102" s="60">
        <v>0</v>
      </c>
      <c r="AY102" s="60">
        <v>0</v>
      </c>
      <c r="AZ102" s="60">
        <v>0</v>
      </c>
      <c r="BA102" s="60">
        <v>0</v>
      </c>
      <c r="BB102" s="11">
        <v>1</v>
      </c>
      <c r="BC102" s="11"/>
    </row>
    <row r="103" spans="5:55" x14ac:dyDescent="0.25">
      <c r="E103" t="s">
        <v>106</v>
      </c>
      <c r="F103" s="94" t="e">
        <f>F91/SQRT(F83*N91)</f>
        <v>#DIV/0!</v>
      </c>
      <c r="G103" s="69">
        <f>G91/SQRT(G84*N91)</f>
        <v>-6.0150754768954556E-4</v>
      </c>
      <c r="H103" s="69">
        <f>H91/SQRT(H85*N91)</f>
        <v>-6.2552458395129208E-4</v>
      </c>
      <c r="I103" s="69">
        <f>I91/SQRT(I86*N91)</f>
        <v>-6.3707219710342053E-4</v>
      </c>
      <c r="J103" s="69">
        <f>J91/SQRT(J87*N91)</f>
        <v>-5.6493800443644098E-4</v>
      </c>
      <c r="K103" s="69">
        <f>K91/SQRT(K88*N91)</f>
        <v>3.2931714730359524E-2</v>
      </c>
      <c r="L103" s="69">
        <f>L91/SQRT(L89*N91)</f>
        <v>-2.137149593524771E-2</v>
      </c>
      <c r="M103" s="69">
        <f>M91/SQRT(M90*N91)</f>
        <v>0.99569905688730942</v>
      </c>
      <c r="N103" s="11">
        <v>1</v>
      </c>
      <c r="P103" t="s">
        <v>106</v>
      </c>
      <c r="Q103" s="99" t="e">
        <v>#DIV/0!</v>
      </c>
      <c r="R103" s="84">
        <v>-6.0150754768954556E-4</v>
      </c>
      <c r="S103" s="84">
        <v>-6.2552458395129208E-4</v>
      </c>
      <c r="T103" s="84">
        <v>-6.3707219710342053E-4</v>
      </c>
      <c r="U103" s="84">
        <v>-5.6493800443644098E-4</v>
      </c>
      <c r="V103" s="84">
        <v>3.2931714730359524E-2</v>
      </c>
      <c r="W103" s="84">
        <v>-2.137149593524771E-2</v>
      </c>
      <c r="X103" s="84">
        <v>0.99569905688730942</v>
      </c>
      <c r="Y103" s="11">
        <v>1</v>
      </c>
      <c r="AI103" t="s">
        <v>106</v>
      </c>
      <c r="AJ103" s="68">
        <f>AJ91/SQRT(AJ83*AR91)</f>
        <v>-8.4732300086047901E-2</v>
      </c>
      <c r="AK103" s="69">
        <f>AK91/SQRT(AK84*AR91)</f>
        <v>-5.9110208739454378E-4</v>
      </c>
      <c r="AL103" s="69">
        <f>AL91/SQRT(AL85*AR91)</f>
        <v>-6.361398942816563E-4</v>
      </c>
      <c r="AM103" s="69">
        <f>AM91/SQRT(AM86*AR91)</f>
        <v>-6.4857498297948954E-4</v>
      </c>
      <c r="AN103" s="69">
        <f>AN91/SQRT(AN87*AR91)</f>
        <v>-5.8532785540634739E-4</v>
      </c>
      <c r="AO103" s="69">
        <f>AO91/SQRT(AO88*AR91)</f>
        <v>3.2931714730359524E-2</v>
      </c>
      <c r="AP103" s="69">
        <f>AP91/SQRT(AP89*AR91)</f>
        <v>-2.137149593524771E-2</v>
      </c>
      <c r="AQ103" s="69">
        <f>AQ91/SQRT(AQ90*AR91)</f>
        <v>0.99569905688730942</v>
      </c>
      <c r="AR103" s="11">
        <v>1</v>
      </c>
      <c r="AT103" t="s">
        <v>106</v>
      </c>
      <c r="AU103" s="82">
        <v>-8.4732300086047901E-2</v>
      </c>
      <c r="AV103" s="83">
        <v>-5.9110208739454378E-4</v>
      </c>
      <c r="AW103" s="83">
        <v>-6.361398942816563E-4</v>
      </c>
      <c r="AX103" s="83">
        <v>-6.4857498297948954E-4</v>
      </c>
      <c r="AY103" s="83">
        <v>-5.8532785540634739E-4</v>
      </c>
      <c r="AZ103" s="83">
        <v>3.2931714730359524E-2</v>
      </c>
      <c r="BA103" s="83">
        <v>-2.137149593524771E-2</v>
      </c>
      <c r="BB103" s="83">
        <v>0.99569905688730942</v>
      </c>
      <c r="BC103" s="11">
        <v>1</v>
      </c>
    </row>
  </sheetData>
  <mergeCells count="31">
    <mergeCell ref="AJ39:AM39"/>
    <mergeCell ref="AH41:AH44"/>
    <mergeCell ref="AK1:AL1"/>
    <mergeCell ref="K3:K6"/>
    <mergeCell ref="K7:K10"/>
    <mergeCell ref="K13:K14"/>
    <mergeCell ref="Y1:AA1"/>
    <mergeCell ref="AB1:AD1"/>
    <mergeCell ref="AG31:AI33"/>
    <mergeCell ref="AF41:AG44"/>
    <mergeCell ref="AF66:AH66"/>
    <mergeCell ref="K15:K17"/>
    <mergeCell ref="K1:L2"/>
    <mergeCell ref="M1:P1"/>
    <mergeCell ref="Q1:T1"/>
    <mergeCell ref="W1:X1"/>
    <mergeCell ref="AE1:AG1"/>
    <mergeCell ref="K18:K20"/>
    <mergeCell ref="K21:K23"/>
    <mergeCell ref="K27:K28"/>
    <mergeCell ref="A81:C81"/>
    <mergeCell ref="AE81:AG81"/>
    <mergeCell ref="AF67:AH67"/>
    <mergeCell ref="F39:I39"/>
    <mergeCell ref="B41:C44"/>
    <mergeCell ref="D41:D44"/>
    <mergeCell ref="A52:D61"/>
    <mergeCell ref="B66:D66"/>
    <mergeCell ref="B67:D67"/>
    <mergeCell ref="A46:C48"/>
    <mergeCell ref="AE52:AH61"/>
  </mergeCells>
  <pageMargins left="0.7" right="0.7" top="0.75" bottom="0.75" header="0.3" footer="0.3"/>
  <pageSetup paperSize="9" orientation="portrait" r:id="rId1"/>
  <ignoredErrors>
    <ignoredError sqref="F96:F103"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
  <sheetViews>
    <sheetView topLeftCell="A9" workbookViewId="0">
      <selection activeCell="AB29" sqref="AB29"/>
    </sheetView>
  </sheetViews>
  <sheetFormatPr defaultRowHeight="15.75" x14ac:dyDescent="0.25"/>
  <sheetData>
    <row r="1" spans="1:28" x14ac:dyDescent="0.25">
      <c r="A1" s="110" t="s">
        <v>93</v>
      </c>
      <c r="B1" s="110"/>
      <c r="C1" s="106" t="s">
        <v>20</v>
      </c>
      <c r="D1" s="106"/>
      <c r="E1" s="106"/>
      <c r="F1" s="106"/>
      <c r="G1" s="106" t="s">
        <v>21</v>
      </c>
      <c r="H1" s="106"/>
      <c r="I1" s="106"/>
      <c r="J1" s="106"/>
      <c r="K1" t="s">
        <v>89</v>
      </c>
      <c r="L1" t="s">
        <v>90</v>
      </c>
      <c r="M1" s="106" t="s">
        <v>91</v>
      </c>
      <c r="N1" s="106"/>
      <c r="O1" s="106" t="s">
        <v>26</v>
      </c>
      <c r="P1" s="106"/>
      <c r="Q1" s="106"/>
      <c r="R1" s="106" t="s">
        <v>27</v>
      </c>
      <c r="S1" s="106"/>
      <c r="T1" s="106"/>
      <c r="U1" s="106" t="s">
        <v>92</v>
      </c>
      <c r="V1" s="106"/>
      <c r="W1" s="106"/>
      <c r="X1" s="10" t="s">
        <v>61</v>
      </c>
      <c r="Y1" s="10" t="s">
        <v>60</v>
      </c>
      <c r="Z1" s="10" t="s">
        <v>62</v>
      </c>
      <c r="AA1" s="106" t="s">
        <v>91</v>
      </c>
      <c r="AB1" s="106"/>
    </row>
    <row r="2" spans="1:28" x14ac:dyDescent="0.25">
      <c r="A2" s="110"/>
      <c r="B2" s="110"/>
      <c r="C2" t="s">
        <v>16</v>
      </c>
      <c r="D2" t="s">
        <v>17</v>
      </c>
      <c r="E2" t="s">
        <v>18</v>
      </c>
      <c r="F2" t="s">
        <v>19</v>
      </c>
      <c r="G2" t="s">
        <v>16</v>
      </c>
      <c r="H2" t="s">
        <v>17</v>
      </c>
      <c r="I2" t="s">
        <v>18</v>
      </c>
      <c r="J2" t="s">
        <v>19</v>
      </c>
      <c r="K2" t="s">
        <v>23</v>
      </c>
      <c r="L2" t="s">
        <v>23</v>
      </c>
      <c r="M2" t="s">
        <v>25</v>
      </c>
      <c r="N2" t="s">
        <v>23</v>
      </c>
      <c r="O2" t="s">
        <v>29</v>
      </c>
      <c r="P2" t="s">
        <v>30</v>
      </c>
      <c r="Q2" t="s">
        <v>31</v>
      </c>
      <c r="R2" t="s">
        <v>29</v>
      </c>
      <c r="S2" t="s">
        <v>30</v>
      </c>
      <c r="T2" t="s">
        <v>31</v>
      </c>
      <c r="U2" t="s">
        <v>29</v>
      </c>
      <c r="V2" t="s">
        <v>30</v>
      </c>
      <c r="W2" t="s">
        <v>31</v>
      </c>
      <c r="X2" t="s">
        <v>70</v>
      </c>
      <c r="Y2" t="s">
        <v>70</v>
      </c>
      <c r="Z2" t="s">
        <v>70</v>
      </c>
      <c r="AA2" t="s">
        <v>36</v>
      </c>
      <c r="AB2" t="s">
        <v>38</v>
      </c>
    </row>
    <row r="3" spans="1:28" x14ac:dyDescent="0.25">
      <c r="A3" s="106" t="s">
        <v>20</v>
      </c>
      <c r="B3" t="s">
        <v>16</v>
      </c>
      <c r="C3" s="46">
        <v>8.4401259077672205E-11</v>
      </c>
      <c r="D3" s="44">
        <v>1.55416031925672E-9</v>
      </c>
      <c r="E3" s="44">
        <v>1.3041691008029899E-9</v>
      </c>
      <c r="F3" s="44">
        <v>3.1932364132018999E-9</v>
      </c>
      <c r="G3" s="44">
        <v>2.0206837533478099E-12</v>
      </c>
      <c r="H3" s="44">
        <v>3.4280094182598698E-11</v>
      </c>
      <c r="I3" s="44">
        <v>2.9582366625899502E-11</v>
      </c>
      <c r="J3" s="44">
        <v>7.0834597723109595E-11</v>
      </c>
      <c r="K3" s="44">
        <v>3.4511768718235002E-9</v>
      </c>
      <c r="L3" s="44">
        <v>3.60411214207655E-9</v>
      </c>
      <c r="M3" s="44">
        <v>-1.2805694858873E-11</v>
      </c>
      <c r="N3" s="44">
        <v>-4.8913092254087399E-15</v>
      </c>
      <c r="O3" s="44">
        <v>-3.7990667121890198E-13</v>
      </c>
      <c r="P3" s="44">
        <v>3.7607470820352802E-12</v>
      </c>
      <c r="Q3" s="44">
        <v>1.5201563720946699E-11</v>
      </c>
      <c r="R3" s="44">
        <v>1.5110590848249301E-13</v>
      </c>
      <c r="S3" s="44">
        <v>-1.0398825082839299E-12</v>
      </c>
      <c r="T3" s="44">
        <v>1.7431024207519499E-13</v>
      </c>
      <c r="U3" s="44">
        <v>1.26308767525865E-13</v>
      </c>
      <c r="V3" s="44">
        <v>-1.7534031731342499E-13</v>
      </c>
      <c r="W3" s="44">
        <v>1.3100978045243599E-11</v>
      </c>
      <c r="X3" s="44">
        <v>-1.89361216059655E-13</v>
      </c>
      <c r="Y3" s="44">
        <v>-8.8776237142555295E-13</v>
      </c>
      <c r="Z3" s="44">
        <v>-5.1921039688549697E-13</v>
      </c>
      <c r="AA3" s="44">
        <v>2.8302868237776899E-11</v>
      </c>
      <c r="AB3" s="44">
        <v>-5.7932655887560996E-9</v>
      </c>
    </row>
    <row r="4" spans="1:28" x14ac:dyDescent="0.25">
      <c r="A4" s="106"/>
      <c r="B4" t="s">
        <v>17</v>
      </c>
      <c r="C4" s="47">
        <v>1.55416031925672E-9</v>
      </c>
      <c r="D4" s="45">
        <v>2.96432009871071E-8</v>
      </c>
      <c r="E4" s="45">
        <v>2.4477356887950001E-8</v>
      </c>
      <c r="F4" s="45">
        <v>6.0583378017892395E-8</v>
      </c>
      <c r="G4" s="45">
        <v>4.0956018313098501E-11</v>
      </c>
      <c r="H4" s="45">
        <v>7.0629014924019097E-10</v>
      </c>
      <c r="I4" s="45">
        <v>6.0856147397871202E-10</v>
      </c>
      <c r="J4" s="45">
        <v>1.46915062118881E-9</v>
      </c>
      <c r="K4" s="45">
        <v>6.0096316989209802E-8</v>
      </c>
      <c r="L4" s="45">
        <v>6.5224032204546995E-8</v>
      </c>
      <c r="M4" s="45">
        <v>-2.3167409190867199E-10</v>
      </c>
      <c r="N4" s="45">
        <v>2.2899376775817599E-14</v>
      </c>
      <c r="O4" s="45">
        <v>1.17329364196046E-12</v>
      </c>
      <c r="P4" s="45">
        <v>8.8824130776260307E-12</v>
      </c>
      <c r="Q4" s="45">
        <v>-5.7742547559387199E-11</v>
      </c>
      <c r="R4" s="45">
        <v>7.6716014453030905E-12</v>
      </c>
      <c r="S4" s="45">
        <v>-3.8574071906485798E-11</v>
      </c>
      <c r="T4" s="45">
        <v>-9.4826056285775206E-11</v>
      </c>
      <c r="U4" s="45">
        <v>1.2084213428397501E-11</v>
      </c>
      <c r="V4" s="45">
        <v>-6.2983465907484704E-11</v>
      </c>
      <c r="W4" s="45">
        <v>-1.5680445536807499E-10</v>
      </c>
      <c r="X4" s="45">
        <v>-2.0025418163843799E-12</v>
      </c>
      <c r="Y4" s="45">
        <v>-1.44323751503872E-11</v>
      </c>
      <c r="Z4" s="45">
        <v>-3.4922031052906902E-12</v>
      </c>
      <c r="AA4" s="45">
        <v>7.3438293664634899E-10</v>
      </c>
      <c r="AB4" s="45">
        <v>-1.27525182298306E-7</v>
      </c>
    </row>
    <row r="5" spans="1:28" x14ac:dyDescent="0.25">
      <c r="A5" s="106"/>
      <c r="B5" t="s">
        <v>18</v>
      </c>
      <c r="C5" s="47">
        <v>1.3041691008029899E-9</v>
      </c>
      <c r="D5" s="45">
        <v>2.4477356887950001E-8</v>
      </c>
      <c r="E5" s="45">
        <v>2.05234328180331E-8</v>
      </c>
      <c r="F5" s="45">
        <v>5.0614290086508102E-8</v>
      </c>
      <c r="G5" s="45">
        <v>3.4993790071701499E-11</v>
      </c>
      <c r="H5" s="45">
        <v>6.0702033280199705E-10</v>
      </c>
      <c r="I5" s="45">
        <v>5.2137398315738198E-10</v>
      </c>
      <c r="J5" s="45">
        <v>1.25753243881695E-9</v>
      </c>
      <c r="K5" s="45">
        <v>4.3662818016138698E-8</v>
      </c>
      <c r="L5" s="45">
        <v>5.4669682313650302E-8</v>
      </c>
      <c r="M5" s="45">
        <v>-1.9789095734097799E-10</v>
      </c>
      <c r="N5" s="45">
        <v>-2.38972450737579E-15</v>
      </c>
      <c r="O5" s="45">
        <v>6.4940111194771798E-13</v>
      </c>
      <c r="P5" s="45">
        <v>6.7097010663047103E-12</v>
      </c>
      <c r="Q5" s="45">
        <v>-3.25227369227612E-11</v>
      </c>
      <c r="R5" s="45">
        <v>6.7188019200498098E-12</v>
      </c>
      <c r="S5" s="45">
        <v>-2.4440006752823801E-11</v>
      </c>
      <c r="T5" s="45">
        <v>-7.2843307655229596E-11</v>
      </c>
      <c r="U5" s="45">
        <v>8.7644765056342194E-12</v>
      </c>
      <c r="V5" s="45">
        <v>-5.2497344841684699E-11</v>
      </c>
      <c r="W5" s="45">
        <v>-1.21801536314926E-10</v>
      </c>
      <c r="X5" s="45">
        <v>-1.4669724279417799E-12</v>
      </c>
      <c r="Y5" s="45">
        <v>-1.0773308973031E-11</v>
      </c>
      <c r="Z5" s="45">
        <v>-3.1505417158367802E-12</v>
      </c>
      <c r="AA5" s="45">
        <v>6.2238337509856096E-10</v>
      </c>
      <c r="AB5" s="45">
        <v>-1.01270850319871E-7</v>
      </c>
    </row>
    <row r="6" spans="1:28" x14ac:dyDescent="0.25">
      <c r="A6" s="106"/>
      <c r="B6" t="s">
        <v>19</v>
      </c>
      <c r="C6" s="47">
        <v>3.1932364132018999E-9</v>
      </c>
      <c r="D6" s="45">
        <v>6.0583378017892395E-8</v>
      </c>
      <c r="E6" s="45">
        <v>5.0614290086508102E-8</v>
      </c>
      <c r="F6" s="45">
        <v>1.26612905100539E-7</v>
      </c>
      <c r="G6" s="45">
        <v>8.3566948602299903E-11</v>
      </c>
      <c r="H6" s="45">
        <v>1.44186183481024E-9</v>
      </c>
      <c r="I6" s="45">
        <v>1.24002389852991E-9</v>
      </c>
      <c r="J6" s="45">
        <v>2.9980738377796102E-9</v>
      </c>
      <c r="K6" s="45">
        <v>3.80179822755706E-8</v>
      </c>
      <c r="L6" s="45">
        <v>1.1278996807307201E-7</v>
      </c>
      <c r="M6" s="45">
        <v>-4.05316154658364E-10</v>
      </c>
      <c r="N6" s="45">
        <v>-1.54318091227254E-13</v>
      </c>
      <c r="O6" s="45">
        <v>2.82004015370126E-11</v>
      </c>
      <c r="P6" s="45">
        <v>-1.61002234505465E-10</v>
      </c>
      <c r="Q6" s="45">
        <v>-1.06678093797147E-9</v>
      </c>
      <c r="R6" s="45">
        <v>2.9807682640447702E-11</v>
      </c>
      <c r="S6" s="45">
        <v>-1.52514867938717E-10</v>
      </c>
      <c r="T6" s="45">
        <v>-6.3397534188604298E-10</v>
      </c>
      <c r="U6" s="45">
        <v>4.4902622634633403E-11</v>
      </c>
      <c r="V6" s="45">
        <v>-2.9339106125165602E-10</v>
      </c>
      <c r="W6" s="45">
        <v>-1.26911520659682E-9</v>
      </c>
      <c r="X6" s="45">
        <v>1.00141804769503E-12</v>
      </c>
      <c r="Y6" s="45">
        <v>-8.9572811404856602E-12</v>
      </c>
      <c r="Z6" s="45">
        <v>3.0481589479372402E-12</v>
      </c>
      <c r="AA6" s="45">
        <v>2.2038505529541698E-9</v>
      </c>
      <c r="AB6" s="45">
        <v>-2.8391472361696899E-7</v>
      </c>
    </row>
    <row r="7" spans="1:28" x14ac:dyDescent="0.25">
      <c r="A7" s="106" t="s">
        <v>21</v>
      </c>
      <c r="B7" t="s">
        <v>16</v>
      </c>
      <c r="C7" s="47">
        <v>2.0206837533478099E-12</v>
      </c>
      <c r="D7" s="45">
        <v>4.0956018313098501E-11</v>
      </c>
      <c r="E7" s="45">
        <v>3.4993790071701499E-11</v>
      </c>
      <c r="F7" s="45">
        <v>8.3566948602299903E-11</v>
      </c>
      <c r="G7" s="45">
        <v>8.7848722343766502E-11</v>
      </c>
      <c r="H7" s="45">
        <v>1.59088583462917E-9</v>
      </c>
      <c r="I7" s="45">
        <v>1.3195772345904301E-9</v>
      </c>
      <c r="J7" s="45">
        <v>3.2029349979360501E-9</v>
      </c>
      <c r="K7" s="45">
        <v>-1.0413433701677001E-9</v>
      </c>
      <c r="L7" s="45">
        <v>-4.2772698702986601E-10</v>
      </c>
      <c r="M7" s="45">
        <v>4.6109639518923001E-13</v>
      </c>
      <c r="N7" s="45">
        <v>5.5238194610287197E-14</v>
      </c>
      <c r="O7" s="45">
        <v>1.6928660814852301E-12</v>
      </c>
      <c r="P7" s="45">
        <v>-1.04821219133278E-11</v>
      </c>
      <c r="Q7" s="45">
        <v>-6.0022770291549203E-11</v>
      </c>
      <c r="R7" s="45">
        <v>4.2634161435867802E-13</v>
      </c>
      <c r="S7" s="45">
        <v>-1.07704405708573E-11</v>
      </c>
      <c r="T7" s="45">
        <v>-5.07658302216432E-11</v>
      </c>
      <c r="U7" s="45">
        <v>1.3565402496660199E-12</v>
      </c>
      <c r="V7" s="45">
        <v>-1.49013638739684E-11</v>
      </c>
      <c r="W7" s="45">
        <v>-6.6227578692498003E-11</v>
      </c>
      <c r="X7" s="45">
        <v>7.9686086334954099E-14</v>
      </c>
      <c r="Y7" s="45">
        <v>1.2574539088527201E-12</v>
      </c>
      <c r="Z7" s="45">
        <v>2.2737161111034601E-12</v>
      </c>
      <c r="AA7" s="45">
        <v>1.7989513735451599E-11</v>
      </c>
      <c r="AB7" s="45">
        <v>-1.36240371281332E-9</v>
      </c>
    </row>
    <row r="8" spans="1:28" x14ac:dyDescent="0.25">
      <c r="A8" s="106"/>
      <c r="B8" t="s">
        <v>17</v>
      </c>
      <c r="C8" s="47">
        <v>3.4280094182598698E-11</v>
      </c>
      <c r="D8" s="45">
        <v>7.0629014924019097E-10</v>
      </c>
      <c r="E8" s="45">
        <v>6.0702033280199705E-10</v>
      </c>
      <c r="F8" s="45">
        <v>1.44186183481024E-9</v>
      </c>
      <c r="G8" s="45">
        <v>1.59088583462917E-9</v>
      </c>
      <c r="H8" s="45">
        <v>2.89071624204747E-8</v>
      </c>
      <c r="I8" s="45">
        <v>2.3940041647645701E-8</v>
      </c>
      <c r="J8" s="45">
        <v>5.8160208934298099E-8</v>
      </c>
      <c r="K8" s="45">
        <v>-1.93479398583659E-8</v>
      </c>
      <c r="L8" s="45">
        <v>-8.1360571029288803E-9</v>
      </c>
      <c r="M8" s="45">
        <v>1.5724233703089099E-11</v>
      </c>
      <c r="N8" s="45">
        <v>1.1283288580120799E-12</v>
      </c>
      <c r="O8" s="45">
        <v>3.1847587585539301E-11</v>
      </c>
      <c r="P8" s="45">
        <v>-1.9413496020137099E-10</v>
      </c>
      <c r="Q8" s="45">
        <v>-1.1238860634877601E-9</v>
      </c>
      <c r="R8" s="45">
        <v>8.3536162146489106E-12</v>
      </c>
      <c r="S8" s="45">
        <v>-2.0020140066951399E-10</v>
      </c>
      <c r="T8" s="45">
        <v>-9.3694741770302908E-10</v>
      </c>
      <c r="U8" s="45">
        <v>2.55429708727572E-11</v>
      </c>
      <c r="V8" s="45">
        <v>-2.7724439353173803E-10</v>
      </c>
      <c r="W8" s="45">
        <v>-1.2525554995339901E-9</v>
      </c>
      <c r="X8" s="45">
        <v>1.7967596711700301E-12</v>
      </c>
      <c r="Y8" s="45">
        <v>2.4772325563349401E-11</v>
      </c>
      <c r="Z8" s="45">
        <v>4.1258938303669301E-11</v>
      </c>
      <c r="AA8" s="45">
        <v>3.5607402058311199E-10</v>
      </c>
      <c r="AB8" s="45">
        <v>-2.65823538390996E-8</v>
      </c>
    </row>
    <row r="9" spans="1:28" x14ac:dyDescent="0.25">
      <c r="A9" s="106"/>
      <c r="B9" t="s">
        <v>18</v>
      </c>
      <c r="C9" s="47">
        <v>2.9582366625899502E-11</v>
      </c>
      <c r="D9" s="45">
        <v>6.0856147397871202E-10</v>
      </c>
      <c r="E9" s="45">
        <v>5.2137398315738198E-10</v>
      </c>
      <c r="F9" s="45">
        <v>1.24002389852991E-9</v>
      </c>
      <c r="G9" s="45">
        <v>1.3195772345904301E-9</v>
      </c>
      <c r="H9" s="45">
        <v>2.3940041647645701E-8</v>
      </c>
      <c r="I9" s="45">
        <v>1.9856214073192601E-8</v>
      </c>
      <c r="J9" s="45">
        <v>4.8225750472980098E-8</v>
      </c>
      <c r="K9" s="45">
        <v>-1.1940629499550199E-8</v>
      </c>
      <c r="L9" s="45">
        <v>-5.0733975799127E-9</v>
      </c>
      <c r="M9" s="45">
        <v>6.7713277574953803E-12</v>
      </c>
      <c r="N9" s="45">
        <v>9.0507676087214699E-13</v>
      </c>
      <c r="O9" s="45">
        <v>2.6790185465949901E-11</v>
      </c>
      <c r="P9" s="45">
        <v>-1.64871767965524E-10</v>
      </c>
      <c r="Q9" s="45">
        <v>-9.4307706253857796E-10</v>
      </c>
      <c r="R9" s="45">
        <v>6.8317152992695797E-12</v>
      </c>
      <c r="S9" s="45">
        <v>-1.6613192888334199E-10</v>
      </c>
      <c r="T9" s="45">
        <v>-7.7809227177888502E-10</v>
      </c>
      <c r="U9" s="45">
        <v>2.16682744561754E-11</v>
      </c>
      <c r="V9" s="45">
        <v>-2.3366394413623701E-10</v>
      </c>
      <c r="W9" s="45">
        <v>-1.0487836448713E-9</v>
      </c>
      <c r="X9" s="45">
        <v>1.4538142857358399E-12</v>
      </c>
      <c r="Y9" s="45">
        <v>2.0021393275879499E-11</v>
      </c>
      <c r="Z9" s="45">
        <v>3.4465114400772401E-11</v>
      </c>
      <c r="AA9" s="45">
        <v>2.90303104950524E-10</v>
      </c>
      <c r="AB9" s="45">
        <v>-2.2469068206986499E-8</v>
      </c>
    </row>
    <row r="10" spans="1:28" x14ac:dyDescent="0.25">
      <c r="A10" s="106"/>
      <c r="B10" t="s">
        <v>19</v>
      </c>
      <c r="C10" s="47">
        <v>7.0834597723109595E-11</v>
      </c>
      <c r="D10" s="45">
        <v>1.46915062118881E-9</v>
      </c>
      <c r="E10" s="45">
        <v>1.25753243881695E-9</v>
      </c>
      <c r="F10" s="45">
        <v>2.9980738377796102E-9</v>
      </c>
      <c r="G10" s="45">
        <v>3.2029349979360501E-9</v>
      </c>
      <c r="H10" s="45">
        <v>5.8160208934298099E-8</v>
      </c>
      <c r="I10" s="45">
        <v>4.8225750472980098E-8</v>
      </c>
      <c r="J10" s="45">
        <v>1.17288456192502E-7</v>
      </c>
      <c r="K10" s="45">
        <v>-5.3169321940938803E-8</v>
      </c>
      <c r="L10" s="45">
        <v>-1.7021053219791799E-8</v>
      </c>
      <c r="M10" s="45">
        <v>4.1774129427629798E-11</v>
      </c>
      <c r="N10" s="45">
        <v>2.2958490404189201E-12</v>
      </c>
      <c r="O10" s="45">
        <v>6.5933467726535198E-11</v>
      </c>
      <c r="P10" s="45">
        <v>-3.9868407996763402E-10</v>
      </c>
      <c r="Q10" s="45">
        <v>-2.3101609364378698E-9</v>
      </c>
      <c r="R10" s="45">
        <v>1.6666516642513501E-11</v>
      </c>
      <c r="S10" s="45">
        <v>-3.9809666380982599E-10</v>
      </c>
      <c r="T10" s="45">
        <v>-1.8866169854077301E-9</v>
      </c>
      <c r="U10" s="45">
        <v>5.2867495099967997E-11</v>
      </c>
      <c r="V10" s="45">
        <v>-5.7403646166489399E-10</v>
      </c>
      <c r="W10" s="45">
        <v>-2.5821351905693102E-9</v>
      </c>
      <c r="X10" s="45">
        <v>3.6226965859704101E-12</v>
      </c>
      <c r="Y10" s="45">
        <v>4.81115271450252E-11</v>
      </c>
      <c r="Z10" s="45">
        <v>8.3495967696413996E-11</v>
      </c>
      <c r="AA10" s="45">
        <v>6.8800921461308596E-10</v>
      </c>
      <c r="AB10" s="45">
        <v>-4.93400786471754E-8</v>
      </c>
    </row>
    <row r="11" spans="1:28" x14ac:dyDescent="0.25">
      <c r="A11" t="s">
        <v>89</v>
      </c>
      <c r="B11" t="s">
        <v>23</v>
      </c>
      <c r="C11" s="47">
        <v>3.4511768718235002E-9</v>
      </c>
      <c r="D11" s="45">
        <v>6.0096316989209802E-8</v>
      </c>
      <c r="E11" s="45">
        <v>4.3662818016138698E-8</v>
      </c>
      <c r="F11" s="45">
        <v>3.80179822755706E-8</v>
      </c>
      <c r="G11" s="45">
        <v>-1.0413433701677001E-9</v>
      </c>
      <c r="H11" s="45">
        <v>-1.93479398583659E-8</v>
      </c>
      <c r="I11" s="45">
        <v>-1.1940629499550199E-8</v>
      </c>
      <c r="J11" s="45">
        <v>-5.3169321940938803E-8</v>
      </c>
      <c r="K11" s="11">
        <v>1.81134284156973E-3</v>
      </c>
      <c r="L11" s="11">
        <v>4.1507187261643401E-4</v>
      </c>
      <c r="M11" s="45">
        <v>-2.0409677422621001E-6</v>
      </c>
      <c r="N11" s="45">
        <v>8.8730767311662306E-9</v>
      </c>
      <c r="O11" s="45">
        <v>1.2401865939377501E-8</v>
      </c>
      <c r="P11" s="45">
        <v>-8.0622522686843605E-8</v>
      </c>
      <c r="Q11" s="45">
        <v>-4.3685561389302099E-7</v>
      </c>
      <c r="R11" s="45">
        <v>3.4948631852662402E-9</v>
      </c>
      <c r="S11" s="45">
        <v>-3.7757072211500999E-8</v>
      </c>
      <c r="T11" s="45">
        <v>-1.5674446071313E-7</v>
      </c>
      <c r="U11" s="45">
        <v>9.7579239038499097E-9</v>
      </c>
      <c r="V11" s="45">
        <v>-7.4030033442272505E-8</v>
      </c>
      <c r="W11" s="45">
        <v>-3.7703090195560999E-7</v>
      </c>
      <c r="X11" s="45">
        <v>1.0829105849256699E-9</v>
      </c>
      <c r="Y11" s="45">
        <v>3.9610694502615302E-9</v>
      </c>
      <c r="Z11" s="45">
        <v>9.21265367348434E-9</v>
      </c>
      <c r="AA11" s="45">
        <v>2.64524967995194E-7</v>
      </c>
      <c r="AB11" s="11">
        <v>-3.2597222412762201E-4</v>
      </c>
    </row>
    <row r="12" spans="1:28" x14ac:dyDescent="0.25">
      <c r="A12" t="s">
        <v>90</v>
      </c>
      <c r="B12" t="s">
        <v>23</v>
      </c>
      <c r="C12" s="47">
        <v>3.60411214207655E-9</v>
      </c>
      <c r="D12" s="45">
        <v>6.5224032204546995E-8</v>
      </c>
      <c r="E12" s="45">
        <v>5.4669682313650302E-8</v>
      </c>
      <c r="F12" s="45">
        <v>1.1278996807307201E-7</v>
      </c>
      <c r="G12" s="45">
        <v>-4.2772698702986601E-10</v>
      </c>
      <c r="H12" s="45">
        <v>-8.1360571029288803E-9</v>
      </c>
      <c r="I12" s="45">
        <v>-5.0733975799127E-9</v>
      </c>
      <c r="J12" s="45">
        <v>-1.7021053219791799E-8</v>
      </c>
      <c r="K12" s="11">
        <v>4.1507187261643401E-4</v>
      </c>
      <c r="L12" s="11">
        <v>1.3875670137119799E-4</v>
      </c>
      <c r="M12" s="45">
        <v>-5.7935922927352105E-7</v>
      </c>
      <c r="N12" s="45">
        <v>2.5369790454344802E-9</v>
      </c>
      <c r="O12" s="45">
        <v>3.8214611461430699E-9</v>
      </c>
      <c r="P12" s="45">
        <v>-2.5699203796916498E-8</v>
      </c>
      <c r="Q12" s="45">
        <v>-1.2956383669858301E-7</v>
      </c>
      <c r="R12" s="45">
        <v>9.6638647736587709E-10</v>
      </c>
      <c r="S12" s="45">
        <v>-1.12179728349832E-8</v>
      </c>
      <c r="T12" s="45">
        <v>-4.4635861374380902E-8</v>
      </c>
      <c r="U12" s="45">
        <v>2.1939988022455101E-9</v>
      </c>
      <c r="V12" s="45">
        <v>-2.5703379746319202E-8</v>
      </c>
      <c r="W12" s="45">
        <v>-1.0101093814599399E-7</v>
      </c>
      <c r="X12" s="45">
        <v>4.3643120126258401E-10</v>
      </c>
      <c r="Y12" s="45">
        <v>1.2951795303667899E-9</v>
      </c>
      <c r="Z12" s="45">
        <v>2.36742939090904E-9</v>
      </c>
      <c r="AA12" s="45">
        <v>7.7278725062228104E-8</v>
      </c>
      <c r="AB12" s="45">
        <v>-9.2077836344664699E-5</v>
      </c>
    </row>
    <row r="13" spans="1:28" x14ac:dyDescent="0.25">
      <c r="A13" s="106" t="s">
        <v>91</v>
      </c>
      <c r="B13" t="s">
        <v>25</v>
      </c>
      <c r="C13" s="47">
        <v>-1.2805694858873E-11</v>
      </c>
      <c r="D13" s="45">
        <v>-2.3167409190867199E-10</v>
      </c>
      <c r="E13" s="45">
        <v>-1.9789095734097799E-10</v>
      </c>
      <c r="F13" s="45">
        <v>-4.05316154658364E-10</v>
      </c>
      <c r="G13" s="45">
        <v>4.6109639518923001E-13</v>
      </c>
      <c r="H13" s="45">
        <v>1.5724233703089099E-11</v>
      </c>
      <c r="I13" s="45">
        <v>6.7713277574953803E-12</v>
      </c>
      <c r="J13" s="45">
        <v>4.1774129427629798E-11</v>
      </c>
      <c r="K13" s="45">
        <v>-2.0409677422621001E-6</v>
      </c>
      <c r="L13" s="45">
        <v>-5.7935922927352105E-7</v>
      </c>
      <c r="M13" s="45">
        <v>2.8887958260805801E-9</v>
      </c>
      <c r="N13" s="45">
        <v>-1.27468788337683E-11</v>
      </c>
      <c r="O13" s="45">
        <v>-9.9999114349739507E-12</v>
      </c>
      <c r="P13" s="45">
        <v>6.95278873219969E-11</v>
      </c>
      <c r="Q13" s="45">
        <v>3.5290053154778099E-10</v>
      </c>
      <c r="R13" s="45">
        <v>-1.8290458162784901E-12</v>
      </c>
      <c r="S13" s="45">
        <v>3.0169934462213403E-11</v>
      </c>
      <c r="T13" s="45">
        <v>1.04500662282971E-10</v>
      </c>
      <c r="U13" s="45">
        <v>-5.2852819598907502E-12</v>
      </c>
      <c r="V13" s="45">
        <v>6.6738635117819097E-11</v>
      </c>
      <c r="W13" s="45">
        <v>2.444150955004E-10</v>
      </c>
      <c r="X13" s="45">
        <v>-4.3269517904331801E-13</v>
      </c>
      <c r="Y13" s="45">
        <v>3.5356352422814898E-13</v>
      </c>
      <c r="Z13" s="45">
        <v>-8.3390159099903896E-12</v>
      </c>
      <c r="AA13" s="45">
        <v>-2.0146103943362499E-10</v>
      </c>
      <c r="AB13" s="45">
        <v>4.4618322453184599E-7</v>
      </c>
    </row>
    <row r="14" spans="1:28" x14ac:dyDescent="0.25">
      <c r="A14" s="106"/>
      <c r="B14" t="s">
        <v>23</v>
      </c>
      <c r="C14" s="47">
        <v>-4.8913092254087399E-15</v>
      </c>
      <c r="D14" s="45">
        <v>2.2899376775817599E-14</v>
      </c>
      <c r="E14" s="45">
        <v>-2.38972450737579E-15</v>
      </c>
      <c r="F14" s="45">
        <v>-1.54318091227254E-13</v>
      </c>
      <c r="G14" s="45">
        <v>5.5238194610287197E-14</v>
      </c>
      <c r="H14" s="45">
        <v>1.1283288580120799E-12</v>
      </c>
      <c r="I14" s="45">
        <v>9.0507676087214699E-13</v>
      </c>
      <c r="J14" s="45">
        <v>2.2958490404189201E-12</v>
      </c>
      <c r="K14" s="45">
        <v>8.8730767311662306E-9</v>
      </c>
      <c r="L14" s="45">
        <v>2.5369790454344802E-9</v>
      </c>
      <c r="M14" s="45">
        <v>-1.27468788337683E-11</v>
      </c>
      <c r="N14" s="45">
        <v>1.5818262187493201E-13</v>
      </c>
      <c r="O14" s="45">
        <v>1.2628232780864499E-13</v>
      </c>
      <c r="P14" s="45">
        <v>-7.8251945918818701E-13</v>
      </c>
      <c r="Q14" s="45">
        <v>-4.3137157515049997E-12</v>
      </c>
      <c r="R14" s="45">
        <v>4.98872355890707E-14</v>
      </c>
      <c r="S14" s="45">
        <v>-4.2531536373810999E-13</v>
      </c>
      <c r="T14" s="45">
        <v>-1.8240736600109299E-12</v>
      </c>
      <c r="U14" s="45">
        <v>1.13599479889218E-13</v>
      </c>
      <c r="V14" s="45">
        <v>-7.0701693275583595E-13</v>
      </c>
      <c r="W14" s="45">
        <v>-4.1322022185096099E-12</v>
      </c>
      <c r="X14" s="45">
        <v>1.6305042651897901E-14</v>
      </c>
      <c r="Y14" s="45">
        <v>6.9284958079899896E-14</v>
      </c>
      <c r="Z14" s="45">
        <v>9.53267138832623E-14</v>
      </c>
      <c r="AA14" s="45">
        <v>2.7927009939801602E-12</v>
      </c>
      <c r="AB14" s="45">
        <v>-2.1274359236312698E-9</v>
      </c>
    </row>
    <row r="15" spans="1:28" x14ac:dyDescent="0.25">
      <c r="A15" s="106" t="s">
        <v>26</v>
      </c>
      <c r="B15" t="s">
        <v>29</v>
      </c>
      <c r="C15" s="47">
        <v>-3.7990667121890198E-13</v>
      </c>
      <c r="D15" s="45">
        <v>1.17329364196046E-12</v>
      </c>
      <c r="E15" s="45">
        <v>6.4940111194771798E-13</v>
      </c>
      <c r="F15" s="45">
        <v>2.82004015370126E-11</v>
      </c>
      <c r="G15" s="45">
        <v>1.6928660814852301E-12</v>
      </c>
      <c r="H15" s="45">
        <v>3.1847587585539301E-11</v>
      </c>
      <c r="I15" s="45">
        <v>2.6790185465949901E-11</v>
      </c>
      <c r="J15" s="45">
        <v>6.5933467726535198E-11</v>
      </c>
      <c r="K15" s="45">
        <v>1.2401865939377501E-8</v>
      </c>
      <c r="L15" s="45">
        <v>3.8214611461430699E-9</v>
      </c>
      <c r="M15" s="45">
        <v>-9.9999114349739507E-12</v>
      </c>
      <c r="N15" s="45">
        <v>1.2628232780864499E-13</v>
      </c>
      <c r="O15" s="45">
        <v>1.1933736540690399E-10</v>
      </c>
      <c r="P15" s="45">
        <v>-7.7283907637428398E-10</v>
      </c>
      <c r="Q15" s="45">
        <v>-4.2605450496070402E-9</v>
      </c>
      <c r="R15" s="45">
        <v>5.20615963476067E-11</v>
      </c>
      <c r="S15" s="45">
        <v>-3.8983370826417598E-10</v>
      </c>
      <c r="T15" s="45">
        <v>-2.00559439409097E-9</v>
      </c>
      <c r="U15" s="45">
        <v>1.1144912128203899E-10</v>
      </c>
      <c r="V15" s="45">
        <v>-7.5654228399663705E-10</v>
      </c>
      <c r="W15" s="45">
        <v>-4.1914582464335403E-9</v>
      </c>
      <c r="X15" s="45">
        <v>1.9989396843754101E-11</v>
      </c>
      <c r="Y15" s="45">
        <v>8.9142028166649399E-11</v>
      </c>
      <c r="Z15" s="45">
        <v>5.9715301103823106E-11</v>
      </c>
      <c r="AA15" s="45">
        <v>2.8753491852542799E-9</v>
      </c>
      <c r="AB15" s="45">
        <v>-2.3258220145391299E-7</v>
      </c>
    </row>
    <row r="16" spans="1:28" x14ac:dyDescent="0.25">
      <c r="A16" s="106"/>
      <c r="B16" t="s">
        <v>30</v>
      </c>
      <c r="C16" s="47">
        <v>3.7607470820352802E-12</v>
      </c>
      <c r="D16" s="45">
        <v>8.8824130776260307E-12</v>
      </c>
      <c r="E16" s="45">
        <v>6.7097010663047103E-12</v>
      </c>
      <c r="F16" s="45">
        <v>-1.61002234505465E-10</v>
      </c>
      <c r="G16" s="45">
        <v>-1.04821219133278E-11</v>
      </c>
      <c r="H16" s="45">
        <v>-1.9413496020137099E-10</v>
      </c>
      <c r="I16" s="45">
        <v>-1.64871767965524E-10</v>
      </c>
      <c r="J16" s="45">
        <v>-3.9868407996763402E-10</v>
      </c>
      <c r="K16" s="45">
        <v>-8.0622522686843605E-8</v>
      </c>
      <c r="L16" s="45">
        <v>-2.5699203796916498E-8</v>
      </c>
      <c r="M16" s="45">
        <v>6.95278873219969E-11</v>
      </c>
      <c r="N16" s="45">
        <v>-7.8251945918818701E-13</v>
      </c>
      <c r="O16" s="45">
        <v>-7.7283907637428398E-10</v>
      </c>
      <c r="P16" s="45">
        <v>5.27920337142424E-9</v>
      </c>
      <c r="Q16" s="45">
        <v>2.8373260625889399E-8</v>
      </c>
      <c r="R16" s="45">
        <v>-3.5447191065047699E-10</v>
      </c>
      <c r="S16" s="45">
        <v>2.3898418192053602E-9</v>
      </c>
      <c r="T16" s="45">
        <v>1.26965984545329E-8</v>
      </c>
      <c r="U16" s="45">
        <v>-7.2940593462581901E-10</v>
      </c>
      <c r="V16" s="45">
        <v>5.0249314560964601E-9</v>
      </c>
      <c r="W16" s="45">
        <v>2.76824001859367E-8</v>
      </c>
      <c r="X16" s="45">
        <v>-1.3350923886179799E-10</v>
      </c>
      <c r="Y16" s="45">
        <v>-5.5962906443656203E-10</v>
      </c>
      <c r="Z16" s="45">
        <v>-3.9595690679267302E-10</v>
      </c>
      <c r="AA16" s="45">
        <v>-1.8908491269420899E-8</v>
      </c>
      <c r="AB16" s="45">
        <v>1.48918115281369E-6</v>
      </c>
    </row>
    <row r="17" spans="1:28" x14ac:dyDescent="0.25">
      <c r="A17" s="106"/>
      <c r="B17" t="s">
        <v>31</v>
      </c>
      <c r="C17" s="47">
        <v>1.5201563720946699E-11</v>
      </c>
      <c r="D17" s="45">
        <v>-5.7742547559387199E-11</v>
      </c>
      <c r="E17" s="45">
        <v>-3.25227369227612E-11</v>
      </c>
      <c r="F17" s="45">
        <v>-1.06678093797147E-9</v>
      </c>
      <c r="G17" s="45">
        <v>-6.0022770291549203E-11</v>
      </c>
      <c r="H17" s="45">
        <v>-1.1238860634877601E-9</v>
      </c>
      <c r="I17" s="45">
        <v>-9.4307706253857796E-10</v>
      </c>
      <c r="J17" s="45">
        <v>-2.3101609364378698E-9</v>
      </c>
      <c r="K17" s="45">
        <v>-4.3685561389302099E-7</v>
      </c>
      <c r="L17" s="45">
        <v>-1.2956383669858301E-7</v>
      </c>
      <c r="M17" s="45">
        <v>3.5290053154778099E-10</v>
      </c>
      <c r="N17" s="45">
        <v>-4.3137157515049997E-12</v>
      </c>
      <c r="O17" s="45">
        <v>-4.2605450496070402E-9</v>
      </c>
      <c r="P17" s="45">
        <v>2.8373260625889399E-8</v>
      </c>
      <c r="Q17" s="45">
        <v>1.5515337109329201E-7</v>
      </c>
      <c r="R17" s="45">
        <v>-1.9171710385242498E-9</v>
      </c>
      <c r="S17" s="45">
        <v>1.3563822993157899E-8</v>
      </c>
      <c r="T17" s="45">
        <v>7.1117985605540003E-8</v>
      </c>
      <c r="U17" s="45">
        <v>-4.0146535875863801E-9</v>
      </c>
      <c r="V17" s="45">
        <v>2.7468859441314701E-8</v>
      </c>
      <c r="W17" s="45">
        <v>1.52023046711442E-7</v>
      </c>
      <c r="X17" s="45">
        <v>-7.28479172469913E-10</v>
      </c>
      <c r="Y17" s="45">
        <v>-3.1468757723949999E-9</v>
      </c>
      <c r="Z17" s="45">
        <v>-2.1695982134405202E-9</v>
      </c>
      <c r="AA17" s="45">
        <v>-1.04028508829091E-7</v>
      </c>
      <c r="AB17" s="45">
        <v>8.2935988330560795E-6</v>
      </c>
    </row>
    <row r="18" spans="1:28" x14ac:dyDescent="0.25">
      <c r="A18" s="106" t="s">
        <v>27</v>
      </c>
      <c r="B18" t="s">
        <v>29</v>
      </c>
      <c r="C18" s="47">
        <v>1.5110590848249301E-13</v>
      </c>
      <c r="D18" s="45">
        <v>7.6716014453030905E-12</v>
      </c>
      <c r="E18" s="45">
        <v>6.7188019200498098E-12</v>
      </c>
      <c r="F18" s="45">
        <v>2.9807682640447702E-11</v>
      </c>
      <c r="G18" s="45">
        <v>4.2634161435867802E-13</v>
      </c>
      <c r="H18" s="45">
        <v>8.3536162146489106E-12</v>
      </c>
      <c r="I18" s="45">
        <v>6.8317152992695797E-12</v>
      </c>
      <c r="J18" s="45">
        <v>1.6666516642513501E-11</v>
      </c>
      <c r="K18" s="45">
        <v>3.4948631852662402E-9</v>
      </c>
      <c r="L18" s="45">
        <v>9.6638647736587709E-10</v>
      </c>
      <c r="M18" s="45">
        <v>-1.8290458162784901E-12</v>
      </c>
      <c r="N18" s="45">
        <v>4.98872355890707E-14</v>
      </c>
      <c r="O18" s="45">
        <v>5.20615963476067E-11</v>
      </c>
      <c r="P18" s="45">
        <v>-3.5447191065047699E-10</v>
      </c>
      <c r="Q18" s="45">
        <v>-1.9171710385242498E-9</v>
      </c>
      <c r="R18" s="45">
        <v>2.6018844482669399E-11</v>
      </c>
      <c r="S18" s="45">
        <v>-1.5417581548842399E-10</v>
      </c>
      <c r="T18" s="45">
        <v>-8.4911594860780396E-10</v>
      </c>
      <c r="U18" s="45">
        <v>4.9613982011557001E-11</v>
      </c>
      <c r="V18" s="45">
        <v>-3.4061043486531602E-10</v>
      </c>
      <c r="W18" s="45">
        <v>-1.88120436813501E-9</v>
      </c>
      <c r="X18" s="45">
        <v>9.0140597363767803E-12</v>
      </c>
      <c r="Y18" s="45">
        <v>3.71993929185849E-11</v>
      </c>
      <c r="Z18" s="45">
        <v>2.6838083422122399E-11</v>
      </c>
      <c r="AA18" s="45">
        <v>1.2796957730805099E-9</v>
      </c>
      <c r="AB18" s="45">
        <v>-9.9146642229765806E-8</v>
      </c>
    </row>
    <row r="19" spans="1:28" x14ac:dyDescent="0.25">
      <c r="A19" s="106"/>
      <c r="B19" t="s">
        <v>30</v>
      </c>
      <c r="C19" s="47">
        <v>-1.0398825082839299E-12</v>
      </c>
      <c r="D19" s="45">
        <v>-3.8574071906485798E-11</v>
      </c>
      <c r="E19" s="45">
        <v>-2.4440006752823801E-11</v>
      </c>
      <c r="F19" s="45">
        <v>-1.52514867938717E-10</v>
      </c>
      <c r="G19" s="45">
        <v>-1.07704405708573E-11</v>
      </c>
      <c r="H19" s="45">
        <v>-2.0020140066951399E-10</v>
      </c>
      <c r="I19" s="45">
        <v>-1.6613192888334199E-10</v>
      </c>
      <c r="J19" s="45">
        <v>-3.9809666380982599E-10</v>
      </c>
      <c r="K19" s="45">
        <v>-3.7757072211500999E-8</v>
      </c>
      <c r="L19" s="45">
        <v>-1.12179728349832E-8</v>
      </c>
      <c r="M19" s="45">
        <v>3.0169934462213403E-11</v>
      </c>
      <c r="N19" s="45">
        <v>-4.2531536373810999E-13</v>
      </c>
      <c r="O19" s="45">
        <v>-3.8983370826417598E-10</v>
      </c>
      <c r="P19" s="45">
        <v>2.3898418192053602E-9</v>
      </c>
      <c r="Q19" s="45">
        <v>1.3563822993157899E-8</v>
      </c>
      <c r="R19" s="45">
        <v>-1.5417581548842399E-10</v>
      </c>
      <c r="S19" s="45">
        <v>1.6660945316925901E-9</v>
      </c>
      <c r="T19" s="45">
        <v>7.3098800258178996E-9</v>
      </c>
      <c r="U19" s="45">
        <v>-3.6278068661947598E-10</v>
      </c>
      <c r="V19" s="45">
        <v>2.4511958867032899E-9</v>
      </c>
      <c r="W19" s="45">
        <v>1.3531117654828899E-8</v>
      </c>
      <c r="X19" s="45">
        <v>-6.3410150144550303E-11</v>
      </c>
      <c r="Y19" s="45">
        <v>-3.3546396830371902E-10</v>
      </c>
      <c r="Z19" s="45">
        <v>-1.92299093584984E-10</v>
      </c>
      <c r="AA19" s="45">
        <v>-9.3983037163308796E-9</v>
      </c>
      <c r="AB19" s="45">
        <v>8.3592055091932903E-7</v>
      </c>
    </row>
    <row r="20" spans="1:28" x14ac:dyDescent="0.25">
      <c r="A20" s="106"/>
      <c r="B20" t="s">
        <v>31</v>
      </c>
      <c r="C20" s="47">
        <v>1.7431024207519499E-13</v>
      </c>
      <c r="D20" s="45">
        <v>-9.4826056285775206E-11</v>
      </c>
      <c r="E20" s="45">
        <v>-7.2843307655229596E-11</v>
      </c>
      <c r="F20" s="45">
        <v>-6.3397534188604298E-10</v>
      </c>
      <c r="G20" s="45">
        <v>-5.07658302216432E-11</v>
      </c>
      <c r="H20" s="45">
        <v>-9.3694741770302908E-10</v>
      </c>
      <c r="I20" s="45">
        <v>-7.7809227177888502E-10</v>
      </c>
      <c r="J20" s="45">
        <v>-1.8866169854077301E-9</v>
      </c>
      <c r="K20" s="45">
        <v>-1.5674446071313E-7</v>
      </c>
      <c r="L20" s="45">
        <v>-4.4635861374380902E-8</v>
      </c>
      <c r="M20" s="45">
        <v>1.04500662282971E-10</v>
      </c>
      <c r="N20" s="45">
        <v>-1.8240736600109299E-12</v>
      </c>
      <c r="O20" s="45">
        <v>-2.00559439409097E-9</v>
      </c>
      <c r="P20" s="45">
        <v>1.26965984545329E-8</v>
      </c>
      <c r="Q20" s="45">
        <v>7.1117985605540003E-8</v>
      </c>
      <c r="R20" s="45">
        <v>-8.4911594860780396E-10</v>
      </c>
      <c r="S20" s="45">
        <v>7.3098800258178996E-9</v>
      </c>
      <c r="T20" s="45">
        <v>3.6154634231359503E-8</v>
      </c>
      <c r="U20" s="45">
        <v>-1.8789186635267199E-9</v>
      </c>
      <c r="V20" s="45">
        <v>1.2729471611142499E-8</v>
      </c>
      <c r="W20" s="45">
        <v>7.0562889689998904E-8</v>
      </c>
      <c r="X20" s="45">
        <v>-3.33508598101049E-10</v>
      </c>
      <c r="Y20" s="45">
        <v>-1.62259949473527E-9</v>
      </c>
      <c r="Z20" s="45">
        <v>-1.0023018564071201E-9</v>
      </c>
      <c r="AA20" s="45">
        <v>-4.8955510451528801E-8</v>
      </c>
      <c r="AB20" s="45">
        <v>4.1048319173842096E-6</v>
      </c>
    </row>
    <row r="21" spans="1:28" x14ac:dyDescent="0.25">
      <c r="A21" s="106" t="s">
        <v>92</v>
      </c>
      <c r="B21" t="s">
        <v>29</v>
      </c>
      <c r="C21" s="47">
        <v>1.26308767525865E-13</v>
      </c>
      <c r="D21" s="45">
        <v>1.2084213428397501E-11</v>
      </c>
      <c r="E21" s="45">
        <v>8.7644765056342194E-12</v>
      </c>
      <c r="F21" s="45">
        <v>4.4902622634633403E-11</v>
      </c>
      <c r="G21" s="45">
        <v>1.3565402496660199E-12</v>
      </c>
      <c r="H21" s="45">
        <v>2.55429708727572E-11</v>
      </c>
      <c r="I21" s="45">
        <v>2.16682744561754E-11</v>
      </c>
      <c r="J21" s="45">
        <v>5.2867495099967997E-11</v>
      </c>
      <c r="K21" s="45">
        <v>9.7579239038499097E-9</v>
      </c>
      <c r="L21" s="45">
        <v>2.1939988022455101E-9</v>
      </c>
      <c r="M21" s="45">
        <v>-5.2852819598907502E-12</v>
      </c>
      <c r="N21" s="45">
        <v>1.13599479889218E-13</v>
      </c>
      <c r="O21" s="45">
        <v>1.1144912128203899E-10</v>
      </c>
      <c r="P21" s="45">
        <v>-7.2940593462581901E-10</v>
      </c>
      <c r="Q21" s="45">
        <v>-4.0146535875863801E-9</v>
      </c>
      <c r="R21" s="45">
        <v>4.9613982011557001E-11</v>
      </c>
      <c r="S21" s="45">
        <v>-3.6278068661947598E-10</v>
      </c>
      <c r="T21" s="45">
        <v>-1.8789186635267199E-9</v>
      </c>
      <c r="U21" s="45">
        <v>1.0961535355809E-10</v>
      </c>
      <c r="V21" s="45">
        <v>-7.3272889001441003E-10</v>
      </c>
      <c r="W21" s="45">
        <v>-4.0363435700301099E-9</v>
      </c>
      <c r="X21" s="45">
        <v>1.88337338525536E-11</v>
      </c>
      <c r="Y21" s="45">
        <v>8.3343702363476394E-11</v>
      </c>
      <c r="Z21" s="45">
        <v>5.7563003873876801E-11</v>
      </c>
      <c r="AA21" s="45">
        <v>2.72245016830043E-9</v>
      </c>
      <c r="AB21" s="45">
        <v>-2.18702569055671E-7</v>
      </c>
    </row>
    <row r="22" spans="1:28" x14ac:dyDescent="0.25">
      <c r="A22" s="106"/>
      <c r="B22" t="s">
        <v>30</v>
      </c>
      <c r="C22" s="47">
        <v>-1.7534031731342499E-13</v>
      </c>
      <c r="D22" s="45">
        <v>-6.2983465907484704E-11</v>
      </c>
      <c r="E22" s="45">
        <v>-5.2497344841684699E-11</v>
      </c>
      <c r="F22" s="45">
        <v>-2.9339106125165602E-10</v>
      </c>
      <c r="G22" s="45">
        <v>-1.49013638739684E-11</v>
      </c>
      <c r="H22" s="45">
        <v>-2.7724439353173803E-10</v>
      </c>
      <c r="I22" s="45">
        <v>-2.3366394413623701E-10</v>
      </c>
      <c r="J22" s="45">
        <v>-5.7403646166489399E-10</v>
      </c>
      <c r="K22" s="45">
        <v>-7.4030033442272505E-8</v>
      </c>
      <c r="L22" s="45">
        <v>-2.5703379746319202E-8</v>
      </c>
      <c r="M22" s="45">
        <v>6.6738635117819097E-11</v>
      </c>
      <c r="N22" s="45">
        <v>-7.0701693275583595E-13</v>
      </c>
      <c r="O22" s="45">
        <v>-7.5654228399663705E-10</v>
      </c>
      <c r="P22" s="45">
        <v>5.0249314560964601E-9</v>
      </c>
      <c r="Q22" s="45">
        <v>2.7468859441314701E-8</v>
      </c>
      <c r="R22" s="45">
        <v>-3.4061043486531602E-10</v>
      </c>
      <c r="S22" s="45">
        <v>2.4511958867032899E-9</v>
      </c>
      <c r="T22" s="45">
        <v>1.2729471611142499E-8</v>
      </c>
      <c r="U22" s="45">
        <v>-7.3272889001441003E-10</v>
      </c>
      <c r="V22" s="45">
        <v>5.4375966148134896E-9</v>
      </c>
      <c r="W22" s="45">
        <v>2.7677284107773099E-8</v>
      </c>
      <c r="X22" s="45">
        <v>-1.2870763667921901E-10</v>
      </c>
      <c r="Y22" s="45">
        <v>-5.6147217695600597E-10</v>
      </c>
      <c r="Z22" s="45">
        <v>-4.0016859490174999E-10</v>
      </c>
      <c r="AA22" s="45">
        <v>-1.8617636416932799E-8</v>
      </c>
      <c r="AB22" s="45">
        <v>1.4864617011548101E-6</v>
      </c>
    </row>
    <row r="23" spans="1:28" x14ac:dyDescent="0.25">
      <c r="A23" s="106"/>
      <c r="B23" t="s">
        <v>31</v>
      </c>
      <c r="C23" s="47">
        <v>1.3100978045243599E-11</v>
      </c>
      <c r="D23" s="45">
        <v>-1.5680445536807499E-10</v>
      </c>
      <c r="E23" s="45">
        <v>-1.21801536314926E-10</v>
      </c>
      <c r="F23" s="45">
        <v>-1.26911520659682E-9</v>
      </c>
      <c r="G23" s="45">
        <v>-6.6227578692498003E-11</v>
      </c>
      <c r="H23" s="45">
        <v>-1.2525554995339901E-9</v>
      </c>
      <c r="I23" s="45">
        <v>-1.0487836448713E-9</v>
      </c>
      <c r="J23" s="45">
        <v>-2.5821351905693102E-9</v>
      </c>
      <c r="K23" s="45">
        <v>-3.7703090195560999E-7</v>
      </c>
      <c r="L23" s="45">
        <v>-1.0101093814599399E-7</v>
      </c>
      <c r="M23" s="45">
        <v>2.444150955004E-10</v>
      </c>
      <c r="N23" s="45">
        <v>-4.1322022185096099E-12</v>
      </c>
      <c r="O23" s="45">
        <v>-4.1914582464335403E-9</v>
      </c>
      <c r="P23" s="45">
        <v>2.76824001859367E-8</v>
      </c>
      <c r="Q23" s="45">
        <v>1.52023046711442E-7</v>
      </c>
      <c r="R23" s="45">
        <v>-1.88120436813501E-9</v>
      </c>
      <c r="S23" s="45">
        <v>1.3531117654828899E-8</v>
      </c>
      <c r="T23" s="45">
        <v>7.0562889689998904E-8</v>
      </c>
      <c r="U23" s="45">
        <v>-4.0363435700301099E-9</v>
      </c>
      <c r="V23" s="45">
        <v>2.7677284107773099E-8</v>
      </c>
      <c r="W23" s="45">
        <v>1.5288174602622201E-7</v>
      </c>
      <c r="X23" s="45">
        <v>-7.1261940991450202E-10</v>
      </c>
      <c r="Y23" s="45">
        <v>-3.1202686533175501E-9</v>
      </c>
      <c r="Z23" s="45">
        <v>-2.1787127306399799E-9</v>
      </c>
      <c r="AA23" s="45">
        <v>-1.02911522738478E-7</v>
      </c>
      <c r="AB23" s="45">
        <v>8.2298089483733097E-6</v>
      </c>
    </row>
    <row r="24" spans="1:28" x14ac:dyDescent="0.25">
      <c r="A24" s="10" t="s">
        <v>61</v>
      </c>
      <c r="B24" t="s">
        <v>70</v>
      </c>
      <c r="C24" s="47">
        <v>-1.89361216059655E-13</v>
      </c>
      <c r="D24" s="45">
        <v>-2.0025418163843799E-12</v>
      </c>
      <c r="E24" s="45">
        <v>-1.4669724279417799E-12</v>
      </c>
      <c r="F24" s="45">
        <v>1.00141804769503E-12</v>
      </c>
      <c r="G24" s="45">
        <v>7.9686086334954099E-14</v>
      </c>
      <c r="H24" s="45">
        <v>1.7967596711700301E-12</v>
      </c>
      <c r="I24" s="45">
        <v>1.4538142857358399E-12</v>
      </c>
      <c r="J24" s="45">
        <v>3.6226965859704101E-12</v>
      </c>
      <c r="K24" s="45">
        <v>1.0829105849256699E-9</v>
      </c>
      <c r="L24" s="45">
        <v>4.3643120126258401E-10</v>
      </c>
      <c r="M24" s="45">
        <v>-4.3269517904331801E-13</v>
      </c>
      <c r="N24" s="45">
        <v>1.6305042651897901E-14</v>
      </c>
      <c r="O24" s="45">
        <v>1.9989396843754101E-11</v>
      </c>
      <c r="P24" s="45">
        <v>-1.3350923886179799E-10</v>
      </c>
      <c r="Q24" s="45">
        <v>-7.28479172469913E-10</v>
      </c>
      <c r="R24" s="45">
        <v>9.0140597363767803E-12</v>
      </c>
      <c r="S24" s="45">
        <v>-6.3410150144550303E-11</v>
      </c>
      <c r="T24" s="45">
        <v>-3.33508598101049E-10</v>
      </c>
      <c r="U24" s="45">
        <v>1.88337338525536E-11</v>
      </c>
      <c r="V24" s="45">
        <v>-1.2870763667921901E-10</v>
      </c>
      <c r="W24" s="45">
        <v>-7.1261940991450202E-10</v>
      </c>
      <c r="X24" s="45">
        <v>3.7154774219462499E-12</v>
      </c>
      <c r="Y24" s="45">
        <v>1.61539042976549E-11</v>
      </c>
      <c r="Z24" s="45">
        <v>1.0160835193103799E-11</v>
      </c>
      <c r="AA24" s="45">
        <v>4.8813948347415205E-10</v>
      </c>
      <c r="AB24" s="45">
        <v>-3.9795403544388002E-8</v>
      </c>
    </row>
    <row r="25" spans="1:28" x14ac:dyDescent="0.25">
      <c r="A25" s="10" t="s">
        <v>60</v>
      </c>
      <c r="B25" t="s">
        <v>70</v>
      </c>
      <c r="C25" s="47">
        <v>-8.8776237142555295E-13</v>
      </c>
      <c r="D25" s="45">
        <v>-1.44323751503872E-11</v>
      </c>
      <c r="E25" s="45">
        <v>-1.0773308973031E-11</v>
      </c>
      <c r="F25" s="45">
        <v>-8.9572811404856602E-12</v>
      </c>
      <c r="G25" s="45">
        <v>1.2574539088527201E-12</v>
      </c>
      <c r="H25" s="45">
        <v>2.4772325563349401E-11</v>
      </c>
      <c r="I25" s="45">
        <v>2.0021393275879499E-11</v>
      </c>
      <c r="J25" s="45">
        <v>4.81115271450252E-11</v>
      </c>
      <c r="K25" s="45">
        <v>3.9610694502615302E-9</v>
      </c>
      <c r="L25" s="45">
        <v>1.2951795303667899E-9</v>
      </c>
      <c r="M25" s="45">
        <v>3.5356352422814898E-13</v>
      </c>
      <c r="N25" s="45">
        <v>6.9284958079899896E-14</v>
      </c>
      <c r="O25" s="45">
        <v>8.9142028166649399E-11</v>
      </c>
      <c r="P25" s="45">
        <v>-5.5962906443656203E-10</v>
      </c>
      <c r="Q25" s="45">
        <v>-3.1468757723949999E-9</v>
      </c>
      <c r="R25" s="45">
        <v>3.71993929185849E-11</v>
      </c>
      <c r="S25" s="45">
        <v>-3.3546396830371902E-10</v>
      </c>
      <c r="T25" s="45">
        <v>-1.62259949473527E-9</v>
      </c>
      <c r="U25" s="45">
        <v>8.3343702363476394E-11</v>
      </c>
      <c r="V25" s="45">
        <v>-5.6147217695600597E-10</v>
      </c>
      <c r="W25" s="45">
        <v>-3.1202686533175501E-9</v>
      </c>
      <c r="X25" s="45">
        <v>1.61539042976549E-11</v>
      </c>
      <c r="Y25" s="45">
        <v>8.1298493230710698E-11</v>
      </c>
      <c r="Z25" s="45">
        <v>4.4265970566468702E-11</v>
      </c>
      <c r="AA25" s="45">
        <v>2.1679272431717299E-9</v>
      </c>
      <c r="AB25" s="45">
        <v>-1.89316403457161E-7</v>
      </c>
    </row>
    <row r="26" spans="1:28" x14ac:dyDescent="0.25">
      <c r="A26" s="10" t="s">
        <v>62</v>
      </c>
      <c r="B26" t="s">
        <v>70</v>
      </c>
      <c r="C26" s="47">
        <v>-5.1921039688549697E-13</v>
      </c>
      <c r="D26" s="45">
        <v>-3.4922031052906902E-12</v>
      </c>
      <c r="E26" s="45">
        <v>-3.1505417158367802E-12</v>
      </c>
      <c r="F26" s="45">
        <v>3.0481589479372402E-12</v>
      </c>
      <c r="G26" s="45">
        <v>2.2737161111034601E-12</v>
      </c>
      <c r="H26" s="45">
        <v>4.1258938303669301E-11</v>
      </c>
      <c r="I26" s="45">
        <v>3.4465114400772401E-11</v>
      </c>
      <c r="J26" s="45">
        <v>8.3495967696413996E-11</v>
      </c>
      <c r="K26" s="45">
        <v>9.21265367348434E-9</v>
      </c>
      <c r="L26" s="45">
        <v>2.36742939090904E-9</v>
      </c>
      <c r="M26" s="45">
        <v>-8.3390159099903896E-12</v>
      </c>
      <c r="N26" s="45">
        <v>9.53267138832623E-14</v>
      </c>
      <c r="O26" s="45">
        <v>5.9715301103823106E-11</v>
      </c>
      <c r="P26" s="45">
        <v>-3.9595690679267302E-10</v>
      </c>
      <c r="Q26" s="45">
        <v>-2.1695982134405202E-9</v>
      </c>
      <c r="R26" s="45">
        <v>2.6838083422122399E-11</v>
      </c>
      <c r="S26" s="45">
        <v>-1.92299093584984E-10</v>
      </c>
      <c r="T26" s="45">
        <v>-1.0023018564071201E-9</v>
      </c>
      <c r="U26" s="45">
        <v>5.7563003873876801E-11</v>
      </c>
      <c r="V26" s="45">
        <v>-4.0016859490174999E-10</v>
      </c>
      <c r="W26" s="45">
        <v>-2.1787127306399799E-9</v>
      </c>
      <c r="X26" s="45">
        <v>1.0160835193103799E-11</v>
      </c>
      <c r="Y26" s="45">
        <v>4.4265970566468702E-11</v>
      </c>
      <c r="Z26" s="45">
        <v>3.4475664813779897E-11</v>
      </c>
      <c r="AA26" s="45">
        <v>1.4678778456325001E-9</v>
      </c>
      <c r="AB26" s="45">
        <v>-1.1965074466092601E-7</v>
      </c>
    </row>
    <row r="27" spans="1:28" x14ac:dyDescent="0.25">
      <c r="A27" s="106" t="s">
        <v>91</v>
      </c>
      <c r="B27" t="s">
        <v>36</v>
      </c>
      <c r="C27" s="47">
        <v>2.8302868237776899E-11</v>
      </c>
      <c r="D27" s="45">
        <v>7.3438293664634899E-10</v>
      </c>
      <c r="E27" s="45">
        <v>6.2238337509856096E-10</v>
      </c>
      <c r="F27" s="45">
        <v>2.2038505529541698E-9</v>
      </c>
      <c r="G27" s="45">
        <v>1.7989513735451599E-11</v>
      </c>
      <c r="H27" s="45">
        <v>3.5607402058311199E-10</v>
      </c>
      <c r="I27" s="45">
        <v>2.90303104950524E-10</v>
      </c>
      <c r="J27" s="45">
        <v>6.8800921461308596E-10</v>
      </c>
      <c r="K27" s="45">
        <v>2.64524967995194E-7</v>
      </c>
      <c r="L27" s="45">
        <v>7.7278725062228104E-8</v>
      </c>
      <c r="M27" s="45">
        <v>-2.0146103943362499E-10</v>
      </c>
      <c r="N27" s="45">
        <v>2.7927009939801602E-12</v>
      </c>
      <c r="O27" s="45">
        <v>2.8753491852542799E-9</v>
      </c>
      <c r="P27" s="45">
        <v>-1.8908491269420899E-8</v>
      </c>
      <c r="Q27" s="45">
        <v>-1.04028508829091E-7</v>
      </c>
      <c r="R27" s="45">
        <v>1.2796957730805099E-9</v>
      </c>
      <c r="S27" s="45">
        <v>-9.3983037163308796E-9</v>
      </c>
      <c r="T27" s="45">
        <v>-4.8955510451528801E-8</v>
      </c>
      <c r="U27" s="45">
        <v>2.72245016830043E-9</v>
      </c>
      <c r="V27" s="45">
        <v>-1.8617636416932799E-8</v>
      </c>
      <c r="W27" s="45">
        <v>-1.02911522738478E-7</v>
      </c>
      <c r="X27" s="45">
        <v>4.8813948347415205E-10</v>
      </c>
      <c r="Y27" s="45">
        <v>2.1679272431717299E-9</v>
      </c>
      <c r="Z27" s="45">
        <v>1.4678778456325001E-9</v>
      </c>
      <c r="AA27" s="45">
        <v>7.0429688749713596E-8</v>
      </c>
      <c r="AB27" s="45">
        <v>-5.6676454839778602E-6</v>
      </c>
    </row>
    <row r="28" spans="1:28" x14ac:dyDescent="0.25">
      <c r="A28" s="106"/>
      <c r="B28" t="s">
        <v>38</v>
      </c>
      <c r="C28" s="47">
        <v>-5.7932655887560996E-9</v>
      </c>
      <c r="D28" s="45">
        <v>-1.27525182298306E-7</v>
      </c>
      <c r="E28" s="45">
        <v>-1.01270850319871E-7</v>
      </c>
      <c r="F28" s="45">
        <v>-2.8391472361696899E-7</v>
      </c>
      <c r="G28" s="45">
        <v>-1.36240371281332E-9</v>
      </c>
      <c r="H28" s="45">
        <v>-2.65823538390996E-8</v>
      </c>
      <c r="I28" s="45">
        <v>-2.2469068206986499E-8</v>
      </c>
      <c r="J28" s="45">
        <v>-4.93400786471754E-8</v>
      </c>
      <c r="K28" s="11">
        <v>-3.2597222412762201E-4</v>
      </c>
      <c r="L28" s="45">
        <v>-9.2077836344664699E-5</v>
      </c>
      <c r="M28" s="45">
        <v>4.4618322453184599E-7</v>
      </c>
      <c r="N28" s="45">
        <v>-2.1274359236312698E-9</v>
      </c>
      <c r="O28" s="45">
        <v>-2.3258220145391299E-7</v>
      </c>
      <c r="P28" s="45">
        <v>1.48918115281369E-6</v>
      </c>
      <c r="Q28" s="45">
        <v>8.2935988330560795E-6</v>
      </c>
      <c r="R28" s="45">
        <v>-9.9146642229765806E-8</v>
      </c>
      <c r="S28" s="45">
        <v>8.3592055091932903E-7</v>
      </c>
      <c r="T28" s="45">
        <v>4.1048319173842096E-6</v>
      </c>
      <c r="U28" s="45">
        <v>-2.18702569055671E-7</v>
      </c>
      <c r="V28" s="45">
        <v>1.4864617011548101E-6</v>
      </c>
      <c r="W28" s="45">
        <v>8.2298089483733097E-6</v>
      </c>
      <c r="X28" s="45">
        <v>-3.9795403544388002E-8</v>
      </c>
      <c r="Y28" s="45">
        <v>-1.89316403457161E-7</v>
      </c>
      <c r="Z28" s="45">
        <v>-1.1965074466092601E-7</v>
      </c>
      <c r="AA28" s="45">
        <v>-5.6676454839778602E-6</v>
      </c>
      <c r="AB28" s="11">
        <v>5.4242784056011105E-4</v>
      </c>
    </row>
  </sheetData>
  <mergeCells count="15">
    <mergeCell ref="A21:A23"/>
    <mergeCell ref="A27:A28"/>
    <mergeCell ref="A1:B2"/>
    <mergeCell ref="AA1:AB1"/>
    <mergeCell ref="A3:A6"/>
    <mergeCell ref="A7:A10"/>
    <mergeCell ref="A13:A14"/>
    <mergeCell ref="A15:A17"/>
    <mergeCell ref="A18:A20"/>
    <mergeCell ref="M1:N1"/>
    <mergeCell ref="G1:J1"/>
    <mergeCell ref="C1:F1"/>
    <mergeCell ref="O1:Q1"/>
    <mergeCell ref="R1:T1"/>
    <mergeCell ref="U1:W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LS results</vt:lpstr>
      <vt:lpstr>MC summary</vt:lpstr>
      <vt:lpstr>r85z</vt:lpstr>
      <vt:lpstr>Sheet4</vt:lpstr>
      <vt:lpstr>covTotal</vt:lpstr>
      <vt:lpstr>covAll</vt:lpstr>
    </vt:vector>
  </TitlesOfParts>
  <Company>MIT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Noah McLean</dc:creator>
  <cp:lastModifiedBy>noahm</cp:lastModifiedBy>
  <dcterms:created xsi:type="dcterms:W3CDTF">2011-11-23T15:47:55Z</dcterms:created>
  <dcterms:modified xsi:type="dcterms:W3CDTF">2013-05-13T13:59:26Z</dcterms:modified>
</cp:coreProperties>
</file>